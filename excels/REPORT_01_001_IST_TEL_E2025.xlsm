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13_ncr:1_{53BB929C-C66D-4E00-9A07-2C4EFE83BE1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1" l="1"/>
  <c r="H21" i="1"/>
  <c r="H20" i="1"/>
  <c r="D11" i="1" l="1"/>
  <c r="D10" i="1" l="1"/>
  <c r="D9" i="1"/>
  <c r="D8" i="1"/>
  <c r="D7" i="1"/>
  <c r="D6" i="1"/>
  <c r="B2" i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H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<sst xmlns="http://schemas.openxmlformats.org/spreadsheetml/2006/main" count="3253" uniqueCount="752">
  <si>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</si>
  <si>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</si>
  <si>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</si>
  <si>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</si>
  <si>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</si>
  <si>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</si>
  <si>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</si>
  <si>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</si>
  <si>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</si>
  <si>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</si>
  <si>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</si>
  <si>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</si>
  <si>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</si>
  <si>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</si>
  <si>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</si>
  <si>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</si>
  <si>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</si>
  <si>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</si>
  <si>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</si>
  <si>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</si>
  <si>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</si>
  <si>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</si>
  <si>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</si>
  <si>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</si>
  <si>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</si>
  <si>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</si>
  <si>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</si>
  <si>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</si>
  <si>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</si>
  <si>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</si>
  <si>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</si>
  <si>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</si>
  <si>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</si>
  <si>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</si>
  <si>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</si>
  <si>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</si>
  <si>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</si>
  <si>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</si>
  <si>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</si>
  <si>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</si>
  <si>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</si>
  <si>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</si>
  <si>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</si>
  <si>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</si>
  <si>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</si>
  <si>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</si>
  <si>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</si>
  <si>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</si>
  <si>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</si>
  <si>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</si>
  <si>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</si>
  <si>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</si>
  <si>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</si>
  <si>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</si>
  <si>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</si>
  <si>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</si>
  <si>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</si>
  <si>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</si>
  <si>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</si>
  <si>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</si>
  <si>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</si>
  <si>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</si>
  <si>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</si>
  <si>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</si>
  <si>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</si>
  <si>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</si>
  <si>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</si>
  <si>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</si>
  <si>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</si>
  <si>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</si>
  <si>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</si>
  <si>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</si>
  <si>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</si>
  <si>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</si>
  <si>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</si>
  <si>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</si>
  <si>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</si>
  <si>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</si>
  <si>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</si>
  <si>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</si>
  <si>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</si>
  <si>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</si>
  <si>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</si>
  <si>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</si>
  <si>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</si>
  <si>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</si>
  <si>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</si>
  <si>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</si>
  <si>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</si>
  <si>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</si>
  <si>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</si>
  <si>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</si>
  <si>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</si>
  <si>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</si>
  <si>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</si>
  <si>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</si>
  <si>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</si>
  <si>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</si>
  <si>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</si>
  <si>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</si>
  <si>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</si>
  <si>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</si>
  <si>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</si>
  <si>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</si>
  <si>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</si>
  <si>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</si>
  <si>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</si>
  <si>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</si>
  <si>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</si>
  <si>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</si>
  <si>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</si>
  <si>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</si>
  <si>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</si>
  <si>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</si>
  <si>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</si>
  <si>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</si>
  <si>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</si>
  <si>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</si>
  <si>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</si>
  <si>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</si>
  <si>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</si>
  <si>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</si>
  <si>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</si>
  <si>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</si>
  <si>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</si>
  <si>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</si>
  <si>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</si>
  <si>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</si>
  <si>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</si>
  <si>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</si>
  <si>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</si>
  <si>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</si>
  <si>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</si>
  <si>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</si>
  <si>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</si>
  <si>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</si>
  <si>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</si>
  <si>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</si>
  <si>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</si>
  <si>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</si>
  <si>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</si>
  <si>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</si>
  <si>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</si>
  <si>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</si>
  <si>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</si>
  <si>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</si>
  <si>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</si>
  <si>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</si>
  <si>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</si>
  <si>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</si>
  <si>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</si>
  <si>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</si>
  <si>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</si>
  <si>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</si>
  <si>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</si>
  <si>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</si>
  <si>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</si>
  <si>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</si>
  <si>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</si>
  <si>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</si>
  <si>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</si>
  <si>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</si>
  <si>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</si>
  <si>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</si>
  <si>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</si>
  <si>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</si>
  <si>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</si>
  <si>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</si>
  <si>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</si>
  <si>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</si>
  <si>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</si>
  <si>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</si>
  <si>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</si>
  <si>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</si>
  <si>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</si>
  <si>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</si>
  <si>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</si>
  <si>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</si>
  <si>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</si>
  <si>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</si>
  <si>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</si>
  <si>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</si>
  <si>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</si>
  <si>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</si>
  <si>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</si>
  <si>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</si>
  <si>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</si>
  <si>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</si>
  <si>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</si>
  <si>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</si>
  <si>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</si>
  <si>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</si>
  <si>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</si>
  <si>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</si>
  <si>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</si>
  <si>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</si>
  <si>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</si>
  <si>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</si>
  <si>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</si>
  <si>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</si>
  <si>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</si>
  <si>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</si>
  <si>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</si>
  <si>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</si>
  <si>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</si>
  <si>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</si>
  <si>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</si>
  <si>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</si>
  <si>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</si>
  <si>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</si>
  <si>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</si>
  <si>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</si>
  <si>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</si>
  <si>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</si>
  <si>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</si>
  <si>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</si>
  <si>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</si>
  <si>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</si>
  <si>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</si>
  <si>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</si>
  <si>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</si>
  <si>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</si>
  <si>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</si>
  <si>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</si>
  <si>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</si>
  <si>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</si>
  <si>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</si>
  <si>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</si>
  <si>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</si>
  <si>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</si>
  <si>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</si>
  <si>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</si>
  <si>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</si>
  <si>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</si>
  <si>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</si>
  <si>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</si>
  <si>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</si>
  <si>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</si>
  <si>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</si>
  <si>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</si>
  <si>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</si>
  <si>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</si>
  <si>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</si>
  <si>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</si>
  <si>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</si>
  <si>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</si>
  <si>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</si>
  <si>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</si>
  <si>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</si>
  <si>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</si>
  <si>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</si>
  <si>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</si>
  <si>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</si>
  <si>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</si>
  <si>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</si>
  <si>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</si>
  <si>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</si>
  <si>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</si>
  <si>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</si>
  <si>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</si>
  <si>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</si>
  <si>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</si>
  <si>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</si>
  <si>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</si>
  <si>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</si>
  <si>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</si>
  <si>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</si>
  <si>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</si>
  <si>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</si>
  <si>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</si>
  <si>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</si>
  <si>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</si>
  <si>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</si>
  <si>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</si>
  <si>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</si>
  <si>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</si>
  <si>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</si>
  <si>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</si>
  <si>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</si>
  <si>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</si>
  <si>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</si>
  <si>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</si>
  <si>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</si>
  <si>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</si>
  <si>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</si>
  <si>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</si>
  <si>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</si>
  <si>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</si>
  <si>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</si>
  <si>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</si>
  <si>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</si>
  <si>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</si>
  <si>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</si>
  <si>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</si>
  <si>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</si>
  <si>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</si>
  <si>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</si>
  <si>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</si>
  <si>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</si>
  <si>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</si>
  <si>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</si>
  <si>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</si>
  <si>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</si>
  <si>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</si>
  <si>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</si>
  <si>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</si>
  <si>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</si>
  <si>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</si>
  <si>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</si>
  <si>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</si>
  <si>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</si>
  <si>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</si>
  <si>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</si>
  <si>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</si>
  <si>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</si>
  <si>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</si>
  <si>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</si>
  <si>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</si>
  <si>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</si>
  <si>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</si>
  <si>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</si>
  <si>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</si>
  <si>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</si>
  <si>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</si>
  <si>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</si>
  <si>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</si>
  <si>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</si>
  <si>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</si>
  <si>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</si>
  <si>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</si>
  <si>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</si>
  <si>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</si>
  <si>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</si>
  <si>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</si>
  <si>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</si>
  <si>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</si>
  <si>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</si>
  <si>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</si>
  <si>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</si>
  <si>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</si>
  <si>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</si>
  <si>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</si>
  <si>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</si>
  <si>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</si>
  <si>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</si>
  <si>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</si>
  <si>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</si>
  <si>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</si>
  <si>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</si>
  <si>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</si>
  <si>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</si>
  <si>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</si>
  <si>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</si>
  <si>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</si>
  <si>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</si>
  <si>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</si>
  <si>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</si>
  <si>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</si>
  <si>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</si>
  <si>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</si>
  <si>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</si>
  <si>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</si>
  <si>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</si>
  <si>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</si>
  <si>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</si>
  <si>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</si>
  <si>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</si>
  <si>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</si>
  <si>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</si>
  <si>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</si>
  <si>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</si>
  <si>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</si>
  <si>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</si>
  <si>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</si>
  <si>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</si>
  <si>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</si>
  <si>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</si>
  <si>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</si>
  <si>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</si>
  <si>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</si>
  <si>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</si>
  <si>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</si>
  <si>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</si>
  <si>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</si>
  <si>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</si>
  <si>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</si>
  <si>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</si>
  <si>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</si>
  <si>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</si>
  <si>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</si>
  <si>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</si>
  <si>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</si>
  <si>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</si>
  <si>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</si>
  <si>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</si>
  <si>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</si>
  <si>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</si>
  <si>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</si>
  <si>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</si>
  <si>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</si>
  <si>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</si>
  <si>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</si>
  <si>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</si>
  <si>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</si>
  <si>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</si>
  <si>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</si>
  <si>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</si>
  <si>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</si>
  <si>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</si>
  <si>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</si>
  <si>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</si>
  <si>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</si>
  <si>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</si>
  <si>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</si>
  <si>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</si>
  <si>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</si>
  <si>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</si>
  <si>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</si>
  <si>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</si>
  <si>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</si>
  <si>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</si>
  <si>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</si>
  <si>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</si>
  <si>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</si>
  <si>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</si>
  <si>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</si>
  <si>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</si>
  <si>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</si>
  <si>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</si>
  <si>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</si>
  <si>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</si>
  <si>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</si>
  <si>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</si>
  <si>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</si>
  <si>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</si>
  <si>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</si>
  <si>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</si>
  <si>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</si>
  <si>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</si>
  <si>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</si>
  <si>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</si>
  <si>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</si>
  <si>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</si>
  <si>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</si>
  <si>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</si>
  <si>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</si>
  <si>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</si>
  <si>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</si>
  <si>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</si>
  <si>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</si>
  <si>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</si>
  <si>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</si>
  <si>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</si>
  <si>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</si>
  <si>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</si>
  <si>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</si>
  <si>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</si>
  <si>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</si>
  <si>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</si>
  <si>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</si>
  <si>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</si>
  <si>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</si>
  <si>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</si>
  <si>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</si>
  <si>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</si>
  <si>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</si>
  <si>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</si>
  <si>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</si>
  <si>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</si>
  <si>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</si>
  <si>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</si>
  <si>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</si>
  <si>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</si>
  <si>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</si>
  <si>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</si>
  <si>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</si>
  <si>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</si>
  <si>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</si>
  <si>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</si>
  <si>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</si>
  <si>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</si>
  <si>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</si>
  <si>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</si>
  <si>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</si>
  <si>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</si>
  <si>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</si>
  <si>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</si>
  <si>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</si>
  <si>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</si>
  <si>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</si>
  <si>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</si>
  <si>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</si>
  <si>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</si>
  <si>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</si>
  <si>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</si>
  <si>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</si>
  <si>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</si>
  <si>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</si>
  <si>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</si>
  <si>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</si>
  <si>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</si>
  <si>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</si>
  <si>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</si>
  <si>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</si>
  <si>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</si>
  <si>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</si>
  <si>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</si>
  <si>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</si>
  <si>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</si>
  <si>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</si>
  <si>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</si>
  <si>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</si>
  <si>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</si>
  <si>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</si>
  <si>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</si>
  <si>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</si>
  <si>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</si>
  <si>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</si>
  <si>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</si>
  <si>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</si>
  <si>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</si>
  <si>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</si>
  <si>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</si>
  <si>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</si>
  <si>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</si>
  <si>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</si>
  <si>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</si>
  <si>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</si>
  <si>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</si>
  <si>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</si>
  <si>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</si>
  <si>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</si>
  <si>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</si>
  <si>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</si>
  <si>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</si>
  <si>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</si>
  <si>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</si>
  <si>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</si>
  <si>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</si>
  <si>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</si>
  <si>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</si>
  <si>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</si>
  <si>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</si>
  <si>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</si>
  <si>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</si>
  <si>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</si>
  <si>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</si>
  <si>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</si>
  <si>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</si>
  <si>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</si>
  <si>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</si>
  <si>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</si>
  <si>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</si>
  <si>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</si>
  <si>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</si>
  <si>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</si>
  <si>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</si>
  <si>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</si>
  <si>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</si>
  <si>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</si>
  <si>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</si>
  <si>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</si>
  <si>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</si>
  <si>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</si>
  <si>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</si>
  <si>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</si>
  <si>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</si>
  <si>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</si>
  <si>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</si>
  <si>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</si>
  <si>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</si>
  <si>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</si>
  <si>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</si>
  <si>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</si>
  <si>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</si>
  <si>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</si>
  <si>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</si>
  <si>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</si>
  <si>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</si>
  <si>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</si>
  <si>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</si>
  <si>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</si>
  <si>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</si>
  <si>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</si>
  <si>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</si>
  <si>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</si>
  <si>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</si>
  <si>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</si>
  <si>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</si>
  <si>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</si>
  <si>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</si>
  <si>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</si>
  <si>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</si>
  <si>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</si>
  <si>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</si>
  <si>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</si>
  <si>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</si>
  <si>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</si>
  <si>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</si>
  <si>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</si>
  <si>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</si>
  <si>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</si>
  <si>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</si>
  <si>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</si>
  <si>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</si>
  <si>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</si>
  <si>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</si>
  <si>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</si>
  <si>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</si>
  <si>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</si>
  <si>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</si>
  <si>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</si>
  <si>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</si>
  <si>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</si>
  <si>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</si>
  <si>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</si>
  <si>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</si>
  <si>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</si>
  <si>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</si>
  <si>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</si>
  <si>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</si>
  <si>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</si>
  <si>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</si>
  <si>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</si>
  <si>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</si>
  <si>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</si>
  <si>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</si>
  <si>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</si>
  <si>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</si>
  <si>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</si>
  <si>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</si>
  <si>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</si>
  <si>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</si>
  <si>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</si>
  <si>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</si>
  <si>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</si>
  <si>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</si>
  <si>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</si>
  <si>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</si>
  <si>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</si>
  <si>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</si>
  <si>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</si>
  <si>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</si>
  <si>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</si>
  <si>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</si>
  <si>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</si>
  <si>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</si>
  <si>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</si>
  <si>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</si>
  <si>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</si>
  <si>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</si>
  <si>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</si>
  <si>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</si>
  <si>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</si>
  <si>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</si>
  <si>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</si>
  <si>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</si>
  <si>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</si>
  <si>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</si>
  <si>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</si>
  <si>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</si>
  <si>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</si>
  <si>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</si>
  <si>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</si>
  <si>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</si>
  <si>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</si>
  <si>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</si>
  <si>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</si>
  <si>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</si>
  <si>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</si>
  <si>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</si>
  <si>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</si>
  <si>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</si>
  <si>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</si>
  <si>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</si>
  <si>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</si>
  <si>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</si>
  <si>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</si>
  <si>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</si>
  <si>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</si>
  <si>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</si>
  <si>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</si>
  <si>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</si>
  <si>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</si>
  <si>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</si>
  <si>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</si>
  <si>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</si>
  <si>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</si>
  <si>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</si>
  <si>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</si>
  <si>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</si>
  <si>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</si>
  <si>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</si>
  <si>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</si>
  <si>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</si>
  <si>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</si>
  <si>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</si>
  <si>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</si>
  <si>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</si>
  <si>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</si>
  <si>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</si>
  <si>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</si>
  <si>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</si>
  <si>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</si>
  <si>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</si>
  <si>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</si>
  <si>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</si>
  <si>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</si>
  <si>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</si>
  <si>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</si>
  <si>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</si>
  <si>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</si>
  <si>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</si>
  <si>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</si>
  <si>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</si>
  <si>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</si>
  <si>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Mario Enjuanes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</si>
  <si>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</si>
  <si>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</si>
  <si>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</si>
  <si>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</si>
  <si>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</si>
  <si>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</si>
  <si>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</si>
  <si>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</si>
  <si>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</si>
  <si>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</si>
  <si>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</si>
  <si>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</si>
  <si>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</si>
  <si>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</si>
  <si>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</si>
  <si>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</si>
  <si>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</si>
  <si>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</si>
  <si>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</si>
  <si>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</si>
  <si>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</si>
  <si>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</si>
  <si>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</si>
  <si>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</si>
  <si>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</si>
  <si>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</si>
  <si>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</si>
  <si>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E</t>
  </si>
  <si>
    <t>Next game remember to conect and test the backup PC</t>
  </si>
  <si>
    <t>04:27</t>
  </si>
  <si>
    <t>04:04</t>
  </si>
  <si>
    <t>09:51</t>
  </si>
  <si>
    <t>02:39</t>
  </si>
  <si>
    <t>02:47</t>
  </si>
  <si>
    <t>good job tonight. When they had a mistake, good decisions.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</si>
</sst>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01</v>
      </c>
      <c r="D1" s="124" t="s">
        <v>744</v>
      </c>
      <c r="E1" s="125">
        <v>2025</v>
      </c>
      <c r="F1" s="120" t="str">
        <f>TEXT(C1,"00") &amp; "_" &amp; TEXT(C2,"000")&amp; "_" &amp; H4 &amp; "_" &amp; H5 &amp; "_" &amp; B2</f>
        <v>01_001_IST_TEL_E2025</v>
      </c>
      <c r="G1" s="5"/>
      <c r="H1" s="5"/>
      <c r="I1" s="5"/>
      <c r="J1" s="8" t="s">
        <v>707</v>
      </c>
      <c r="K1" s="121" t="s">
        <v>743</v>
      </c>
      <c r="L1" s="121"/>
      <c r="M1" s="122" t="s">
        <v>239</v>
      </c>
      <c r="N1" s="121" t="s">
        <v>743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45930.822916666664</v>
      </c>
      <c r="C3" s="157"/>
      <c r="D3" s="39">
        <v>584</v>
      </c>
      <c r="E3" s="29"/>
      <c r="F3" s="26">
        <f>SUBTOTAL(3,I17:I106)</f>
        <v>5</v>
      </c>
      <c r="G3" s="27">
        <f>IF(OR(D3="",D3=0),"",F3/D3)</f>
        <v>8.5616438356164379E-3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/>
      <c r="L4" s="5"/>
      <c r="M4" s="167" t="s">
        <v>751</v>
      </c>
      <c r="N4" s="168"/>
      <c r="O4" s="2"/>
      <c r="P4" s="2"/>
      <c r="Q4" s="84" t="s">
        <v>175</v>
      </c>
      <c r="R4" s="94">
        <f>(IF(G3="",0,G3))</f>
        <v>8.5616438356164379E-3</v>
      </c>
      <c r="S4" s="61">
        <f>SUM(I13:M13)</f>
        <v>0</v>
      </c>
      <c r="T4" s="78"/>
      <c r="U4" s="61">
        <f>AC18</f>
        <v>4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Maccabi Rapyd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0.85616438356164382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tr">
        <f>H8</f>
        <v>SINSA SEKULIC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tr">
        <f>I8</f>
        <v>PETAR VUJACIC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5.3561643835616435</v>
      </c>
      <c r="N7" s="58"/>
      <c r="O7" s="2"/>
      <c r="P7" s="2"/>
      <c r="Q7" s="86">
        <f>SUM(R5,S5,AC16)</f>
        <v>5.3561643835616435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tr">
        <f>J8</f>
        <v>LAZAR VUJICIC</v>
      </c>
      <c r="E8" s="182"/>
      <c r="F8" s="182"/>
      <c r="G8" s="183"/>
      <c r="H8" s="129" t="s">
        <v>718</v>
      </c>
      <c r="I8" s="129" t="s">
        <v>719</v>
      </c>
      <c r="J8" s="129" t="s">
        <v>720</v>
      </c>
      <c r="K8" s="129" t="s">
        <v>721</v>
      </c>
      <c r="L8" s="129" t="s">
        <v>722</v>
      </c>
      <c r="M8" s="129" t="s">
        <v>723</v>
      </c>
      <c r="N8" s="2"/>
      <c r="O8" s="2"/>
      <c r="P8" s="2"/>
      <c r="Q8" s="85">
        <f>SUM(R5:BA5)</f>
        <v>5.3561643835616444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tr">
        <f>K8</f>
        <v>LAZAR KNEZEVIC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tr">
        <f>L8</f>
        <v>KAROLINA RADINOVIC</v>
      </c>
      <c r="E10" s="182"/>
      <c r="F10" s="182"/>
      <c r="G10" s="183"/>
      <c r="H10" s="8"/>
      <c r="I10" s="10">
        <v>4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JOVANA KRIVOKUCA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</v>
      </c>
      <c r="H12" s="40">
        <f>$I$10</f>
        <v>4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745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716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</v>
      </c>
      <c r="D17" s="32" t="s">
        <v>746</v>
      </c>
      <c r="E17" s="33">
        <v>1</v>
      </c>
      <c r="F17" s="36">
        <v>16</v>
      </c>
      <c r="G17" s="36">
        <v>11</v>
      </c>
      <c r="H17" s="38" t="str">
        <f>IF(I17="","",$I$14)</f>
        <v>SCOUTING</v>
      </c>
      <c r="I17" s="34">
        <v>54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</v>
      </c>
      <c r="D18" s="32" t="s">
        <v>747</v>
      </c>
      <c r="E18" s="33">
        <v>1</v>
      </c>
      <c r="F18" s="36">
        <v>16</v>
      </c>
      <c r="G18" s="36">
        <v>13</v>
      </c>
      <c r="H18" s="38" t="str">
        <f t="shared" ref="H18:H81" si="8">IF(I18="","",$I$14)</f>
        <v>SCOUTING</v>
      </c>
      <c r="I18" s="34">
        <v>62</v>
      </c>
      <c r="J18" s="13" t="s">
        <v>4</v>
      </c>
      <c r="K18" s="13" t="s">
        <v>63</v>
      </c>
      <c r="L18" s="13" t="s">
        <v>5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1</v>
      </c>
      <c r="D19" s="32" t="s">
        <v>748</v>
      </c>
      <c r="E19" s="33">
        <v>2</v>
      </c>
      <c r="F19" s="36">
        <v>21</v>
      </c>
      <c r="G19" s="36">
        <v>22</v>
      </c>
      <c r="H19" s="38" t="str">
        <f t="shared" si="8"/>
        <v>SCOUTING</v>
      </c>
      <c r="I19" s="34">
        <v>144</v>
      </c>
      <c r="J19" s="13" t="s">
        <v>4</v>
      </c>
      <c r="K19" s="13" t="s">
        <v>63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E2025</v>
      </c>
      <c r="C20" s="31">
        <f t="shared" si="3"/>
        <v>1</v>
      </c>
      <c r="D20" s="32" t="s">
        <v>749</v>
      </c>
      <c r="E20" s="33">
        <v>3</v>
      </c>
      <c r="F20" s="36">
        <v>54</v>
      </c>
      <c r="G20" s="36">
        <v>57</v>
      </c>
      <c r="H20" s="38" t="str">
        <f t="shared" ref="H20:H22" si="10">IF(I20="","",$I$14)</f>
        <v>SCOUTING</v>
      </c>
      <c r="I20" s="34">
        <v>397</v>
      </c>
      <c r="J20" s="13" t="s">
        <v>4</v>
      </c>
      <c r="K20" s="13" t="s">
        <v>62</v>
      </c>
      <c r="L20" s="13" t="s">
        <v>5</v>
      </c>
      <c r="M20" s="13" t="s">
        <v>30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E2025</v>
      </c>
      <c r="C21" s="31">
        <f t="shared" si="3"/>
        <v>1</v>
      </c>
      <c r="D21" s="32" t="s">
        <v>750</v>
      </c>
      <c r="E21" s="33">
        <v>3</v>
      </c>
      <c r="F21" s="36">
        <v>54</v>
      </c>
      <c r="G21" s="36">
        <v>57</v>
      </c>
      <c r="H21" s="38" t="str">
        <f t="shared" si="10"/>
        <v>SCOUTING</v>
      </c>
      <c r="I21" s="34">
        <v>399</v>
      </c>
      <c r="J21" s="13" t="s">
        <v>4</v>
      </c>
      <c r="K21" s="13" t="s">
        <v>62</v>
      </c>
      <c r="L21" s="13" t="s">
        <v>7</v>
      </c>
      <c r="M21" s="13" t="s">
        <v>26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10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1">IF(C49="","",$B$2)</f>
        <v/>
      </c>
      <c r="C49" s="31" t="str">
        <f t="shared" ref="C49:C80" si="12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3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1"/>
        <v/>
      </c>
      <c r="C50" s="31" t="str">
        <f t="shared" si="12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3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1"/>
        <v/>
      </c>
      <c r="C51" s="31" t="str">
        <f t="shared" si="12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3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1"/>
        <v/>
      </c>
      <c r="C52" s="31" t="str">
        <f t="shared" si="12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3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1"/>
        <v/>
      </c>
      <c r="C53" s="31" t="str">
        <f t="shared" si="12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3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1"/>
        <v/>
      </c>
      <c r="C54" s="31" t="str">
        <f t="shared" si="12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3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1"/>
        <v/>
      </c>
      <c r="C55" s="31" t="str">
        <f t="shared" si="12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3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1"/>
        <v/>
      </c>
      <c r="C56" s="31" t="str">
        <f t="shared" si="12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3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1"/>
        <v/>
      </c>
      <c r="C57" s="31" t="str">
        <f t="shared" si="12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3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1"/>
        <v/>
      </c>
      <c r="C58" s="31" t="str">
        <f t="shared" si="12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3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1"/>
        <v/>
      </c>
      <c r="C59" s="31" t="str">
        <f t="shared" si="12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3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1"/>
        <v/>
      </c>
      <c r="C60" s="31" t="str">
        <f t="shared" si="12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3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1"/>
        <v/>
      </c>
      <c r="C61" s="31" t="str">
        <f t="shared" si="12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3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1"/>
        <v/>
      </c>
      <c r="C62" s="31" t="str">
        <f t="shared" si="12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3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1"/>
        <v/>
      </c>
      <c r="C63" s="31" t="str">
        <f t="shared" si="12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3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1"/>
        <v/>
      </c>
      <c r="C64" s="31" t="str">
        <f t="shared" si="12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3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1"/>
        <v/>
      </c>
      <c r="C65" s="31" t="str">
        <f t="shared" si="12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3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1"/>
        <v/>
      </c>
      <c r="C66" s="31" t="str">
        <f t="shared" si="12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3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1"/>
        <v/>
      </c>
      <c r="C67" s="31" t="str">
        <f t="shared" si="12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3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1"/>
        <v/>
      </c>
      <c r="C68" s="31" t="str">
        <f t="shared" si="12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3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1"/>
        <v/>
      </c>
      <c r="C69" s="31" t="str">
        <f t="shared" si="12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3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1"/>
        <v/>
      </c>
      <c r="C70" s="31" t="str">
        <f t="shared" si="12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3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1"/>
        <v/>
      </c>
      <c r="C71" s="31" t="str">
        <f t="shared" si="12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3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1"/>
        <v/>
      </c>
      <c r="C72" s="31" t="str">
        <f t="shared" si="12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3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1"/>
        <v/>
      </c>
      <c r="C73" s="31" t="str">
        <f t="shared" si="12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3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1"/>
        <v/>
      </c>
      <c r="C74" s="31" t="str">
        <f t="shared" si="12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3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1"/>
        <v/>
      </c>
      <c r="C75" s="31" t="str">
        <f t="shared" si="12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3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1"/>
        <v/>
      </c>
      <c r="C76" s="31" t="str">
        <f t="shared" si="12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3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1"/>
        <v/>
      </c>
      <c r="C77" s="31" t="str">
        <f t="shared" si="12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3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1"/>
        <v/>
      </c>
      <c r="C78" s="31" t="str">
        <f t="shared" si="12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3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1"/>
        <v/>
      </c>
      <c r="C79" s="31" t="str">
        <f t="shared" si="12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3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1"/>
        <v/>
      </c>
      <c r="C80" s="31" t="str">
        <f t="shared" si="12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3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4">IF(C81="","",$B$2)</f>
        <v/>
      </c>
      <c r="C81" s="31" t="str">
        <f t="shared" ref="C81:C106" si="15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6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4"/>
        <v/>
      </c>
      <c r="C82" s="31" t="str">
        <f t="shared" si="15"/>
        <v/>
      </c>
      <c r="D82" s="32"/>
      <c r="E82" s="33"/>
      <c r="F82" s="36"/>
      <c r="G82" s="36"/>
      <c r="H82" s="38" t="str">
        <f t="shared" ref="H82:H106" si="17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6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4"/>
        <v/>
      </c>
      <c r="C83" s="31" t="str">
        <f t="shared" si="15"/>
        <v/>
      </c>
      <c r="D83" s="32"/>
      <c r="E83" s="33"/>
      <c r="F83" s="36"/>
      <c r="G83" s="36"/>
      <c r="H83" s="38" t="str">
        <f t="shared" si="17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6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4"/>
        <v/>
      </c>
      <c r="C84" s="31" t="str">
        <f t="shared" si="15"/>
        <v/>
      </c>
      <c r="D84" s="32"/>
      <c r="E84" s="33"/>
      <c r="F84" s="36"/>
      <c r="G84" s="36"/>
      <c r="H84" s="38" t="str">
        <f t="shared" si="17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6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4"/>
        <v/>
      </c>
      <c r="C85" s="31" t="str">
        <f t="shared" si="15"/>
        <v/>
      </c>
      <c r="D85" s="32"/>
      <c r="E85" s="33"/>
      <c r="F85" s="36"/>
      <c r="G85" s="36"/>
      <c r="H85" s="38" t="str">
        <f t="shared" si="17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6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4"/>
        <v/>
      </c>
      <c r="C86" s="31" t="str">
        <f t="shared" si="15"/>
        <v/>
      </c>
      <c r="D86" s="32"/>
      <c r="E86" s="33"/>
      <c r="F86" s="36"/>
      <c r="G86" s="36"/>
      <c r="H86" s="38" t="str">
        <f t="shared" si="17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6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4"/>
        <v/>
      </c>
      <c r="C87" s="31" t="str">
        <f t="shared" si="15"/>
        <v/>
      </c>
      <c r="D87" s="32"/>
      <c r="E87" s="33"/>
      <c r="F87" s="36"/>
      <c r="G87" s="36"/>
      <c r="H87" s="38" t="str">
        <f t="shared" si="17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6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4"/>
        <v/>
      </c>
      <c r="C88" s="31" t="str">
        <f t="shared" si="15"/>
        <v/>
      </c>
      <c r="D88" s="32"/>
      <c r="E88" s="33"/>
      <c r="F88" s="36"/>
      <c r="G88" s="36"/>
      <c r="H88" s="38" t="str">
        <f t="shared" si="17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6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4"/>
        <v/>
      </c>
      <c r="C89" s="31" t="str">
        <f t="shared" si="15"/>
        <v/>
      </c>
      <c r="D89" s="32"/>
      <c r="E89" s="33"/>
      <c r="F89" s="36"/>
      <c r="G89" s="36"/>
      <c r="H89" s="38" t="str">
        <f t="shared" si="17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6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4"/>
        <v/>
      </c>
      <c r="C90" s="31" t="str">
        <f t="shared" si="15"/>
        <v/>
      </c>
      <c r="D90" s="32"/>
      <c r="E90" s="33"/>
      <c r="F90" s="36"/>
      <c r="G90" s="36"/>
      <c r="H90" s="38" t="str">
        <f t="shared" si="17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6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4"/>
        <v/>
      </c>
      <c r="C91" s="31" t="str">
        <f t="shared" si="15"/>
        <v/>
      </c>
      <c r="D91" s="32"/>
      <c r="E91" s="33"/>
      <c r="F91" s="36"/>
      <c r="G91" s="36"/>
      <c r="H91" s="38" t="str">
        <f t="shared" si="17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6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4"/>
        <v/>
      </c>
      <c r="C92" s="31" t="str">
        <f t="shared" si="15"/>
        <v/>
      </c>
      <c r="D92" s="32"/>
      <c r="E92" s="33"/>
      <c r="F92" s="36"/>
      <c r="G92" s="36"/>
      <c r="H92" s="38" t="str">
        <f t="shared" si="17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6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4"/>
        <v/>
      </c>
      <c r="C93" s="31" t="str">
        <f t="shared" si="15"/>
        <v/>
      </c>
      <c r="D93" s="32"/>
      <c r="E93" s="33"/>
      <c r="F93" s="36"/>
      <c r="G93" s="36"/>
      <c r="H93" s="38" t="str">
        <f t="shared" si="17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6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4"/>
        <v/>
      </c>
      <c r="C94" s="31" t="str">
        <f t="shared" si="15"/>
        <v/>
      </c>
      <c r="D94" s="32"/>
      <c r="E94" s="33"/>
      <c r="F94" s="36"/>
      <c r="G94" s="36"/>
      <c r="H94" s="38" t="str">
        <f t="shared" si="17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6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4"/>
        <v/>
      </c>
      <c r="C95" s="31" t="str">
        <f t="shared" si="15"/>
        <v/>
      </c>
      <c r="D95" s="32"/>
      <c r="E95" s="33"/>
      <c r="F95" s="36"/>
      <c r="G95" s="36"/>
      <c r="H95" s="38" t="str">
        <f t="shared" si="17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6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4"/>
        <v/>
      </c>
      <c r="C96" s="31" t="str">
        <f t="shared" si="15"/>
        <v/>
      </c>
      <c r="D96" s="32"/>
      <c r="E96" s="33"/>
      <c r="F96" s="36"/>
      <c r="G96" s="36"/>
      <c r="H96" s="38" t="str">
        <f t="shared" si="17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6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4"/>
        <v/>
      </c>
      <c r="C97" s="31" t="str">
        <f t="shared" si="15"/>
        <v/>
      </c>
      <c r="D97" s="32"/>
      <c r="E97" s="33"/>
      <c r="F97" s="36"/>
      <c r="G97" s="36"/>
      <c r="H97" s="38" t="str">
        <f t="shared" si="17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6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4"/>
        <v/>
      </c>
      <c r="C98" s="31" t="str">
        <f t="shared" si="15"/>
        <v/>
      </c>
      <c r="D98" s="32"/>
      <c r="E98" s="33"/>
      <c r="F98" s="36"/>
      <c r="G98" s="36"/>
      <c r="H98" s="38" t="str">
        <f t="shared" si="17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6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4"/>
        <v/>
      </c>
      <c r="C99" s="31" t="str">
        <f t="shared" si="15"/>
        <v/>
      </c>
      <c r="D99" s="32"/>
      <c r="E99" s="33"/>
      <c r="F99" s="36"/>
      <c r="G99" s="36"/>
      <c r="H99" s="38" t="str">
        <f t="shared" si="17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6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4"/>
        <v/>
      </c>
      <c r="C100" s="31" t="str">
        <f t="shared" si="15"/>
        <v/>
      </c>
      <c r="D100" s="32"/>
      <c r="E100" s="33"/>
      <c r="F100" s="36"/>
      <c r="G100" s="36"/>
      <c r="H100" s="38" t="str">
        <f t="shared" si="17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6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4"/>
        <v/>
      </c>
      <c r="C101" s="31" t="str">
        <f t="shared" si="15"/>
        <v/>
      </c>
      <c r="D101" s="32"/>
      <c r="E101" s="33"/>
      <c r="F101" s="36"/>
      <c r="G101" s="36"/>
      <c r="H101" s="38" t="str">
        <f t="shared" si="17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6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4"/>
        <v/>
      </c>
      <c r="C102" s="31" t="str">
        <f t="shared" si="15"/>
        <v/>
      </c>
      <c r="D102" s="32"/>
      <c r="E102" s="33"/>
      <c r="F102" s="36"/>
      <c r="G102" s="36"/>
      <c r="H102" s="38" t="str">
        <f t="shared" si="17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6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4"/>
        <v/>
      </c>
      <c r="C103" s="31" t="str">
        <f t="shared" si="15"/>
        <v/>
      </c>
      <c r="D103" s="32"/>
      <c r="E103" s="33"/>
      <c r="F103" s="36"/>
      <c r="G103" s="36"/>
      <c r="H103" s="38" t="str">
        <f t="shared" si="17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6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4"/>
        <v/>
      </c>
      <c r="C104" s="31" t="str">
        <f t="shared" si="15"/>
        <v/>
      </c>
      <c r="D104" s="32"/>
      <c r="E104" s="33"/>
      <c r="F104" s="36"/>
      <c r="G104" s="36"/>
      <c r="H104" s="38" t="str">
        <f t="shared" si="17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6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4"/>
        <v/>
      </c>
      <c r="C105" s="31" t="str">
        <f t="shared" si="15"/>
        <v/>
      </c>
      <c r="D105" s="32"/>
      <c r="E105" s="33"/>
      <c r="F105" s="36"/>
      <c r="G105" s="36"/>
      <c r="H105" s="38" t="str">
        <f t="shared" si="17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6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4"/>
        <v/>
      </c>
      <c r="C106" s="31" t="str">
        <f t="shared" si="15"/>
        <v/>
      </c>
      <c r="D106" s="32"/>
      <c r="E106" s="33"/>
      <c r="F106" s="36"/>
      <c r="G106" s="36"/>
      <c r="H106" s="38" t="str">
        <f t="shared" si="17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6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15" sqref="D15:I15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717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717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718</v>
      </c>
      <c r="K8" s="137" t="s">
        <v>719</v>
      </c>
      <c r="L8" s="137" t="s">
        <v>720</v>
      </c>
      <c r="M8" s="137" t="s">
        <v>721</v>
      </c>
      <c r="N8" s="140" t="s">
        <v>722</v>
      </c>
      <c r="O8" s="138" t="s">
        <v>723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724</v>
      </c>
      <c r="E12" s="137" t="s">
        <v>725</v>
      </c>
      <c r="F12" s="137" t="s">
        <v>726</v>
      </c>
      <c r="G12" s="137" t="s">
        <v>727</v>
      </c>
      <c r="H12" s="137" t="s">
        <v>728</v>
      </c>
      <c r="I12" s="138" t="s">
        <v>729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730</v>
      </c>
      <c r="E15" s="137" t="s">
        <v>731</v>
      </c>
      <c r="F15" s="137" t="s">
        <v>732</v>
      </c>
      <c r="G15" s="137" t="s">
        <v>733</v>
      </c>
      <c r="H15" s="137" t="s">
        <v>734</v>
      </c>
      <c r="I15" s="138" t="s">
        <v>735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/>
      <c r="E16" s="137"/>
      <c r="F16" s="137"/>
      <c r="G16" s="137"/>
      <c r="H16" s="137"/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736</v>
      </c>
      <c r="E20" s="137" t="s">
        <v>737</v>
      </c>
      <c r="F20" s="137" t="s">
        <v>738</v>
      </c>
      <c r="G20" s="137" t="s">
        <v>739</v>
      </c>
      <c r="H20" s="137" t="s">
        <v>740</v>
      </c>
      <c r="I20" s="138" t="s">
        <v>741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/>
      <c r="E30" s="137"/>
      <c r="F30" s="137"/>
      <c r="G30" s="137"/>
      <c r="H30" s="137"/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742</v>
      </c>
      <c r="E46" s="25" t="s">
        <v>719</v>
      </c>
      <c r="F46" s="25" t="s">
        <v>720</v>
      </c>
      <c r="G46" s="25" t="s">
        <v>721</v>
      </c>
      <c r="H46" s="25" t="s">
        <v>722</v>
      </c>
      <c r="I46" s="134" t="s">
        <v>723</v>
      </c>
    </row>
  </sheetData>
  <sheetProtection algorithmName="SHA-512" hashValue="IvGT1q7dU/P3WAj6sUEDE0B8G9eaNdEDQ0Gvy7S9yALv6qgClFAP4SQPjGkjQsrRTI32OW1JfQUFTvi2Z8gdpg==" saltValue="k1HIyoddlF62wo4SbIwQR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REPORT_E2025001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"E2025001"</v>
      </c>
      <c r="F3" s="45" t="str">
        <f t="shared" ref="F3:F16" si="0">""""&amp;B3&amp;"""" &amp; " : " &amp;C3&amp;","</f>
        <v>"name" : "E2025001",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"E001"</v>
      </c>
      <c r="F4" s="45" t="str">
        <f t="shared" si="0"/>
        <v>"cod" : "E001",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001</v>
      </c>
      <c r="F6" s="45" t="str">
        <f t="shared" si="0"/>
        <v>"number" : 001,</v>
      </c>
    </row>
    <row r="7" spans="2:6" x14ac:dyDescent="0.2">
      <c r="B7" s="43" t="s">
        <v>116</v>
      </c>
      <c r="C7" s="43" t="str">
        <f ca="1">""""&amp;TEXT('SCOUT &amp; LOGISTICS'!B3,"dd/mm/aaaa")&amp;""""</f>
        <v>"30/09/Tuesday"</v>
      </c>
      <c r="F7" s="45" t="str">
        <f t="shared" ca="1" si="0"/>
        <v>"date" : "30/09/Tuesday",</v>
      </c>
    </row>
    <row r="8" spans="2:6" x14ac:dyDescent="0.2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"SINSA SEKULIC"</v>
      </c>
      <c r="F10" s="45" t="str">
        <f t="shared" si="0"/>
        <v>"Data_entry" : "SINSA SEKULIC",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"PETAR VUJACIC"</v>
      </c>
      <c r="F11" s="45" t="str">
        <f t="shared" si="0"/>
        <v>"Caller_1" : "PETAR VUJACIC",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"LAZAR VUJICIC"</v>
      </c>
      <c r="F12" s="45" t="str">
        <f t="shared" si="0"/>
        <v>"Caller_2" : "LAZAR VUJICIC",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"LAZAR KNEZEVIC"</v>
      </c>
      <c r="F13" s="45" t="str">
        <f t="shared" si="0"/>
        <v>"Timerkeeper" : "LAZAR KNEZEVIC",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"KAROLINA RADINOVIC"</v>
      </c>
      <c r="F14" s="45" t="str">
        <f t="shared" si="0"/>
        <v>"Shotclock" : "KAROLINA RADINOVIC",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"JOVANA KRIVOKUCA"</v>
      </c>
      <c r="F15" s="45" t="str">
        <f t="shared" si="0"/>
        <v>"IRS" : "JOVANA KRIVOKUCA",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584</v>
      </c>
      <c r="F25" s="45" t="str">
        <f t="shared" ref="F25:F48" si="1">""""&amp;C25&amp;"""" &amp; " : " &amp;D25&amp;","</f>
        <v>"total_actions" : 584,</v>
      </c>
    </row>
    <row r="26" spans="2:6" x14ac:dyDescent="0.2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job tonight. When they had a mistake, good decisions."</v>
      </c>
      <c r="F51" s="45" t="str">
        <f>""""&amp;B51&amp;"""" &amp; " : " &amp;C51&amp;","</f>
        <v>"comments" : "good job tonight. When they had a mistake, good decisions.",</v>
      </c>
    </row>
    <row r="52" spans="2:6" x14ac:dyDescent="0.2">
      <c r="B52" s="43" t="s">
        <v>153</v>
      </c>
      <c r="C52" s="43" t="str">
        <f>TEXT('SCOUT &amp; LOGISTICS'!F1,"0,0")</f>
        <v>01_001_IST_TEL_E2025</v>
      </c>
      <c r="F52" s="45" t="str">
        <f>""""&amp;B52&amp;"""" &amp; " : " &amp;C52</f>
        <v>"result" : 01_001_IST_TEL_E2025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E001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30/09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Maccabi Rapyd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SINSA SEKULIC</v>
      </c>
      <c r="C8" s="206"/>
      <c r="D8" s="206"/>
      <c r="E8" s="206"/>
      <c r="F8" s="206"/>
      <c r="G8" s="206" t="str">
        <f>IF('SCOUT &amp; LOGISTICS'!D7="","",'SCOUT &amp; LOGISTICS'!D7)</f>
        <v>PETAR VUJACIC</v>
      </c>
      <c r="H8" s="206"/>
      <c r="I8" s="206"/>
      <c r="J8" s="206"/>
      <c r="K8" s="206"/>
      <c r="L8" s="206" t="str">
        <f>IF('SCOUT &amp; LOGISTICS'!D8="","",'SCOUT &amp; LOGISTICS'!D8)</f>
        <v>LAZAR VUJICIC</v>
      </c>
      <c r="M8" s="206"/>
      <c r="N8" s="206"/>
      <c r="O8" s="206"/>
      <c r="P8" s="206"/>
      <c r="Q8" s="206" t="str">
        <f>IF('SCOUT &amp; LOGISTICS'!D9="","",'SCOUT &amp; LOGISTICS'!D9)</f>
        <v>LAZAR KNEZEVIC</v>
      </c>
      <c r="R8" s="206"/>
      <c r="S8" s="206"/>
      <c r="T8" s="206"/>
      <c r="U8" s="206"/>
      <c r="V8" s="206" t="str">
        <f>IF('SCOUT &amp; LOGISTICS'!D10="","",'SCOUT &amp; LOGISTICS'!D10)</f>
        <v>KAROLINA RADINOVIC</v>
      </c>
      <c r="W8" s="206"/>
      <c r="X8" s="206"/>
      <c r="Y8" s="206"/>
      <c r="Z8" s="206"/>
      <c r="AA8" s="206" t="str">
        <f>IF('SCOUT &amp; LOGISTICS'!D11="","",'SCOUT &amp; LOGISTICS'!D11)</f>
        <v>JOVANA KRIVOKUCA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584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8.5616438356164379E-3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good job tonight. When they had a mistake, good decisions.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5.3561643835616435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46C1EE6-31A5-4A6F-9084-1C93B6F5CD60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2025-10-07T16:24:26Z</cp:lastPrinted>
  <dcterms:created xsi:type="dcterms:W3CDTF">2023-09-19T19:50:35Z</dcterms:created>
  <dcterms:modified xsi:type="dcterms:W3CDTF">2025-10-24T16:22:01Z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