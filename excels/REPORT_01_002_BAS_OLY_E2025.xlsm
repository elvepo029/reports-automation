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21" documentId="8_{FD05A362-7244-4240-B6FB-3DAA5A7CE5BF}" xr6:coauthVersionLast="47" xr6:coauthVersionMax="47" xr10:uidLastSave="{16FD0402-A57D-4819-A496-A5984F7628AB}"/>
  <bookViews>
    <workbookView xWindow="-120" yWindow="-120" windowWidth="20730" windowHeight="1104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<sst xmlns="http://schemas.openxmlformats.org/spreadsheetml/2006/main" count="285" uniqueCount="191">
  <si>
    <t>Jor =</t>
  </si>
  <si>
    <t>ROUTE FILE:</t>
  </si>
  <si>
    <t>C:\Temp</t>
  </si>
  <si>
    <t>ROUTE DOCS:</t>
  </si>
  <si>
    <t>C:\Users\xavi.mateu\OneDrive - EUROLEAGUE\Desktop\Informes</t>
  </si>
  <si>
    <t>&lt;</t>
  </si>
  <si>
    <t>E2025</t>
  </si>
  <si>
    <t>number
of plays:</t>
  </si>
  <si>
    <t>num of
corr:</t>
  </si>
  <si>
    <t>%</t>
  </si>
  <si>
    <t>LOGISTICS</t>
  </si>
  <si>
    <t>CRITERIA</t>
  </si>
  <si>
    <t>MISSIDENTITY</t>
  </si>
  <si>
    <t>MISSPLACED</t>
  </si>
  <si>
    <t>TIMING</t>
  </si>
  <si>
    <t>NOT HAPPENED</t>
  </si>
  <si>
    <t>MISSING</t>
  </si>
  <si>
    <t>JUMP BALL</t>
  </si>
  <si>
    <t>SUBSTITUTIONS</t>
  </si>
  <si>
    <t>COACH CHALLENGE</t>
  </si>
  <si>
    <t>INSTANT REPLAY</t>
  </si>
  <si>
    <t>TIME OUT</t>
  </si>
  <si>
    <t>FOULS</t>
  </si>
  <si>
    <t>points missed or not happened</t>
  </si>
  <si>
    <t>COMMENTARY for the TEAM</t>
  </si>
  <si>
    <t>valor unitario</t>
  </si>
  <si>
    <t>Home</t>
  </si>
  <si>
    <t>BASKONIA VITORIA-GASTEIZ</t>
  </si>
  <si>
    <t>Perfect game. It's excellent that you're reviewing all the questionable plays yourselves. It's also clear that you paid attention during the Workshop. Just remember what I told you: if you need to change the evaluation of a shot attempt, you must delete the play and re-add it. Lastly, after each quarter, tell us the score as well, so we can make sure our viewer isn't having any technical issues.</t>
  </si>
  <si>
    <t>veces</t>
  </si>
  <si>
    <t>Visitor</t>
  </si>
  <si>
    <t>OLYMPIACOS PIRAEUS</t>
  </si>
  <si>
    <t>valoración</t>
  </si>
  <si>
    <t>Data entry</t>
  </si>
  <si>
    <t>ANDONI COLMENERO</t>
  </si>
  <si>
    <t>Caller 1</t>
  </si>
  <si>
    <t>RAQUEL GARCIA-SAMPEDRO</t>
  </si>
  <si>
    <t>Caller 2</t>
  </si>
  <si>
    <t>LUIS MOULIAA</t>
  </si>
  <si>
    <t>Timerkeeper</t>
  </si>
  <si>
    <t>RODRIGO MENDAZA</t>
  </si>
  <si>
    <t>Shotclock</t>
  </si>
  <si>
    <t>SERGIO CASTRO</t>
  </si>
  <si>
    <t>IRS</t>
  </si>
  <si>
    <t>IKER BASCONES</t>
  </si>
  <si>
    <t>AREA</t>
  </si>
  <si>
    <t>ARRIVAL TIME</t>
  </si>
  <si>
    <t>CHECK LIST ON TIME</t>
  </si>
  <si>
    <t>COMMUNICATION</t>
  </si>
  <si>
    <t>CORRECTIONS</t>
  </si>
  <si>
    <t>RESCOUTED</t>
  </si>
  <si>
    <t>COMMENT</t>
  </si>
  <si>
    <t>OK</t>
  </si>
  <si>
    <t>YES</t>
  </si>
  <si>
    <t>GOOD</t>
  </si>
  <si>
    <t>FAST</t>
  </si>
  <si>
    <t>NO</t>
  </si>
  <si>
    <t xml:space="preserve">L G M: </t>
  </si>
  <si>
    <t>XAVI MATEU</t>
  </si>
  <si>
    <t>SCOUTING</t>
  </si>
  <si>
    <t>00:00</t>
  </si>
  <si>
    <t>COMP</t>
  </si>
  <si>
    <t>GAME</t>
  </si>
  <si>
    <t>Crono</t>
  </si>
  <si>
    <t>Quarter</t>
  </si>
  <si>
    <t>Points H</t>
  </si>
  <si>
    <t>Points V</t>
  </si>
  <si>
    <t>Action nmb</t>
  </si>
  <si>
    <t>BOXSC / SCORESH</t>
  </si>
  <si>
    <t>TEAM</t>
  </si>
  <si>
    <t>TYPE</t>
  </si>
  <si>
    <t>CATEGORY</t>
  </si>
  <si>
    <t>TYPES</t>
  </si>
  <si>
    <t>VALUE</t>
  </si>
  <si>
    <t>areas</t>
  </si>
  <si>
    <t>team</t>
  </si>
  <si>
    <t>mistake TYPE</t>
  </si>
  <si>
    <t>quarters:</t>
  </si>
  <si>
    <t>Eval Type</t>
  </si>
  <si>
    <t>ARRIVAL</t>
  </si>
  <si>
    <t>Checklist ontime</t>
  </si>
  <si>
    <t>Corrections</t>
  </si>
  <si>
    <t>Live game manager</t>
  </si>
  <si>
    <t>0 to 10</t>
  </si>
  <si>
    <t>POINTS</t>
  </si>
  <si>
    <t>Scoresheet</t>
  </si>
  <si>
    <t>DISQUALIFYING FOUL</t>
  </si>
  <si>
    <t>BOXSCORE</t>
  </si>
  <si>
    <t>AWAY TEAM</t>
  </si>
  <si>
    <t>ASSIST</t>
  </si>
  <si>
    <t>logistics</t>
  </si>
  <si>
    <t>Oscar</t>
  </si>
  <si>
    <t>THREE POINTER</t>
  </si>
  <si>
    <t>Boxscore</t>
  </si>
  <si>
    <t>FIGHTING</t>
  </si>
  <si>
    <t>SCORESHEET</t>
  </si>
  <si>
    <t>HOME TEAM</t>
  </si>
  <si>
    <t>BLOCK</t>
  </si>
  <si>
    <t>scouting</t>
  </si>
  <si>
    <t>LATE</t>
  </si>
  <si>
    <t>Marc</t>
  </si>
  <si>
    <t>THROW-IN FOUL</t>
  </si>
  <si>
    <t>FOUL</t>
  </si>
  <si>
    <t>NO TEAM</t>
  </si>
  <si>
    <t>NOT FLUID</t>
  </si>
  <si>
    <t>SLOW</t>
  </si>
  <si>
    <t>Mario</t>
  </si>
  <si>
    <t>TWO POINTER</t>
  </si>
  <si>
    <t>OFENSIVE FOUL</t>
  </si>
  <si>
    <t>DEF REBOUND</t>
  </si>
  <si>
    <t>Hector</t>
  </si>
  <si>
    <t>TIP OFF</t>
  </si>
  <si>
    <t>TECH FOUL BENCH</t>
  </si>
  <si>
    <t>et</t>
  </si>
  <si>
    <t>Xavi</t>
  </si>
  <si>
    <t>FREE THROW IN</t>
  </si>
  <si>
    <t>TECH FOUL COACH</t>
  </si>
  <si>
    <t>DSS FREE THROWS</t>
  </si>
  <si>
    <t>Pablo</t>
  </si>
  <si>
    <t>TECHNICAL FOUL</t>
  </si>
  <si>
    <t>Oriol</t>
  </si>
  <si>
    <t>UNSPORTSMANLIKE FOUL</t>
  </si>
  <si>
    <t>FOUL DRAWN</t>
  </si>
  <si>
    <t>MISSED FREE THROW</t>
  </si>
  <si>
    <t>MISSED THREE POINTER</t>
  </si>
  <si>
    <t>MISSED TWO POINTER</t>
  </si>
  <si>
    <t>OFF REBOUND</t>
  </si>
  <si>
    <t>SHOT REJECTED</t>
  </si>
  <si>
    <t>STEAL</t>
  </si>
  <si>
    <t>TIME</t>
  </si>
  <si>
    <t>TURNOVER</t>
  </si>
  <si>
    <t>TV TIME OUT</t>
  </si>
  <si>
    <t>{</t>
  </si>
  <si>
    <t>name</t>
  </si>
  <si>
    <t>cod</t>
  </si>
  <si>
    <t>competition</t>
  </si>
  <si>
    <t>number</t>
  </si>
  <si>
    <t>date</t>
  </si>
  <si>
    <t>home_team</t>
  </si>
  <si>
    <t>away_team</t>
  </si>
  <si>
    <t>Data_entry</t>
  </si>
  <si>
    <t>Caller_1</t>
  </si>
  <si>
    <t>Caller_2</t>
  </si>
  <si>
    <t>Live_Game_Manager</t>
  </si>
  <si>
    <t>arrival_time</t>
  </si>
  <si>
    <t>check_list_on_time</t>
  </si>
  <si>
    <t>communication</t>
  </si>
  <si>
    <t>corrections</t>
  </si>
  <si>
    <t>rescouted</t>
  </si>
  <si>
    <t>},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</si>
  <si>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</si>
  <si>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</si>
  <si>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</si>
  <si>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</si>
  <si>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</si>
  <si>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</si>
  <si>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</si>
  <si>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</si>
  <si>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</si>
  <si>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</si>
  <si>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</si>
  <si>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</si>
  <si>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</si>
  <si>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</si>
  <si>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</si>
  <si>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</si>
  <si>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</si>
  <si>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</si>
  <si>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part_of_a_sequence</t>
  </si>
  <si>
    <t>time_out</t>
  </si>
  <si>
    <t>fouls</t>
  </si>
  <si>
    <t>points</t>
  </si>
  <si>
    <t>comments</t>
  </si>
  <si>
    <t>result</t>
  </si>
  <si>
    <t>}</t>
  </si>
  <si>
    <t>TOTAL ACTIONS</t>
  </si>
  <si>
    <t>TOTAL CORRECIONS</t>
  </si>
  <si>
    <t>% CORRECTIONS</t>
  </si>
  <si>
    <t xml:space="preserve"> </t>
  </si>
  <si>
    <t>Q1</t>
  </si>
  <si>
    <t>Q2</t>
  </si>
  <si>
    <t>Q3</t>
  </si>
  <si>
    <t>Q4</t>
  </si>
  <si>
    <t>ET</t>
  </si>
  <si>
    <t>BOXSCORE CORRECTIONS</t>
  </si>
  <si>
    <t>SCORESHEET CORRECTIONS</t>
  </si>
  <si>
    <t>JUMPBALL</t>
  </si>
  <si>
    <t>SUBSTITUTION</t>
  </si>
  <si>
    <t>IRS / CC</t>
  </si>
  <si>
    <t>COMMENTS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</si>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</sst>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  <xf numFmtId="0" fontId="19" fillId="11" borderId="0" xfId="0" applyFont="1" applyFill="1" applyAlignment="1" applyProtection="1">
      <protection hidden="1"/>
    </xf>
    <xf numFmtId="0" fontId="19" fillId="11" borderId="36" xfId="0" applyFont="1" applyFill="1" applyBorder="1" applyAlignment="1" applyProtection="1">
      <protection hidden="1"/>
    </xf>
    <xf numFmtId="0" fontId="18" fillId="0" borderId="0" xfId="0" applyFont="1" applyAlignment="1" applyProtection="1">
      <protection hidden="1"/>
    </xf>
    <xf numFmtId="0" fontId="18" fillId="11" borderId="0" xfId="0" applyFont="1" applyFill="1" applyAlignment="1" applyProtection="1"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bottomRight" activeCell="N2" sqref="N2"/>
      <selection pane="bottomLeft" activeCell="A17" sqref="A17"/>
      <selection pane="topRight" activeCell="H1" sqref="H1"/>
    </sheetView>
  </sheetViews>
  <sheetFormatPr defaultColWidth="0" defaultRowHeight="15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95" hidden="1" customWidth="1"/>
    <col min="18" max="18" width="2.7109375" hidden="1" customWidth="1"/>
    <col min="19" max="20" width="2.7109375" style="99" hidden="1" customWidth="1"/>
    <col min="21" max="21" width="2.7109375" style="105" hidden="1" customWidth="1"/>
    <col min="22" max="24" width="2.7109375" style="99" hidden="1" customWidth="1"/>
    <col min="25" max="25" width="2.7109375" style="106" hidden="1" customWidth="1"/>
    <col min="26" max="26" width="9.5703125" style="95" hidden="1" customWidth="1"/>
    <col min="27" max="27" width="2.7109375" style="99" hidden="1" customWidth="1"/>
    <col min="28" max="28" width="2.7109375" style="105" hidden="1" customWidth="1"/>
    <col min="29" max="29" width="2.7109375" style="107" hidden="1" customWidth="1"/>
    <col min="30" max="30" width="2.7109375" style="99" hidden="1" customWidth="1"/>
    <col min="31" max="31" width="2.7109375" style="105" hidden="1" customWidth="1"/>
    <col min="32" max="46" width="2.7109375" style="99" hidden="1" customWidth="1"/>
    <col min="47" max="47" width="2.7109375" style="107" hidden="1" customWidth="1"/>
    <col min="48" max="48" width="2.7109375" style="99" hidden="1" customWidth="1"/>
    <col min="49" max="52" width="2.7109375" style="107" hidden="1" customWidth="1"/>
    <col min="53" max="53" width="2.7109375" style="99" hidden="1" customWidth="1"/>
    <col min="54" max="54" width="2.7109375" style="107" hidden="1" customWidth="1"/>
    <col min="55" max="71" width="2.7109375" style="99" hidden="1" customWidth="1"/>
    <col min="72" max="16384" width="2.7109375" style="72" hidden="1"/>
  </cols>
  <sheetData>
    <row r="1" spans="1:108" s="71" customFormat="1" ht="13.5" thickBot="1">
      <c r="A1" s="43"/>
      <c r="B1" s="56" t="s">
        <v>0</v>
      </c>
      <c r="C1" s="66" t="str">
        <f>TEXT(IF(LEFT(B2,1)="E",IF(C2/9=INT(C2/9),INT(C2/9),INT(C2/9)+1),IF(LEFT(B2,1)="U",IF(C2/10=INT(C2/10),INT(C2/10),INT(C2/10)+1),0)),"00")</f>
        <v>01</v>
      </c>
      <c r="D1" s="5"/>
      <c r="E1" s="5"/>
      <c r="F1" s="5"/>
      <c r="G1" s="5"/>
      <c r="H1" s="5"/>
      <c r="I1" s="5"/>
      <c r="J1" s="8" t="s">
        <v>1</v>
      </c>
      <c r="K1" s="57" t="s">
        <v>2</v>
      </c>
      <c r="L1" s="58"/>
      <c r="M1" s="63" t="s">
        <v>3</v>
      </c>
      <c r="N1" s="42" t="s">
        <v>4</v>
      </c>
      <c r="O1" s="5"/>
      <c r="P1" s="5"/>
      <c r="Q1" s="92" t="s">
        <v>5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6.25" thickBot="1">
      <c r="A2" s="1"/>
      <c r="B2" s="54" t="s">
        <v>6</v>
      </c>
      <c r="C2" s="55">
        <v>2</v>
      </c>
      <c r="D2" s="60" t="s">
        <v>7</v>
      </c>
      <c r="E2" s="61"/>
      <c r="F2" s="61" t="s">
        <v>8</v>
      </c>
      <c r="G2" s="62" t="s">
        <v>9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E2025002</v>
      </c>
      <c r="N2" s="42" t="s">
        <v>2</v>
      </c>
      <c r="O2" s="2"/>
      <c r="P2" s="2"/>
      <c r="Q2" s="92"/>
      <c r="R2" s="102" t="s">
        <v>9</v>
      </c>
      <c r="S2" s="69" t="s">
        <v>10</v>
      </c>
      <c r="T2" s="72"/>
      <c r="U2" s="69" t="s">
        <v>11</v>
      </c>
      <c r="V2" s="69" t="s">
        <v>12</v>
      </c>
      <c r="W2" s="69" t="s">
        <v>13</v>
      </c>
      <c r="X2" s="69" t="s">
        <v>14</v>
      </c>
      <c r="Y2" s="73" t="s">
        <v>15</v>
      </c>
      <c r="Z2" s="113" t="s">
        <v>16</v>
      </c>
      <c r="AA2" s="73" t="s">
        <v>17</v>
      </c>
      <c r="AB2" s="73" t="s">
        <v>18</v>
      </c>
      <c r="AC2" s="73" t="s">
        <v>19</v>
      </c>
      <c r="AD2" s="73" t="s">
        <v>20</v>
      </c>
      <c r="AE2" s="73" t="s">
        <v>21</v>
      </c>
      <c r="AF2" s="75" t="s">
        <v>22</v>
      </c>
      <c r="AG2" s="75" t="s">
        <v>23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>
      <c r="A3" s="1"/>
      <c r="B3" s="115" t="str">
        <f>IF(ISERROR(VLOOKUP($B$2&amp;TEXT($C$2,"000"),#REF!,4,FALSE)),"",VLOOKUP($B$2&amp;TEXT($C$2,"000"),#REF!,4,FALSE))</f>
        <v/>
      </c>
      <c r="C3" s="116"/>
      <c r="D3" s="39">
        <v>642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5"/>
      <c r="K3" s="5"/>
      <c r="L3" s="5"/>
      <c r="M3" s="117" t="s">
        <v>24</v>
      </c>
      <c r="N3" s="118"/>
      <c r="O3" s="2"/>
      <c r="P3" s="2"/>
      <c r="Q3" s="92" t="s">
        <v>25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2.75">
      <c r="A4" s="2"/>
      <c r="B4" s="122" t="s">
        <v>26</v>
      </c>
      <c r="C4" s="123"/>
      <c r="D4" s="119" t="s">
        <v>27</v>
      </c>
      <c r="E4" s="120"/>
      <c r="F4" s="120"/>
      <c r="G4" s="121"/>
      <c r="H4" s="5"/>
      <c r="I4" s="5"/>
      <c r="J4" s="5"/>
      <c r="K4" s="5"/>
      <c r="L4" s="5"/>
      <c r="M4" s="126" t="s">
        <v>28</v>
      </c>
      <c r="N4" s="127"/>
      <c r="O4" s="2"/>
      <c r="P4" s="2"/>
      <c r="Q4" s="92" t="s">
        <v>29</v>
      </c>
      <c r="R4" s="102">
        <f>(IF(G3="",0,G3))</f>
        <v>0</v>
      </c>
      <c r="S4" s="69">
        <f>SUM(I13:M13)</f>
        <v>0</v>
      </c>
      <c r="T4" s="86"/>
      <c r="U4" s="69">
        <f>AC18</f>
        <v>0</v>
      </c>
      <c r="V4" s="69">
        <f>+AC22</f>
        <v>0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0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>
      <c r="A5" s="2"/>
      <c r="B5" s="124" t="s">
        <v>30</v>
      </c>
      <c r="C5" s="125"/>
      <c r="D5" s="132" t="s">
        <v>31</v>
      </c>
      <c r="E5" s="133"/>
      <c r="F5" s="133"/>
      <c r="G5" s="134"/>
      <c r="H5" s="5"/>
      <c r="I5" s="5"/>
      <c r="J5" s="5"/>
      <c r="K5" s="5"/>
      <c r="L5" s="5"/>
      <c r="M5" s="128"/>
      <c r="N5" s="129"/>
      <c r="O5" s="2"/>
      <c r="P5" s="2"/>
      <c r="Q5" s="97" t="s">
        <v>32</v>
      </c>
      <c r="R5" s="102">
        <f>R4*R3</f>
        <v>0</v>
      </c>
      <c r="S5" s="78">
        <f t="shared" ref="S5" si="0">S4*S3</f>
        <v>0</v>
      </c>
      <c r="T5" s="100"/>
      <c r="U5" s="78">
        <f t="shared" ref="U5:AG5" si="1">U4*U3</f>
        <v>0</v>
      </c>
      <c r="V5" s="78">
        <f t="shared" si="1"/>
        <v>0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0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>
      <c r="A6" s="2"/>
      <c r="B6" s="122" t="s">
        <v>33</v>
      </c>
      <c r="C6" s="123"/>
      <c r="D6" s="137" t="s">
        <v>34</v>
      </c>
      <c r="E6" s="138"/>
      <c r="F6" s="138"/>
      <c r="G6" s="139"/>
      <c r="H6" s="5"/>
      <c r="I6" s="5"/>
      <c r="J6" s="5"/>
      <c r="K6" s="5"/>
      <c r="L6" s="5"/>
      <c r="M6" s="130"/>
      <c r="N6" s="131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2.75">
      <c r="A7" s="2"/>
      <c r="B7" s="152" t="s">
        <v>35</v>
      </c>
      <c r="C7" s="153"/>
      <c r="D7" s="140" t="s">
        <v>36</v>
      </c>
      <c r="E7" s="141"/>
      <c r="F7" s="141"/>
      <c r="G7" s="142"/>
      <c r="H7" s="5"/>
      <c r="I7" s="5"/>
      <c r="J7" s="5"/>
      <c r="K7" s="5"/>
      <c r="L7" s="5"/>
      <c r="M7" s="65">
        <f>Q7</f>
        <v>0</v>
      </c>
      <c r="N7" s="65"/>
      <c r="O7" s="2"/>
      <c r="P7" s="2"/>
      <c r="Q7" s="94">
        <f>SUM(R5,S5,AC16)</f>
        <v>0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>
      <c r="A8" s="2"/>
      <c r="B8" s="124" t="s">
        <v>37</v>
      </c>
      <c r="C8" s="154"/>
      <c r="D8" s="143" t="s">
        <v>38</v>
      </c>
      <c r="E8" s="144"/>
      <c r="F8" s="144"/>
      <c r="G8" s="14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0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>
      <c r="A9" s="2"/>
      <c r="B9" s="122" t="s">
        <v>39</v>
      </c>
      <c r="C9" s="155"/>
      <c r="D9" s="137" t="s">
        <v>40</v>
      </c>
      <c r="E9" s="138"/>
      <c r="F9" s="138"/>
      <c r="G9" s="13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>
      <c r="A10" s="1"/>
      <c r="B10" s="156" t="s">
        <v>41</v>
      </c>
      <c r="C10" s="157"/>
      <c r="D10" s="146" t="s">
        <v>42</v>
      </c>
      <c r="E10" s="147"/>
      <c r="F10" s="147"/>
      <c r="G10" s="148"/>
      <c r="H10" s="8"/>
      <c r="I10" s="10" t="s">
        <v>10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3.5" thickBot="1">
      <c r="A11" s="17"/>
      <c r="B11" s="135" t="s">
        <v>43</v>
      </c>
      <c r="C11" s="136"/>
      <c r="D11" s="149" t="s">
        <v>44</v>
      </c>
      <c r="E11" s="150"/>
      <c r="F11" s="150"/>
      <c r="G11" s="151"/>
      <c r="H11" s="28" t="s">
        <v>45</v>
      </c>
      <c r="I11" s="18" t="s">
        <v>46</v>
      </c>
      <c r="J11" s="19" t="s">
        <v>47</v>
      </c>
      <c r="K11" s="19" t="s">
        <v>48</v>
      </c>
      <c r="L11" s="19" t="s">
        <v>49</v>
      </c>
      <c r="M11" s="7" t="s">
        <v>50</v>
      </c>
      <c r="N11" s="7" t="s">
        <v>51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>
      <c r="A12" s="1"/>
      <c r="B12" s="2"/>
      <c r="C12" s="2"/>
      <c r="D12" s="2"/>
      <c r="E12" s="2"/>
      <c r="F12" s="50" t="str">
        <f>IF(G12="","",$B$2)</f>
        <v>E2025</v>
      </c>
      <c r="G12" s="51">
        <f>IF(I12="","",$C$2)</f>
        <v>2</v>
      </c>
      <c r="H12" s="40" t="str">
        <f>$I$10</f>
        <v>LOGISTICS</v>
      </c>
      <c r="I12" s="14" t="s">
        <v>52</v>
      </c>
      <c r="J12" s="15" t="s">
        <v>53</v>
      </c>
      <c r="K12" s="15" t="s">
        <v>54</v>
      </c>
      <c r="L12" s="15" t="s">
        <v>55</v>
      </c>
      <c r="M12" s="16" t="s">
        <v>56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" customHeight="1" thickBot="1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>
      <c r="A14" s="1"/>
      <c r="B14" s="135" t="s">
        <v>57</v>
      </c>
      <c r="C14" s="136"/>
      <c r="D14" s="149" t="s">
        <v>58</v>
      </c>
      <c r="E14" s="150"/>
      <c r="F14" s="150"/>
      <c r="G14" s="151"/>
      <c r="H14" s="5"/>
      <c r="I14" s="10" t="s">
        <v>59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>
      <c r="A15" s="17"/>
      <c r="B15" s="5"/>
      <c r="C15" s="5"/>
      <c r="D15" s="41" t="s">
        <v>60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115.5" thickBot="1">
      <c r="A16" s="20"/>
      <c r="B16" s="21" t="s">
        <v>61</v>
      </c>
      <c r="C16" s="22" t="s">
        <v>62</v>
      </c>
      <c r="D16" s="6" t="s">
        <v>63</v>
      </c>
      <c r="E16" s="6" t="s">
        <v>64</v>
      </c>
      <c r="F16" s="6" t="s">
        <v>65</v>
      </c>
      <c r="G16" s="6" t="s">
        <v>66</v>
      </c>
      <c r="H16" s="6" t="s">
        <v>45</v>
      </c>
      <c r="I16" s="23" t="s">
        <v>67</v>
      </c>
      <c r="J16" s="9" t="s">
        <v>68</v>
      </c>
      <c r="K16" s="9" t="s">
        <v>69</v>
      </c>
      <c r="L16" s="9" t="s">
        <v>70</v>
      </c>
      <c r="M16" s="9" t="s">
        <v>71</v>
      </c>
      <c r="N16" s="6" t="s">
        <v>51</v>
      </c>
      <c r="O16" s="68" t="s">
        <v>72</v>
      </c>
      <c r="P16" s="68" t="s">
        <v>73</v>
      </c>
      <c r="Q16" s="98" t="s">
        <v>23</v>
      </c>
      <c r="R16" s="101">
        <f>SUM(Q17:Q106)</f>
        <v>0</v>
      </c>
      <c r="S16" s="75"/>
      <c r="T16" s="78">
        <f>AF26+AF29</f>
        <v>0</v>
      </c>
      <c r="U16" s="84" t="s">
        <v>22</v>
      </c>
      <c r="V16" s="83">
        <f>SUM(V17:V24)</f>
        <v>0</v>
      </c>
      <c r="X16" s="75" t="s">
        <v>74</v>
      </c>
      <c r="Y16" s="83">
        <f>SUM(Y17:Y24)</f>
        <v>0</v>
      </c>
      <c r="Z16" s="98" t="s">
        <v>75</v>
      </c>
      <c r="AA16" s="83">
        <f>SUM(AA17:AA24)</f>
        <v>0</v>
      </c>
      <c r="AB16" s="84" t="s">
        <v>76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83">
        <f>SUM(AD17:AD24)</f>
        <v>45</v>
      </c>
      <c r="AE16" s="84" t="s">
        <v>71</v>
      </c>
      <c r="AF16" s="83">
        <f>SUM(AF17:AF24)</f>
        <v>0</v>
      </c>
      <c r="AG16" s="83">
        <f>SUM(AG17:AG21)</f>
        <v>0</v>
      </c>
      <c r="AH16" s="75"/>
      <c r="AI16" s="75"/>
      <c r="AK16" s="85" t="s">
        <v>77</v>
      </c>
      <c r="AM16" s="75" t="s">
        <v>78</v>
      </c>
      <c r="AN16" s="75" t="s">
        <v>64</v>
      </c>
      <c r="AO16" s="75"/>
      <c r="AP16" s="75" t="s">
        <v>79</v>
      </c>
      <c r="AQ16" s="75"/>
      <c r="AR16" s="75" t="s">
        <v>80</v>
      </c>
      <c r="AS16" s="75"/>
      <c r="AT16" s="75" t="s">
        <v>48</v>
      </c>
      <c r="AU16" s="75"/>
      <c r="AV16" s="75" t="s">
        <v>81</v>
      </c>
      <c r="AW16" s="75"/>
      <c r="AX16" s="75"/>
      <c r="AY16" s="75"/>
      <c r="AZ16" s="75"/>
      <c r="BA16" s="85" t="s">
        <v>82</v>
      </c>
      <c r="BB16" s="75"/>
      <c r="BC16" s="75" t="s">
        <v>83</v>
      </c>
      <c r="BE16" s="86" t="s">
        <v>84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2.7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85</v>
      </c>
      <c r="U17" s="74" t="s">
        <v>86</v>
      </c>
      <c r="V17" s="73">
        <f>COUNTIF($M$17:$M$106,U17)</f>
        <v>0</v>
      </c>
      <c r="X17" s="87" t="s">
        <v>87</v>
      </c>
      <c r="Y17" s="70">
        <f>COUNTIF($J$17:$J$106,X17)</f>
        <v>0</v>
      </c>
      <c r="Z17" s="113" t="s">
        <v>88</v>
      </c>
      <c r="AA17" s="70">
        <f>COUNTIF($K$17:$K$106,Z17)</f>
        <v>0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89</v>
      </c>
      <c r="AF17" s="73">
        <f t="shared" ref="AF17:AF48" si="7">COUNTIF($M$17:$M$106,AE17)</f>
        <v>0</v>
      </c>
      <c r="AG17" s="70">
        <f>COUNTIF($E$17:$E$106,$AK17)</f>
        <v>0</v>
      </c>
      <c r="AH17" s="73"/>
      <c r="AI17" s="73"/>
      <c r="AK17" s="88">
        <v>1</v>
      </c>
      <c r="AM17" s="73" t="s">
        <v>90</v>
      </c>
      <c r="AN17" s="73">
        <v>1</v>
      </c>
      <c r="AO17" s="73"/>
      <c r="AP17" s="73" t="s">
        <v>52</v>
      </c>
      <c r="AQ17" s="73">
        <v>0</v>
      </c>
      <c r="AR17" s="73" t="s">
        <v>53</v>
      </c>
      <c r="AS17" s="73">
        <v>0</v>
      </c>
      <c r="AT17" s="73" t="s">
        <v>54</v>
      </c>
      <c r="AU17" s="73">
        <v>0</v>
      </c>
      <c r="AV17" s="73" t="s">
        <v>55</v>
      </c>
      <c r="AW17" s="73">
        <v>0</v>
      </c>
      <c r="AX17" s="73"/>
      <c r="AY17" s="73"/>
      <c r="AZ17" s="73"/>
      <c r="BA17" s="89" t="s">
        <v>91</v>
      </c>
      <c r="BB17" s="73"/>
      <c r="BC17" s="87">
        <v>0</v>
      </c>
      <c r="BE17" s="73" t="s">
        <v>92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2.7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11</v>
      </c>
      <c r="P18" s="5">
        <v>0.5</v>
      </c>
      <c r="Q18" s="92">
        <f t="shared" si="4"/>
        <v>0</v>
      </c>
      <c r="R18" s="5" t="s">
        <v>93</v>
      </c>
      <c r="U18" s="74" t="s">
        <v>94</v>
      </c>
      <c r="V18" s="73">
        <f t="shared" ref="V18:V24" si="9">COUNTIF($M$17:$M$106,$U18)</f>
        <v>0</v>
      </c>
      <c r="W18" s="78"/>
      <c r="X18" s="87" t="s">
        <v>95</v>
      </c>
      <c r="Y18" s="70">
        <f>COUNTIF($J$17:$J$106,X18)</f>
        <v>0</v>
      </c>
      <c r="Z18" s="113" t="s">
        <v>96</v>
      </c>
      <c r="AA18" s="70">
        <f>COUNTIF($K$17:$K$106,Z18)</f>
        <v>0</v>
      </c>
      <c r="AB18" s="74" t="s">
        <v>11</v>
      </c>
      <c r="AC18" s="69">
        <f t="shared" si="5"/>
        <v>0</v>
      </c>
      <c r="AD18" s="69">
        <f t="shared" si="6"/>
        <v>0.5</v>
      </c>
      <c r="AE18" s="74" t="s">
        <v>97</v>
      </c>
      <c r="AF18" s="73">
        <f t="shared" si="7"/>
        <v>0</v>
      </c>
      <c r="AG18" s="70">
        <f>COUNTIF($E$17:$E$106,$AK18)</f>
        <v>0</v>
      </c>
      <c r="AH18" s="73"/>
      <c r="AI18" s="73"/>
      <c r="AK18" s="88">
        <v>2</v>
      </c>
      <c r="AM18" s="73" t="s">
        <v>98</v>
      </c>
      <c r="AN18" s="73">
        <v>2</v>
      </c>
      <c r="AO18" s="73"/>
      <c r="AP18" s="73" t="s">
        <v>99</v>
      </c>
      <c r="AQ18" s="73">
        <v>2</v>
      </c>
      <c r="AR18" s="73" t="s">
        <v>56</v>
      </c>
      <c r="AS18" s="73">
        <v>5</v>
      </c>
      <c r="AT18" s="73" t="s">
        <v>52</v>
      </c>
      <c r="AU18" s="73">
        <v>1</v>
      </c>
      <c r="AV18" s="73" t="s">
        <v>52</v>
      </c>
      <c r="AW18" s="73">
        <v>1</v>
      </c>
      <c r="AX18" s="73"/>
      <c r="AY18" s="73"/>
      <c r="AZ18" s="73"/>
      <c r="BA18" s="89" t="s">
        <v>100</v>
      </c>
      <c r="BB18" s="73"/>
      <c r="BC18" s="87">
        <v>1</v>
      </c>
      <c r="BE18" s="73" t="s">
        <v>101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2.7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22</v>
      </c>
      <c r="P19" s="5">
        <v>15</v>
      </c>
      <c r="Q19" s="92">
        <f t="shared" si="4"/>
        <v>0</v>
      </c>
      <c r="R19" s="5" t="s">
        <v>85</v>
      </c>
      <c r="U19" s="74" t="s">
        <v>102</v>
      </c>
      <c r="V19" s="73">
        <f t="shared" si="9"/>
        <v>0</v>
      </c>
      <c r="W19" s="83"/>
      <c r="X19" s="90"/>
      <c r="Y19" s="91"/>
      <c r="Z19" s="113" t="s">
        <v>103</v>
      </c>
      <c r="AA19" s="70">
        <f>COUNTIF($K$17:$K$106,Z19)</f>
        <v>0</v>
      </c>
      <c r="AB19" s="74" t="s">
        <v>22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0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104</v>
      </c>
      <c r="AU19" s="82">
        <v>2</v>
      </c>
      <c r="AV19" s="73" t="s">
        <v>105</v>
      </c>
      <c r="AW19" s="82">
        <v>2</v>
      </c>
      <c r="AX19" s="82"/>
      <c r="AY19" s="82"/>
      <c r="AZ19" s="82"/>
      <c r="BA19" s="89" t="s">
        <v>106</v>
      </c>
      <c r="BB19" s="82"/>
      <c r="BC19" s="87">
        <v>2</v>
      </c>
      <c r="BE19" s="73" t="s">
        <v>107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2.7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20</v>
      </c>
      <c r="P20" s="5">
        <v>10</v>
      </c>
      <c r="Q20" s="92">
        <f t="shared" si="4"/>
        <v>0</v>
      </c>
      <c r="R20" s="5" t="s">
        <v>93</v>
      </c>
      <c r="U20" s="74" t="s">
        <v>108</v>
      </c>
      <c r="V20" s="73">
        <f t="shared" si="9"/>
        <v>0</v>
      </c>
      <c r="X20" s="90"/>
      <c r="Y20" s="91"/>
      <c r="Z20" s="96"/>
      <c r="AA20" s="73"/>
      <c r="AB20" s="74" t="s">
        <v>20</v>
      </c>
      <c r="AC20" s="69">
        <f t="shared" si="5"/>
        <v>0</v>
      </c>
      <c r="AD20" s="69">
        <f t="shared" si="6"/>
        <v>10</v>
      </c>
      <c r="AE20" s="74" t="s">
        <v>109</v>
      </c>
      <c r="AF20" s="73">
        <f t="shared" si="7"/>
        <v>0</v>
      </c>
      <c r="AG20" s="70">
        <f>COUNTIF($E$17:$E$106,$AK20)</f>
        <v>0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110</v>
      </c>
      <c r="BB20" s="82"/>
      <c r="BC20" s="87">
        <v>3</v>
      </c>
      <c r="BE20" s="73" t="s">
        <v>111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2.7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17</v>
      </c>
      <c r="P21" s="5">
        <v>5</v>
      </c>
      <c r="Q21" s="92">
        <f t="shared" si="4"/>
        <v>0</v>
      </c>
      <c r="R21" s="5" t="s">
        <v>85</v>
      </c>
      <c r="U21" s="74" t="s">
        <v>112</v>
      </c>
      <c r="V21" s="73">
        <f t="shared" si="9"/>
        <v>0</v>
      </c>
      <c r="X21" s="90"/>
      <c r="Y21" s="91"/>
      <c r="Z21" s="113"/>
      <c r="AA21" s="73"/>
      <c r="AB21" s="74" t="s">
        <v>17</v>
      </c>
      <c r="AC21" s="69">
        <f t="shared" si="5"/>
        <v>0</v>
      </c>
      <c r="AD21" s="69">
        <f t="shared" si="6"/>
        <v>5</v>
      </c>
      <c r="AE21" s="74" t="s">
        <v>86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113</v>
      </c>
      <c r="AM21" s="73"/>
      <c r="AN21" s="73" t="s">
        <v>113</v>
      </c>
      <c r="AO21" s="73"/>
      <c r="AT21" s="73"/>
      <c r="AU21" s="82"/>
      <c r="AV21" s="73"/>
      <c r="AW21" s="82"/>
      <c r="AX21" s="82"/>
      <c r="AY21" s="82"/>
      <c r="AZ21" s="82"/>
      <c r="BA21" s="89" t="s">
        <v>114</v>
      </c>
      <c r="BB21" s="82"/>
      <c r="BC21" s="87">
        <v>4</v>
      </c>
      <c r="BE21" s="73" t="s">
        <v>115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2.7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12</v>
      </c>
      <c r="P22" s="5">
        <v>1</v>
      </c>
      <c r="Q22" s="92">
        <f t="shared" si="4"/>
        <v>0</v>
      </c>
      <c r="R22" s="5"/>
      <c r="U22" s="74" t="s">
        <v>116</v>
      </c>
      <c r="V22" s="73">
        <f t="shared" si="9"/>
        <v>0</v>
      </c>
      <c r="X22" s="90"/>
      <c r="Y22" s="91"/>
      <c r="Z22" s="113"/>
      <c r="AA22" s="73"/>
      <c r="AB22" s="74" t="s">
        <v>12</v>
      </c>
      <c r="AC22" s="69">
        <f t="shared" si="5"/>
        <v>0</v>
      </c>
      <c r="AD22" s="69">
        <f t="shared" si="6"/>
        <v>1</v>
      </c>
      <c r="AE22" s="74" t="s">
        <v>117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118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2.7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16</v>
      </c>
      <c r="P23" s="5">
        <v>2.5</v>
      </c>
      <c r="Q23" s="92">
        <f t="shared" si="4"/>
        <v>0</v>
      </c>
      <c r="R23" s="5"/>
      <c r="U23" s="74" t="s">
        <v>119</v>
      </c>
      <c r="V23" s="73">
        <f t="shared" si="9"/>
        <v>0</v>
      </c>
      <c r="X23" s="90"/>
      <c r="Y23" s="91"/>
      <c r="Z23" s="113"/>
      <c r="AA23" s="73"/>
      <c r="AB23" s="74" t="s">
        <v>16</v>
      </c>
      <c r="AC23" s="69">
        <f t="shared" si="5"/>
        <v>0</v>
      </c>
      <c r="AD23" s="69">
        <f t="shared" si="6"/>
        <v>2.5</v>
      </c>
      <c r="AE23" s="74" t="s">
        <v>94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120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2.7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13</v>
      </c>
      <c r="P24" s="5">
        <v>1</v>
      </c>
      <c r="Q24" s="92">
        <f t="shared" si="4"/>
        <v>0</v>
      </c>
      <c r="R24" s="5" t="s">
        <v>93</v>
      </c>
      <c r="U24" s="74" t="s">
        <v>121</v>
      </c>
      <c r="V24" s="73">
        <f t="shared" si="9"/>
        <v>0</v>
      </c>
      <c r="X24" s="90"/>
      <c r="Y24" s="91"/>
      <c r="Z24" s="113"/>
      <c r="AA24" s="73"/>
      <c r="AB24" s="74" t="s">
        <v>13</v>
      </c>
      <c r="AC24" s="69">
        <f t="shared" si="5"/>
        <v>0</v>
      </c>
      <c r="AD24" s="69">
        <f t="shared" si="6"/>
        <v>1</v>
      </c>
      <c r="AE24" s="74" t="s">
        <v>102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2.7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15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15</v>
      </c>
      <c r="AC25" s="69">
        <f t="shared" si="5"/>
        <v>0</v>
      </c>
      <c r="AD25" s="69">
        <f t="shared" si="6"/>
        <v>2</v>
      </c>
      <c r="AE25" s="74" t="s">
        <v>122</v>
      </c>
      <c r="AF25" s="73">
        <f t="shared" si="7"/>
        <v>0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2.7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84</v>
      </c>
      <c r="P26" s="5">
        <v>20</v>
      </c>
      <c r="Q26" s="92">
        <f t="shared" si="4"/>
        <v>0</v>
      </c>
      <c r="R26" s="5" t="s">
        <v>85</v>
      </c>
      <c r="U26" s="81"/>
      <c r="X26" s="90"/>
      <c r="Y26" s="91"/>
      <c r="Z26" s="113"/>
      <c r="AA26" s="73"/>
      <c r="AB26" s="74" t="s">
        <v>84</v>
      </c>
      <c r="AC26" s="69">
        <f t="shared" si="5"/>
        <v>0</v>
      </c>
      <c r="AD26" s="69">
        <v>20</v>
      </c>
      <c r="AE26" s="74" t="s">
        <v>115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2.7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18</v>
      </c>
      <c r="P27" s="5">
        <v>5</v>
      </c>
      <c r="Q27" s="92">
        <f t="shared" si="4"/>
        <v>0</v>
      </c>
      <c r="R27" s="5" t="s">
        <v>85</v>
      </c>
      <c r="U27" s="81"/>
      <c r="X27" s="90"/>
      <c r="Y27" s="91"/>
      <c r="Z27" s="113"/>
      <c r="AA27" s="73"/>
      <c r="AB27" s="74" t="s">
        <v>18</v>
      </c>
      <c r="AC27" s="69">
        <f t="shared" si="5"/>
        <v>0</v>
      </c>
      <c r="AD27" s="69">
        <f>P27</f>
        <v>5</v>
      </c>
      <c r="AE27" s="74" t="s">
        <v>20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2.7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21</v>
      </c>
      <c r="P28" s="5">
        <v>10</v>
      </c>
      <c r="Q28" s="92">
        <f t="shared" si="4"/>
        <v>0</v>
      </c>
      <c r="R28" s="5" t="s">
        <v>85</v>
      </c>
      <c r="U28" s="81"/>
      <c r="X28" s="90"/>
      <c r="Y28" s="91"/>
      <c r="Z28" s="113"/>
      <c r="AA28" s="73"/>
      <c r="AB28" s="74" t="s">
        <v>21</v>
      </c>
      <c r="AC28" s="69">
        <f t="shared" si="5"/>
        <v>0</v>
      </c>
      <c r="AD28" s="69">
        <f>P28</f>
        <v>10</v>
      </c>
      <c r="AE28" s="74" t="s">
        <v>17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2.7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14</v>
      </c>
      <c r="P29" s="5">
        <v>1</v>
      </c>
      <c r="Q29" s="92">
        <f t="shared" si="4"/>
        <v>0</v>
      </c>
      <c r="R29" s="5" t="s">
        <v>93</v>
      </c>
      <c r="U29" s="81"/>
      <c r="X29" s="90"/>
      <c r="Y29" s="91"/>
      <c r="Z29" s="113"/>
      <c r="AA29" s="73"/>
      <c r="AB29" s="74" t="s">
        <v>14</v>
      </c>
      <c r="AC29" s="69">
        <f t="shared" si="5"/>
        <v>0</v>
      </c>
      <c r="AD29" s="69">
        <f>P29</f>
        <v>1</v>
      </c>
      <c r="AE29" s="74" t="s">
        <v>123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2.7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124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2.7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125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2.7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108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2.7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126</v>
      </c>
      <c r="AF33" s="73">
        <f t="shared" si="7"/>
        <v>0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2.7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127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2.7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128</v>
      </c>
      <c r="AF35" s="73">
        <f t="shared" si="7"/>
        <v>0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2.7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18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2.7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23</v>
      </c>
      <c r="AC37" s="69">
        <f>COUNTIF($L$17:$L$106,AB37)</f>
        <v>0</v>
      </c>
      <c r="AD37" s="69">
        <v>20</v>
      </c>
      <c r="AE37" s="74" t="s">
        <v>112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2.7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116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2.7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119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2.7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92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2.7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101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2.7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129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2.7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21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2.7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111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2.7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130</v>
      </c>
      <c r="AF45" s="73">
        <f t="shared" si="7"/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2.7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131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2.7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107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2.7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121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2.7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2.7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2.7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2.7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2.7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2.7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2.7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2.7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2.7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2.7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2.7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2.7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2.7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2.7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2.7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2.7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2.7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2.7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2.7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2.7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2.7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2.7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2.7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2.7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2.7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2.7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2.7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2.7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2.7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2.7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2.7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2.7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2.7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2.7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2.7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2.7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2.7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2.7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2.7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2.7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2.7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2.7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2.7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2.7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2.7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2.7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2.7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2.7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2.7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2.7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2.7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2.7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2.7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2.7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2.7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2.7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2.7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2.7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2.7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2.7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>
      <c r="W109" s="104"/>
    </row>
    <row r="110" spans="1:71">
      <c r="W110" s="4"/>
    </row>
    <row r="111" spans="1:71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/>
  <cols>
    <col min="1" max="1" width="3.140625" style="44" customWidth="1"/>
    <col min="2" max="2" width="13.85546875" style="44" bestFit="1" customWidth="1"/>
    <col min="3" max="3" width="24.85546875" style="44" bestFit="1" customWidth="1"/>
    <col min="4" max="4" width="6.42578125" style="44" bestFit="1" customWidth="1"/>
    <col min="5" max="5" width="1.42578125" style="44" customWidth="1"/>
    <col min="6" max="6" width="34.42578125" style="44" bestFit="1" customWidth="1"/>
    <col min="7" max="7" width="1.42578125" style="44" customWidth="1"/>
    <col min="8" max="16382" width="10.85546875" style="44" hidden="1"/>
    <col min="16383" max="16384" width="52.5703125" style="44" hidden="1" customWidth="1"/>
  </cols>
  <sheetData>
    <row r="1" spans="2:6">
      <c r="F1" s="45" t="str">
        <f>"REPORT_"&amp;'SCOUT &amp; LOGISTICS'!B2&amp;TEXT('SCOUT &amp; LOGISTICS'!C2,"000")</f>
        <v>REPORT_E2025002</v>
      </c>
    </row>
    <row r="2" spans="2:6">
      <c r="F2" s="46" t="s">
        <v>132</v>
      </c>
    </row>
    <row r="3" spans="2:6">
      <c r="B3" s="44" t="s">
        <v>133</v>
      </c>
      <c r="C3" s="44" t="str">
        <f>""""&amp;'SCOUT &amp; LOGISTICS'!B2&amp;TEXT('SCOUT &amp; LOGISTICS'!C2,"000")&amp;""""</f>
        <v>"E2025002"</v>
      </c>
      <c r="F3" s="46" t="str">
        <f t="shared" ref="F3:F16" si="0">""""&amp;B3&amp;"""" &amp; " : " &amp;C3&amp;","</f>
        <v>"name" : "E2025002",</v>
      </c>
    </row>
    <row r="4" spans="2:6">
      <c r="B4" s="44" t="s">
        <v>134</v>
      </c>
      <c r="C4" s="44" t="str">
        <f>""""&amp;LEFT('SCOUT &amp; LOGISTICS'!B2,1) &amp; TEXT('SCOUT &amp; LOGISTICS'!C2,"000")&amp;""""</f>
        <v>"E002"</v>
      </c>
      <c r="F4" s="46" t="str">
        <f t="shared" si="0"/>
        <v>"cod" : "E002",</v>
      </c>
    </row>
    <row r="5" spans="2:6">
      <c r="B5" s="44" t="s">
        <v>135</v>
      </c>
      <c r="C5" s="44" t="str">
        <f>""""&amp;LEFT('SCOUT &amp; LOGISTICS'!B2,1)&amp;""""</f>
        <v>"E"</v>
      </c>
      <c r="F5" s="46" t="str">
        <f t="shared" si="0"/>
        <v>"competition" : "E",</v>
      </c>
    </row>
    <row r="6" spans="2:6">
      <c r="B6" s="44" t="s">
        <v>136</v>
      </c>
      <c r="C6" s="44" t="str">
        <f>TEXT('SCOUT &amp; LOGISTICS'!C2,"000")</f>
        <v>002</v>
      </c>
      <c r="F6" s="46" t="str">
        <f t="shared" si="0"/>
        <v>"number" : 002,</v>
      </c>
    </row>
    <row r="7" spans="2:6">
      <c r="B7" s="44" t="s">
        <v>137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>
      <c r="B8" s="44" t="s">
        <v>138</v>
      </c>
      <c r="C8" s="44" t="str">
        <f>""""&amp;'SCOUT &amp; LOGISTICS'!D4 &amp;""""</f>
        <v>"BASKONIA VITORIA-GASTEIZ"</v>
      </c>
      <c r="F8" s="46" t="str">
        <f t="shared" si="0"/>
        <v>"home_team" : "BASKONIA VITORIA-GASTEIZ",</v>
      </c>
    </row>
    <row r="9" spans="2:6">
      <c r="B9" s="44" t="s">
        <v>139</v>
      </c>
      <c r="C9" s="44" t="str">
        <f>""""&amp;'SCOUT &amp; LOGISTICS'!D5&amp;""""</f>
        <v>"OLYMPIACOS PIRAEUS"</v>
      </c>
      <c r="F9" s="46" t="str">
        <f t="shared" si="0"/>
        <v>"away_team" : "OLYMPIACOS PIRAEUS",</v>
      </c>
    </row>
    <row r="10" spans="2:6">
      <c r="B10" s="44" t="s">
        <v>140</v>
      </c>
      <c r="C10" s="44" t="str">
        <f>""""&amp;IF('SCOUT &amp; LOGISTICS'!D6="","",'SCOUT &amp; LOGISTICS'!D6)&amp;""""</f>
        <v>"ANDONI COLMENERO"</v>
      </c>
      <c r="F10" s="46" t="str">
        <f t="shared" si="0"/>
        <v>"Data_entry" : "ANDONI COLMENERO",</v>
      </c>
    </row>
    <row r="11" spans="2:6">
      <c r="B11" s="44" t="s">
        <v>141</v>
      </c>
      <c r="C11" s="44" t="str">
        <f>""""&amp;IF('SCOUT &amp; LOGISTICS'!D7="","",'SCOUT &amp; LOGISTICS'!D7)&amp;""""</f>
        <v>"RAQUEL GARCIA-SAMPEDRO"</v>
      </c>
      <c r="F11" s="46" t="str">
        <f t="shared" si="0"/>
        <v>"Caller_1" : "RAQUEL GARCIA-SAMPEDRO",</v>
      </c>
    </row>
    <row r="12" spans="2:6">
      <c r="B12" s="44" t="s">
        <v>142</v>
      </c>
      <c r="C12" s="44" t="str">
        <f>""""&amp;IF('SCOUT &amp; LOGISTICS'!D8="","",'SCOUT &amp; LOGISTICS'!D8)&amp;""""</f>
        <v>"LUIS MOULIAA"</v>
      </c>
      <c r="F12" s="46" t="str">
        <f t="shared" si="0"/>
        <v>"Caller_2" : "LUIS MOULIAA",</v>
      </c>
    </row>
    <row r="13" spans="2:6">
      <c r="B13" s="44" t="s">
        <v>39</v>
      </c>
      <c r="C13" s="44" t="str">
        <f>""""&amp;IF('SCOUT &amp; LOGISTICS'!D9="","",'SCOUT &amp; LOGISTICS'!D9)&amp;""""</f>
        <v>"RODRIGO MENDAZA"</v>
      </c>
      <c r="F13" s="46" t="str">
        <f t="shared" si="0"/>
        <v>"Timerkeeper" : "RODRIGO MENDAZA",</v>
      </c>
    </row>
    <row r="14" spans="2:6">
      <c r="B14" s="44" t="s">
        <v>41</v>
      </c>
      <c r="C14" s="44" t="str">
        <f>""""&amp;IF('SCOUT &amp; LOGISTICS'!D10="","",'SCOUT &amp; LOGISTICS'!D10)&amp;""""</f>
        <v>"SERGIO CASTRO"</v>
      </c>
      <c r="F14" s="46" t="str">
        <f t="shared" si="0"/>
        <v>"Shotclock" : "SERGIO CASTRO",</v>
      </c>
    </row>
    <row r="15" spans="2:6">
      <c r="B15" s="44" t="s">
        <v>43</v>
      </c>
      <c r="C15" s="44" t="str">
        <f>""""&amp;IF('SCOUT &amp; LOGISTICS'!D11="","",'SCOUT &amp; LOGISTICS'!D11)&amp;""""</f>
        <v>"IKER BASCONES"</v>
      </c>
      <c r="F15" s="46" t="str">
        <f t="shared" si="0"/>
        <v>"IRS" : "IKER BASCONES",</v>
      </c>
    </row>
    <row r="16" spans="2:6">
      <c r="B16" s="44" t="s">
        <v>143</v>
      </c>
      <c r="C16" s="44" t="str">
        <f>""""&amp;IF('SCOUT &amp; LOGISTICS'!D14=0,"",'SCOUT &amp; LOGISTICS'!D14)&amp;""""</f>
        <v>"XAVI MATEU"</v>
      </c>
      <c r="F16" s="46" t="str">
        <f t="shared" si="0"/>
        <v>"Live_Game_Manager" : "XAVI MATEU",</v>
      </c>
    </row>
    <row r="17" spans="2:6">
      <c r="B17" s="44" t="s">
        <v>90</v>
      </c>
      <c r="C17" s="44" t="s">
        <v>132</v>
      </c>
      <c r="F17" s="46" t="str">
        <f>""""&amp;B17&amp;"""" &amp; " : " &amp;C17</f>
        <v>"logistics" : {</v>
      </c>
    </row>
    <row r="18" spans="2:6">
      <c r="C18" s="44" t="s">
        <v>144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>
      <c r="C19" s="44" t="s">
        <v>145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>
      <c r="C20" s="44" t="s">
        <v>146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>
      <c r="C21" s="44" t="s">
        <v>147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>
      <c r="C22" s="44" t="s">
        <v>148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>
      <c r="F23" s="46" t="s">
        <v>149</v>
      </c>
    </row>
    <row r="24" spans="2:6">
      <c r="B24" s="44" t="s">
        <v>98</v>
      </c>
      <c r="C24" s="44" t="s">
        <v>132</v>
      </c>
      <c r="F24" s="46" t="str">
        <f>""""&amp;B24&amp;"""" &amp; " : " &amp;C24</f>
        <v>"scouting" : {</v>
      </c>
    </row>
    <row r="25" spans="2:6">
      <c r="C25" s="44" t="s">
        <v>150</v>
      </c>
      <c r="D25" s="44">
        <f>'SCOUT &amp; LOGISTICS'!D3</f>
        <v>642</v>
      </c>
      <c r="F25" s="46" t="str">
        <f t="shared" ref="F25:F48" si="1">""""&amp;C25&amp;"""" &amp; " : " &amp;D25&amp;","</f>
        <v>"total_actions" : 642,</v>
      </c>
    </row>
    <row r="26" spans="2:6">
      <c r="C26" s="44" t="s">
        <v>151</v>
      </c>
      <c r="D26" s="44">
        <f>'SCOUT &amp; LOGISTICS'!F3</f>
        <v>0</v>
      </c>
      <c r="F26" s="46" t="str">
        <f t="shared" si="1"/>
        <v>"total_correcions" : 0,</v>
      </c>
    </row>
    <row r="27" spans="2:6">
      <c r="C27" s="44" t="s">
        <v>152</v>
      </c>
      <c r="D27" s="44" t="str">
        <f>""""&amp;IF(OR(D25="",D25=0),"",TEXT(D26/D25,"0,0%"))&amp;""""</f>
        <v>"00%"</v>
      </c>
      <c r="F27" s="46" t="str">
        <f t="shared" si="1"/>
        <v>"%_corrections" : "00%",</v>
      </c>
    </row>
    <row r="28" spans="2:6">
      <c r="C28" s="44" t="s">
        <v>138</v>
      </c>
      <c r="D28" s="44">
        <f>IF('SCOUT &amp; LOGISTICS'!AA17="","",'SCOUT &amp; LOGISTICS'!AA17)</f>
        <v>0</v>
      </c>
      <c r="F28" s="46" t="str">
        <f t="shared" si="1"/>
        <v>"home_team" : 0,</v>
      </c>
    </row>
    <row r="29" spans="2:6">
      <c r="C29" s="44" t="s">
        <v>153</v>
      </c>
      <c r="D29" s="44">
        <f>IF('SCOUT &amp; LOGISTICS'!AA18="","",'SCOUT &amp; LOGISTICS'!AA18)</f>
        <v>0</v>
      </c>
      <c r="F29" s="46" t="str">
        <f t="shared" si="1"/>
        <v>"no_team" : 0,</v>
      </c>
    </row>
    <row r="30" spans="2:6">
      <c r="C30" s="44" t="s">
        <v>139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>
      <c r="C31" s="44" t="s">
        <v>154</v>
      </c>
      <c r="D31" s="44">
        <f>'SCOUT &amp; LOGISTICS'!AG17</f>
        <v>0</v>
      </c>
      <c r="F31" s="46" t="str">
        <f t="shared" si="1"/>
        <v>"q1" : 0,</v>
      </c>
    </row>
    <row r="32" spans="2:6">
      <c r="C32" s="44" t="s">
        <v>155</v>
      </c>
      <c r="D32" s="44">
        <f>'SCOUT &amp; LOGISTICS'!AG18</f>
        <v>0</v>
      </c>
      <c r="F32" s="46" t="str">
        <f t="shared" si="1"/>
        <v>"q2" : 0,</v>
      </c>
    </row>
    <row r="33" spans="3:6">
      <c r="C33" s="44" t="s">
        <v>156</v>
      </c>
      <c r="D33" s="44">
        <f>'SCOUT &amp; LOGISTICS'!AG19</f>
        <v>0</v>
      </c>
      <c r="F33" s="46" t="str">
        <f t="shared" si="1"/>
        <v>"q3" : 0,</v>
      </c>
    </row>
    <row r="34" spans="3:6">
      <c r="C34" s="44" t="s">
        <v>157</v>
      </c>
      <c r="D34" s="44">
        <f>'SCOUT &amp; LOGISTICS'!AG20</f>
        <v>0</v>
      </c>
      <c r="F34" s="46" t="str">
        <f t="shared" si="1"/>
        <v>"q4" : 0,</v>
      </c>
    </row>
    <row r="35" spans="3:6">
      <c r="C35" s="44" t="s">
        <v>113</v>
      </c>
      <c r="D35" s="44">
        <f>'SCOUT &amp; LOGISTICS'!AG21</f>
        <v>0</v>
      </c>
      <c r="F35" s="46" t="str">
        <f t="shared" si="1"/>
        <v>"et" : 0,</v>
      </c>
    </row>
    <row r="36" spans="3:6">
      <c r="C36" s="44" t="s">
        <v>158</v>
      </c>
      <c r="D36" s="44">
        <f>'SCOUT &amp; LOGISTICS'!Y18</f>
        <v>0</v>
      </c>
      <c r="F36" s="46" t="str">
        <f t="shared" si="1"/>
        <v>"boxscore_corrections" : 0,</v>
      </c>
    </row>
    <row r="37" spans="3:6">
      <c r="C37" s="44" t="s">
        <v>159</v>
      </c>
      <c r="D37" s="44">
        <f>'SCOUT &amp; LOGISTICS'!Y16</f>
        <v>0</v>
      </c>
      <c r="F37" s="46" t="str">
        <f t="shared" si="1"/>
        <v>"scoresheet_corrections" : 0,</v>
      </c>
    </row>
    <row r="38" spans="3:6">
      <c r="C38" s="44" t="s">
        <v>160</v>
      </c>
      <c r="D38" s="44">
        <f>'SCOUT &amp; LOGISTICS'!AC17</f>
        <v>0</v>
      </c>
      <c r="F38" s="46" t="str">
        <f t="shared" si="1"/>
        <v>"criteria" : 0,</v>
      </c>
    </row>
    <row r="39" spans="3:6">
      <c r="C39" s="44" t="s">
        <v>161</v>
      </c>
      <c r="D39" s="44">
        <f>'SCOUT &amp; LOGISTICS'!AC18</f>
        <v>0</v>
      </c>
      <c r="F39" s="46" t="str">
        <f t="shared" si="1"/>
        <v>"missidentity" : 0,</v>
      </c>
    </row>
    <row r="40" spans="3:6">
      <c r="C40" s="44" t="s">
        <v>162</v>
      </c>
      <c r="D40" s="44">
        <f>'SCOUT &amp; LOGISTICS'!AC19</f>
        <v>0</v>
      </c>
      <c r="F40" s="46" t="str">
        <f t="shared" si="1"/>
        <v>"missing" : 0,</v>
      </c>
    </row>
    <row r="41" spans="3:6">
      <c r="C41" s="44" t="s">
        <v>163</v>
      </c>
      <c r="D41" s="44">
        <f>'SCOUT &amp; LOGISTICS'!AF26</f>
        <v>0</v>
      </c>
      <c r="F41" s="46" t="str">
        <f t="shared" si="1"/>
        <v>"irs" : 0,</v>
      </c>
    </row>
    <row r="42" spans="3:6">
      <c r="C42" s="44" t="s">
        <v>164</v>
      </c>
      <c r="D42" s="44">
        <f>'SCOUT &amp; LOGISTICS'!AF46</f>
        <v>0</v>
      </c>
      <c r="F42" s="46" t="str">
        <f t="shared" si="1"/>
        <v>"substitution" : 0,</v>
      </c>
    </row>
    <row r="43" spans="3:6">
      <c r="C43" s="44" t="s">
        <v>165</v>
      </c>
      <c r="D43" s="44">
        <f>'SCOUT &amp; LOGISTICS'!AF19</f>
        <v>0</v>
      </c>
      <c r="F43" s="46" t="str">
        <f t="shared" si="1"/>
        <v>"coach_challenge" : 0,</v>
      </c>
    </row>
    <row r="44" spans="3:6">
      <c r="C44" s="44" t="s">
        <v>166</v>
      </c>
      <c r="D44" s="44">
        <f>'SCOUT &amp; LOGISTICS'!AC20</f>
        <v>0</v>
      </c>
      <c r="F44" s="46" t="str">
        <f t="shared" si="1"/>
        <v>"not_happened" : 0,</v>
      </c>
    </row>
    <row r="45" spans="3:6">
      <c r="C45" s="44" t="s">
        <v>167</v>
      </c>
      <c r="D45" s="44">
        <f>'SCOUT &amp; LOGISTICS'!AC21</f>
        <v>0</v>
      </c>
      <c r="F45" s="46" t="str">
        <f t="shared" si="1"/>
        <v>"missplaced" : 0,</v>
      </c>
    </row>
    <row r="46" spans="3:6">
      <c r="C46" s="47" t="s">
        <v>168</v>
      </c>
      <c r="D46" s="44">
        <f>'SCOUT &amp; LOGISTICS'!AC23</f>
        <v>0</v>
      </c>
      <c r="F46" s="46" t="str">
        <f t="shared" si="1"/>
        <v>"part_of_a_sequence" : 0,</v>
      </c>
    </row>
    <row r="47" spans="3:6">
      <c r="C47" s="44" t="s">
        <v>169</v>
      </c>
      <c r="D47" s="44">
        <f>'SCOUT &amp; LOGISTICS'!AF39</f>
        <v>0</v>
      </c>
      <c r="F47" s="46" t="str">
        <f t="shared" si="1"/>
        <v>"time_out" : 0,</v>
      </c>
    </row>
    <row r="48" spans="3:6">
      <c r="C48" s="44" t="s">
        <v>170</v>
      </c>
      <c r="D48" s="44">
        <f>'SCOUT &amp; LOGISTICS'!V16</f>
        <v>0</v>
      </c>
      <c r="F48" s="46" t="str">
        <f t="shared" si="1"/>
        <v>"fouls" : 0,</v>
      </c>
    </row>
    <row r="49" spans="2:6">
      <c r="C49" s="44" t="s">
        <v>171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>
      <c r="F50" s="46" t="s">
        <v>149</v>
      </c>
    </row>
    <row r="51" spans="2:6">
      <c r="B51" s="44" t="s">
        <v>172</v>
      </c>
      <c r="C51" s="44" t="str">
        <f>""""&amp;IF('SCOUT &amp; LOGISTICS'!M4="","",'SCOUT &amp; LOGISTICS'!M4)&amp;""""</f>
        <v>"Perfect game. It's excellent that you're reviewing all the questionable plays yourselves. It's also clear that you paid attention during the Workshop. Just remember what I told you: if you need to change the evaluation of a shot attempt, you must delete the play and re-add it. Lastly, after each quarter, tell us the score as well, so we can make sure our viewer isn't having any technical issues."</v>
      </c>
      <c r="F51" s="46" t="str">
        <f>""""&amp;B51&amp;"""" &amp; " : " &amp;C51&amp;","</f>
        <v>"comments" : "Perfect game. It's excellent that you're reviewing all the questionable plays yourselves. It's also clear that you paid attention during the Workshop. Just remember what I told you: if you need to change the evaluation of a shot attempt, you must delete the play and re-add it. Lastly, after each quarter, tell us the score as well, so we can make sure our viewer isn't having any technical issues.",</v>
      </c>
    </row>
    <row r="52" spans="2:6">
      <c r="B52" s="44" t="s">
        <v>173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>
      <c r="F53" s="46" t="s">
        <v>174</v>
      </c>
    </row>
    <row r="54" spans="2:6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/>
  <cols>
    <col min="1" max="1" width="5.140625" style="48" customWidth="1"/>
    <col min="2" max="2" width="2.85546875" style="48" customWidth="1"/>
    <col min="3" max="31" width="3.140625" style="48" customWidth="1"/>
    <col min="32" max="32" width="5.5703125" style="48" customWidth="1"/>
    <col min="33" max="16384" width="6.5703125" style="48" hidden="1"/>
  </cols>
  <sheetData>
    <row r="1" spans="1:33" s="49" customFormat="1" ht="11.1" customHeight="1"/>
    <row r="2" spans="1:33" ht="42.6" customHeight="1" thickBot="1">
      <c r="A2" s="49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49"/>
    </row>
    <row r="3" spans="1:33" ht="27" customHeight="1" thickBot="1">
      <c r="A3" s="49"/>
      <c r="B3" s="170" t="str">
        <f>"GAME: "&amp; LEFT('SCOUT &amp; LOGISTICS'!B2,1) &amp; TEXT('SCOUT &amp; LOGISTICS'!C2,"000") &amp; " " &amp; IF(LEFT('SCOUT &amp; LOGISTICS'!B2,1)="U","(EUROCUP)","(EUROLEAGUE)")</f>
        <v>GAME: E002 (EUROLEAGUE)</v>
      </c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  <c r="U3" s="170"/>
      <c r="V3" s="170"/>
      <c r="W3" s="170"/>
      <c r="X3" s="170"/>
      <c r="Y3" s="170"/>
      <c r="Z3" s="170"/>
      <c r="AA3" s="170"/>
      <c r="AB3" s="170"/>
      <c r="AC3" s="170"/>
      <c r="AD3" s="170"/>
      <c r="AE3" s="170"/>
      <c r="AF3" s="49"/>
    </row>
    <row r="4" spans="1:33" ht="14.25" customHeight="1" thickBot="1">
      <c r="A4" s="49"/>
      <c r="B4" s="158" t="str">
        <f>"DATE: " &amp; TEXT('SCOUT &amp; LOGISTICS'!B3,"dd/mm/aaaa")</f>
        <v xml:space="preserve">DATE: 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49"/>
    </row>
    <row r="5" spans="1:33" ht="20.100000000000001" customHeight="1" thickBot="1">
      <c r="A5" s="49"/>
      <c r="B5" s="171" t="str">
        <f>'SCOUT &amp; LOGISTICS'!D4</f>
        <v>BASKONIA VITORIA-GASTEIZ</v>
      </c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 t="str">
        <f>'SCOUT &amp; LOGISTICS'!D5</f>
        <v>OLYMPIACOS PIRAEUS</v>
      </c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49"/>
    </row>
    <row r="6" spans="1:33" ht="23.1" customHeight="1" thickBot="1">
      <c r="A6" s="49"/>
      <c r="B6" s="172" t="str">
        <f>PROPER('SCOUT &amp; LOGISTICS'!D4)</f>
        <v>Baskonia Vitoria-Gasteiz</v>
      </c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 t="str">
        <f>PROPER('SCOUT &amp; LOGISTICS'!D5)</f>
        <v>Olympiacos Piraeus</v>
      </c>
      <c r="R6" s="172"/>
      <c r="S6" s="172"/>
      <c r="T6" s="172"/>
      <c r="U6" s="172"/>
      <c r="V6" s="172"/>
      <c r="W6" s="172"/>
      <c r="X6" s="172"/>
      <c r="Y6" s="172"/>
      <c r="Z6" s="172"/>
      <c r="AA6" s="172"/>
      <c r="AB6" s="172"/>
      <c r="AC6" s="172"/>
      <c r="AD6" s="172"/>
      <c r="AE6" s="172"/>
      <c r="AF6" s="49"/>
    </row>
    <row r="7" spans="1:33" ht="19.5" customHeight="1" thickBot="1">
      <c r="A7" s="49"/>
      <c r="B7" s="166" t="str">
        <f>'SCOUT &amp; LOGISTICS'!B6</f>
        <v>Data entry</v>
      </c>
      <c r="C7" s="166"/>
      <c r="D7" s="166"/>
      <c r="E7" s="166"/>
      <c r="F7" s="166"/>
      <c r="G7" s="166" t="str">
        <f>'SCOUT &amp; LOGISTICS'!B7</f>
        <v>Caller 1</v>
      </c>
      <c r="H7" s="166"/>
      <c r="I7" s="166"/>
      <c r="J7" s="166"/>
      <c r="K7" s="166"/>
      <c r="L7" s="166" t="str">
        <f>'SCOUT &amp; LOGISTICS'!B8</f>
        <v>Caller 2</v>
      </c>
      <c r="M7" s="166"/>
      <c r="N7" s="166"/>
      <c r="O7" s="166"/>
      <c r="P7" s="166"/>
      <c r="Q7" s="166" t="str">
        <f>'SCOUT &amp; LOGISTICS'!B9</f>
        <v>Timerkeeper</v>
      </c>
      <c r="R7" s="166"/>
      <c r="S7" s="166"/>
      <c r="T7" s="166"/>
      <c r="U7" s="166"/>
      <c r="V7" s="166" t="str">
        <f>'SCOUT &amp; LOGISTICS'!B10</f>
        <v>Shotclock</v>
      </c>
      <c r="W7" s="166"/>
      <c r="X7" s="166"/>
      <c r="Y7" s="166"/>
      <c r="Z7" s="166"/>
      <c r="AA7" s="166" t="str">
        <f>'SCOUT &amp; LOGISTICS'!B11</f>
        <v>IRS</v>
      </c>
      <c r="AB7" s="166"/>
      <c r="AC7" s="166"/>
      <c r="AD7" s="166"/>
      <c r="AE7" s="166"/>
      <c r="AF7" s="49"/>
    </row>
    <row r="8" spans="1:33" ht="36" customHeight="1" thickBot="1">
      <c r="A8" s="49"/>
      <c r="B8" s="168" t="str">
        <f>IF('SCOUT &amp; LOGISTICS'!D6="","",'SCOUT &amp; LOGISTICS'!D6)</f>
        <v>ANDONI COLMENERO</v>
      </c>
      <c r="C8" s="168"/>
      <c r="D8" s="168"/>
      <c r="E8" s="168"/>
      <c r="F8" s="168"/>
      <c r="G8" s="168" t="str">
        <f>IF('SCOUT &amp; LOGISTICS'!D7="","",'SCOUT &amp; LOGISTICS'!D7)</f>
        <v>RAQUEL GARCIA-SAMPEDRO</v>
      </c>
      <c r="H8" s="168"/>
      <c r="I8" s="168"/>
      <c r="J8" s="168"/>
      <c r="K8" s="168"/>
      <c r="L8" s="168" t="str">
        <f>IF('SCOUT &amp; LOGISTICS'!D8="","",'SCOUT &amp; LOGISTICS'!D8)</f>
        <v>LUIS MOULIAA</v>
      </c>
      <c r="M8" s="168"/>
      <c r="N8" s="168"/>
      <c r="O8" s="168"/>
      <c r="P8" s="168"/>
      <c r="Q8" s="168" t="str">
        <f>IF('SCOUT &amp; LOGISTICS'!D9="","",'SCOUT &amp; LOGISTICS'!D9)</f>
        <v>RODRIGO MENDAZA</v>
      </c>
      <c r="R8" s="168"/>
      <c r="S8" s="168"/>
      <c r="T8" s="168"/>
      <c r="U8" s="168"/>
      <c r="V8" s="168" t="str">
        <f>IF('SCOUT &amp; LOGISTICS'!D10="","",'SCOUT &amp; LOGISTICS'!D10)</f>
        <v>SERGIO CASTRO</v>
      </c>
      <c r="W8" s="168"/>
      <c r="X8" s="168"/>
      <c r="Y8" s="168"/>
      <c r="Z8" s="168"/>
      <c r="AA8" s="168" t="str">
        <f>IF('SCOUT &amp; LOGISTICS'!D11="","",'SCOUT &amp; LOGISTICS'!D11)</f>
        <v>IKER BASCONES</v>
      </c>
      <c r="AB8" s="168"/>
      <c r="AC8" s="168"/>
      <c r="AD8" s="168"/>
      <c r="AE8" s="168"/>
      <c r="AF8" s="49"/>
    </row>
    <row r="9" spans="1:33" ht="17.25" thickBot="1">
      <c r="A9" s="49"/>
      <c r="B9" s="164" t="str">
        <f>IF(OR('SCOUT &amp; LOGISTICS'!D14="",'SCOUT &amp; LOGISTICS'!D14=0),"",'SCOUT &amp; LOGISTICS'!B14 &amp; ": " &amp; 'SCOUT &amp; LOGISTICS'!D14) &amp; "     "</f>
        <v xml:space="preserve">L G M: : XAVI MATEU     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49"/>
    </row>
    <row r="10" spans="1:33" s="49" customFormat="1" ht="17.25" thickBot="1"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  <c r="AB10" s="173"/>
      <c r="AC10" s="173"/>
      <c r="AD10" s="173"/>
      <c r="AE10" s="173"/>
    </row>
    <row r="11" spans="1:33" ht="20.100000000000001" customHeight="1" thickBot="1">
      <c r="A11" s="49"/>
      <c r="B11" s="158" t="s">
        <v>10</v>
      </c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49"/>
    </row>
    <row r="12" spans="1:33" ht="21" customHeight="1" thickBot="1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00000000000001" customHeight="1" thickBot="1">
      <c r="A13" s="49"/>
      <c r="B13" s="169" t="str">
        <f>IF('SCOUT &amp; LOGISTICS'!I12="","",'SCOUT &amp; LOGISTICS'!I12)</f>
        <v>OK</v>
      </c>
      <c r="C13" s="169"/>
      <c r="D13" s="169"/>
      <c r="E13" s="169"/>
      <c r="F13" s="169"/>
      <c r="G13" s="169"/>
      <c r="H13" s="169" t="str">
        <f>IF('SCOUT &amp; LOGISTICS'!J12="","",'SCOUT &amp; LOGISTICS'!J12)</f>
        <v>YES</v>
      </c>
      <c r="I13" s="169"/>
      <c r="J13" s="169"/>
      <c r="K13" s="169"/>
      <c r="L13" s="169"/>
      <c r="M13" s="169"/>
      <c r="N13" s="169" t="str">
        <f>IF('SCOUT &amp; LOGISTICS'!K12="","",'SCOUT &amp; LOGISTICS'!K12)</f>
        <v>GOOD</v>
      </c>
      <c r="O13" s="169"/>
      <c r="P13" s="169"/>
      <c r="Q13" s="169"/>
      <c r="R13" s="169"/>
      <c r="S13" s="169"/>
      <c r="T13" s="169" t="str">
        <f>IF('SCOUT &amp; LOGISTICS'!L12="","",'SCOUT &amp; LOGISTICS'!L12)</f>
        <v>FAST</v>
      </c>
      <c r="U13" s="169"/>
      <c r="V13" s="169"/>
      <c r="W13" s="169"/>
      <c r="X13" s="169"/>
      <c r="Y13" s="169"/>
      <c r="Z13" s="169" t="str">
        <f>IF('SCOUT &amp; LOGISTICS'!M12="","",'SCOUT &amp; LOGISTICS'!M12)</f>
        <v>NO</v>
      </c>
      <c r="AA13" s="169"/>
      <c r="AB13" s="169"/>
      <c r="AC13" s="169"/>
      <c r="AD13" s="169"/>
      <c r="AE13" s="169"/>
      <c r="AF13" s="49"/>
    </row>
    <row r="14" spans="1:33" s="49" customFormat="1" ht="17.25" thickBot="1">
      <c r="B14" s="173"/>
      <c r="C14" s="17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  <c r="W14" s="173"/>
      <c r="X14" s="173"/>
      <c r="Y14" s="173"/>
      <c r="Z14" s="173"/>
      <c r="AA14" s="173"/>
      <c r="AB14" s="173"/>
      <c r="AC14" s="173"/>
      <c r="AD14" s="173"/>
      <c r="AE14" s="173"/>
    </row>
    <row r="15" spans="1:33" ht="20.100000000000001" customHeight="1" thickBot="1">
      <c r="A15" s="49"/>
      <c r="B15" s="158" t="s">
        <v>59</v>
      </c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49"/>
    </row>
    <row r="16" spans="1:33" ht="21" customHeight="1" thickBot="1">
      <c r="A16" s="49"/>
      <c r="B16" s="162" t="s">
        <v>175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176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177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178</v>
      </c>
    </row>
    <row r="17" spans="1:32" ht="20.100000000000001" customHeight="1" thickBot="1">
      <c r="A17" s="49"/>
      <c r="B17" s="166">
        <f>'SCOUT &amp; LOGISTICS'!D3</f>
        <v>642</v>
      </c>
      <c r="C17" s="166"/>
      <c r="D17" s="166"/>
      <c r="E17" s="166"/>
      <c r="F17" s="166"/>
      <c r="G17" s="166"/>
      <c r="H17" s="166"/>
      <c r="I17" s="166"/>
      <c r="J17" s="166"/>
      <c r="K17" s="166"/>
      <c r="L17" s="166">
        <f>'SCOUT &amp; LOGISTICS'!F3</f>
        <v>0</v>
      </c>
      <c r="M17" s="166"/>
      <c r="N17" s="166"/>
      <c r="O17" s="166"/>
      <c r="P17" s="166"/>
      <c r="Q17" s="166"/>
      <c r="R17" s="166"/>
      <c r="S17" s="166"/>
      <c r="T17" s="166"/>
      <c r="U17" s="166"/>
      <c r="V17" s="167">
        <f>IF(OR(B17="",B17=0),"",L17/B17)</f>
        <v>0</v>
      </c>
      <c r="W17" s="167"/>
      <c r="X17" s="167"/>
      <c r="Y17" s="167"/>
      <c r="Z17" s="167"/>
      <c r="AA17" s="167"/>
      <c r="AB17" s="167"/>
      <c r="AC17" s="167"/>
      <c r="AD17" s="167"/>
      <c r="AE17" s="167"/>
      <c r="AF17" s="49"/>
    </row>
    <row r="18" spans="1:32" s="49" customFormat="1" ht="17.25" thickBot="1">
      <c r="B18" s="173"/>
      <c r="C18" s="173"/>
      <c r="D18" s="173"/>
      <c r="E18" s="173"/>
      <c r="F18" s="173"/>
      <c r="G18" s="173"/>
      <c r="H18" s="173"/>
      <c r="I18" s="173"/>
      <c r="J18" s="173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  <c r="W18" s="173"/>
      <c r="X18" s="173"/>
      <c r="Y18" s="173"/>
      <c r="Z18" s="173"/>
      <c r="AA18" s="173"/>
      <c r="AB18" s="173"/>
      <c r="AC18" s="173"/>
      <c r="AD18" s="173"/>
      <c r="AE18" s="173"/>
    </row>
    <row r="19" spans="1:32" ht="21" customHeight="1" thickBot="1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88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00000000000001" customHeight="1" thickBot="1">
      <c r="A20" s="49"/>
      <c r="B20" s="161">
        <f>IF('SCOUT &amp; LOGISTICS'!AA17="","",'SCOUT &amp; LOGISTICS'!AA17)</f>
        <v>0</v>
      </c>
      <c r="C20" s="161"/>
      <c r="D20" s="161"/>
      <c r="E20" s="161"/>
      <c r="F20" s="161"/>
      <c r="G20" s="161"/>
      <c r="H20" s="161"/>
      <c r="I20" s="161"/>
      <c r="J20" s="161"/>
      <c r="K20" s="161"/>
      <c r="L20" s="161">
        <f>IF('SCOUT &amp; LOGISTICS'!AA18="","",'SCOUT &amp; LOGISTICS'!AA18)</f>
        <v>0</v>
      </c>
      <c r="M20" s="161"/>
      <c r="N20" s="161"/>
      <c r="O20" s="161"/>
      <c r="P20" s="161"/>
      <c r="Q20" s="161"/>
      <c r="R20" s="161"/>
      <c r="S20" s="161"/>
      <c r="T20" s="161"/>
      <c r="U20" s="161"/>
      <c r="V20" s="161">
        <f>IF('SCOUT &amp; LOGISTICS'!AA19="","",'SCOUT &amp; LOGISTICS'!AA19)</f>
        <v>0</v>
      </c>
      <c r="W20" s="161"/>
      <c r="X20" s="161"/>
      <c r="Y20" s="161"/>
      <c r="Z20" s="161"/>
      <c r="AA20" s="161"/>
      <c r="AB20" s="161"/>
      <c r="AC20" s="161"/>
      <c r="AD20" s="161"/>
      <c r="AE20" s="161"/>
      <c r="AF20" s="49"/>
    </row>
    <row r="21" spans="1:32" ht="21" customHeight="1" thickBot="1">
      <c r="A21" s="49"/>
      <c r="B21" s="162" t="s">
        <v>179</v>
      </c>
      <c r="C21" s="162"/>
      <c r="D21" s="162"/>
      <c r="E21" s="162"/>
      <c r="F21" s="162"/>
      <c r="G21" s="162"/>
      <c r="H21" s="162" t="s">
        <v>180</v>
      </c>
      <c r="I21" s="162"/>
      <c r="J21" s="162"/>
      <c r="K21" s="162"/>
      <c r="L21" s="162"/>
      <c r="M21" s="162"/>
      <c r="N21" s="162" t="s">
        <v>181</v>
      </c>
      <c r="O21" s="162"/>
      <c r="P21" s="162"/>
      <c r="Q21" s="162"/>
      <c r="R21" s="162"/>
      <c r="S21" s="162"/>
      <c r="T21" s="162" t="s">
        <v>182</v>
      </c>
      <c r="U21" s="162"/>
      <c r="V21" s="162"/>
      <c r="W21" s="162"/>
      <c r="X21" s="162"/>
      <c r="Y21" s="162"/>
      <c r="Z21" s="162" t="s">
        <v>183</v>
      </c>
      <c r="AA21" s="162"/>
      <c r="AB21" s="162"/>
      <c r="AC21" s="162"/>
      <c r="AD21" s="162"/>
      <c r="AE21" s="162"/>
      <c r="AF21" s="49"/>
    </row>
    <row r="22" spans="1:32" ht="20.100000000000001" customHeight="1" thickBot="1">
      <c r="A22" s="49"/>
      <c r="B22" s="161">
        <f>'SCOUT &amp; LOGISTICS'!AG17</f>
        <v>0</v>
      </c>
      <c r="C22" s="161"/>
      <c r="D22" s="161"/>
      <c r="E22" s="161"/>
      <c r="F22" s="161"/>
      <c r="G22" s="161"/>
      <c r="H22" s="161">
        <f>'SCOUT &amp; LOGISTICS'!AG18</f>
        <v>0</v>
      </c>
      <c r="I22" s="161"/>
      <c r="J22" s="161"/>
      <c r="K22" s="161"/>
      <c r="L22" s="161"/>
      <c r="M22" s="161"/>
      <c r="N22" s="161">
        <f>'SCOUT &amp; LOGISTICS'!AG19</f>
        <v>0</v>
      </c>
      <c r="O22" s="161"/>
      <c r="P22" s="161"/>
      <c r="Q22" s="161"/>
      <c r="R22" s="161"/>
      <c r="S22" s="161"/>
      <c r="T22" s="161">
        <f>'SCOUT &amp; LOGISTICS'!AG20</f>
        <v>0</v>
      </c>
      <c r="U22" s="161"/>
      <c r="V22" s="161"/>
      <c r="W22" s="161"/>
      <c r="X22" s="161"/>
      <c r="Y22" s="161"/>
      <c r="Z22" s="161">
        <f>IF('SCOUT &amp; LOGISTICS'!AG21="","",'SCOUT &amp; LOGISTICS'!AG21)</f>
        <v>0</v>
      </c>
      <c r="AA22" s="161"/>
      <c r="AB22" s="161"/>
      <c r="AC22" s="161"/>
      <c r="AD22" s="161"/>
      <c r="AE22" s="161"/>
      <c r="AF22" s="49"/>
    </row>
    <row r="23" spans="1:32" s="49" customFormat="1" ht="17.25" thickBot="1"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74"/>
      <c r="P23" s="174"/>
      <c r="Q23" s="174"/>
      <c r="R23" s="174"/>
      <c r="S23" s="174"/>
      <c r="T23" s="174"/>
      <c r="U23" s="174"/>
      <c r="V23" s="174"/>
      <c r="W23" s="174"/>
      <c r="X23" s="174"/>
      <c r="Y23" s="174"/>
      <c r="Z23" s="174"/>
      <c r="AA23" s="174"/>
      <c r="AB23" s="174"/>
      <c r="AC23" s="174"/>
      <c r="AD23" s="174"/>
      <c r="AE23" s="174"/>
    </row>
    <row r="24" spans="1:32" ht="21" customHeight="1" thickBot="1">
      <c r="A24" s="49"/>
      <c r="B24" s="162" t="s">
        <v>184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185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00000000000001" customHeight="1" thickBot="1">
      <c r="A25" s="49"/>
      <c r="B25" s="161">
        <f>'SCOUT &amp; LOGISTICS'!Y17</f>
        <v>0</v>
      </c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>
        <f>'SCOUT &amp; LOGISTICS'!Y18</f>
        <v>0</v>
      </c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49"/>
    </row>
    <row r="26" spans="1:32" ht="21" customHeight="1" thickBot="1">
      <c r="A26" s="49"/>
      <c r="B26" s="162" t="s">
        <v>11</v>
      </c>
      <c r="C26" s="162"/>
      <c r="D26" s="162"/>
      <c r="E26" s="162"/>
      <c r="F26" s="162"/>
      <c r="G26" s="162" t="s">
        <v>12</v>
      </c>
      <c r="H26" s="162"/>
      <c r="I26" s="162"/>
      <c r="J26" s="162"/>
      <c r="K26" s="162"/>
      <c r="L26" s="162" t="s">
        <v>16</v>
      </c>
      <c r="M26" s="162"/>
      <c r="N26" s="162"/>
      <c r="O26" s="162"/>
      <c r="P26" s="162"/>
      <c r="Q26" s="162" t="s">
        <v>186</v>
      </c>
      <c r="R26" s="162"/>
      <c r="S26" s="162"/>
      <c r="T26" s="162"/>
      <c r="U26" s="162"/>
      <c r="V26" s="162" t="s">
        <v>187</v>
      </c>
      <c r="W26" s="162"/>
      <c r="X26" s="162"/>
      <c r="Y26" s="162"/>
      <c r="Z26" s="162"/>
      <c r="AA26" s="165" t="s">
        <v>188</v>
      </c>
      <c r="AB26" s="162"/>
      <c r="AC26" s="162"/>
      <c r="AD26" s="162"/>
      <c r="AE26" s="162"/>
      <c r="AF26" s="49"/>
    </row>
    <row r="27" spans="1:32" ht="20.100000000000001" customHeight="1" thickBot="1">
      <c r="A27" s="49"/>
      <c r="B27" s="161">
        <f>'SCOUT &amp; LOGISTICS'!AC18</f>
        <v>0</v>
      </c>
      <c r="C27" s="161"/>
      <c r="D27" s="161"/>
      <c r="E27" s="161"/>
      <c r="F27" s="161"/>
      <c r="G27" s="161">
        <f>'SCOUT &amp; LOGISTICS'!AC22</f>
        <v>0</v>
      </c>
      <c r="H27" s="161"/>
      <c r="I27" s="161"/>
      <c r="J27" s="161"/>
      <c r="K27" s="161"/>
      <c r="L27" s="161">
        <f>'SCOUT &amp; LOGISTICS'!AC23</f>
        <v>0</v>
      </c>
      <c r="M27" s="161"/>
      <c r="N27" s="161"/>
      <c r="O27" s="161"/>
      <c r="P27" s="161"/>
      <c r="Q27" s="161">
        <f>'SCOUT &amp; LOGISTICS'!AC21</f>
        <v>0</v>
      </c>
      <c r="R27" s="161"/>
      <c r="S27" s="161"/>
      <c r="T27" s="161"/>
      <c r="U27" s="161"/>
      <c r="V27" s="161">
        <f>'SCOUT &amp; LOGISTICS'!AC27</f>
        <v>0</v>
      </c>
      <c r="W27" s="161"/>
      <c r="X27" s="161"/>
      <c r="Y27" s="161"/>
      <c r="Z27" s="161"/>
      <c r="AA27" s="161">
        <f>'SCOUT &amp; LOGISTICS'!AC17+'SCOUT &amp; LOGISTICS'!AC20</f>
        <v>0</v>
      </c>
      <c r="AB27" s="161"/>
      <c r="AC27" s="161"/>
      <c r="AD27" s="161"/>
      <c r="AE27" s="161"/>
      <c r="AF27" s="49"/>
    </row>
    <row r="28" spans="1:32" ht="21" customHeight="1" thickBot="1">
      <c r="A28" s="49"/>
      <c r="B28" s="162" t="s">
        <v>15</v>
      </c>
      <c r="C28" s="162"/>
      <c r="D28" s="162"/>
      <c r="E28" s="162"/>
      <c r="F28" s="162"/>
      <c r="G28" s="162" t="s">
        <v>13</v>
      </c>
      <c r="H28" s="162"/>
      <c r="I28" s="162"/>
      <c r="J28" s="162"/>
      <c r="K28" s="162"/>
      <c r="L28" s="165" t="s">
        <v>14</v>
      </c>
      <c r="M28" s="162"/>
      <c r="N28" s="162"/>
      <c r="O28" s="162"/>
      <c r="P28" s="162"/>
      <c r="Q28" s="162" t="s">
        <v>21</v>
      </c>
      <c r="R28" s="162"/>
      <c r="S28" s="162"/>
      <c r="T28" s="162"/>
      <c r="U28" s="162"/>
      <c r="V28" s="162" t="s">
        <v>22</v>
      </c>
      <c r="W28" s="162"/>
      <c r="X28" s="162"/>
      <c r="Y28" s="162"/>
      <c r="Z28" s="162"/>
      <c r="AA28" s="162" t="s">
        <v>84</v>
      </c>
      <c r="AB28" s="162"/>
      <c r="AC28" s="162"/>
      <c r="AD28" s="162"/>
      <c r="AE28" s="162"/>
      <c r="AF28" s="49"/>
    </row>
    <row r="29" spans="1:32" ht="20.100000000000001" customHeight="1" thickBot="1">
      <c r="A29" s="49"/>
      <c r="B29" s="161">
        <f>'SCOUT &amp; LOGISTICS'!AC25</f>
        <v>0</v>
      </c>
      <c r="C29" s="161"/>
      <c r="D29" s="161"/>
      <c r="E29" s="161"/>
      <c r="F29" s="161"/>
      <c r="G29" s="161">
        <f>'SCOUT &amp; LOGISTICS'!AC24</f>
        <v>0</v>
      </c>
      <c r="H29" s="161"/>
      <c r="I29" s="161"/>
      <c r="J29" s="161"/>
      <c r="K29" s="161"/>
      <c r="L29" s="161">
        <f>'SCOUT &amp; LOGISTICS'!$AC$29</f>
        <v>0</v>
      </c>
      <c r="M29" s="161"/>
      <c r="N29" s="161"/>
      <c r="O29" s="161"/>
      <c r="P29" s="161"/>
      <c r="Q29" s="161">
        <f>'SCOUT &amp; LOGISTICS'!AC28</f>
        <v>0</v>
      </c>
      <c r="R29" s="161"/>
      <c r="S29" s="161"/>
      <c r="T29" s="161"/>
      <c r="U29" s="161"/>
      <c r="V29" s="161">
        <f>'SCOUT &amp; LOGISTICS'!AC19</f>
        <v>0</v>
      </c>
      <c r="W29" s="161"/>
      <c r="X29" s="161"/>
      <c r="Y29" s="161"/>
      <c r="Z29" s="161"/>
      <c r="AA29" s="161">
        <f>'SCOUT &amp; LOGISTICS'!AC26</f>
        <v>0</v>
      </c>
      <c r="AB29" s="161"/>
      <c r="AC29" s="161"/>
      <c r="AD29" s="161"/>
      <c r="AE29" s="161"/>
      <c r="AF29" s="49"/>
    </row>
    <row r="30" spans="1:32" s="49" customFormat="1" ht="17.25" thickBot="1"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3"/>
      <c r="P30" s="173"/>
      <c r="Q30" s="173"/>
      <c r="R30" s="173"/>
      <c r="S30" s="173"/>
      <c r="T30" s="173"/>
      <c r="U30" s="173"/>
      <c r="V30" s="173"/>
      <c r="W30" s="173"/>
      <c r="X30" s="173"/>
      <c r="Y30" s="173"/>
      <c r="Z30" s="173"/>
      <c r="AA30" s="173"/>
      <c r="AB30" s="173"/>
      <c r="AC30" s="173"/>
      <c r="AD30" s="173"/>
      <c r="AE30" s="173"/>
    </row>
    <row r="31" spans="1:32" s="53" customFormat="1" ht="20.100000000000001" customHeight="1" thickBot="1">
      <c r="A31" s="52"/>
      <c r="B31" s="158" t="s">
        <v>189</v>
      </c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52"/>
    </row>
    <row r="32" spans="1:32" ht="87.6" customHeight="1" thickBot="1">
      <c r="A32" s="49"/>
      <c r="B32" s="159" t="str">
        <f>IF('SCOUT &amp; LOGISTICS'!M4="","",'SCOUT &amp; LOGISTICS'!M4)</f>
        <v>Perfect game. It's excellent that you're reviewing all the questionable plays yourselves. It's also clear that you paid attention during the Workshop. Just remember what I told you: if you need to change the evaluation of a shot attempt, you must delete the play and re-add it. Lastly, after each quarter, tell us the score as well, so we can make sure our viewer isn't having any technical issues.</v>
      </c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49"/>
    </row>
    <row r="33" spans="1:32" ht="20.100000000000001" customHeight="1" thickBot="1">
      <c r="A33" s="49"/>
      <c r="B33" s="17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49"/>
    </row>
    <row r="34" spans="1:32" ht="20.100000000000001" customHeight="1" thickBot="1">
      <c r="A34" s="49"/>
      <c r="B34" s="158" t="s">
        <v>190</v>
      </c>
      <c r="C34" s="158"/>
      <c r="D34" s="158"/>
      <c r="E34" s="158"/>
      <c r="F34" s="158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>
      <c r="A35" s="49"/>
      <c r="B35" s="160">
        <f>'SCOUT &amp; LOGISTICS'!M7</f>
        <v>0</v>
      </c>
      <c r="C35" s="160"/>
      <c r="D35" s="160"/>
      <c r="E35" s="160"/>
      <c r="F35" s="160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" customHeight="1">
      <c r="A36" s="49"/>
      <c r="B36" s="176"/>
      <c r="C36" s="176"/>
      <c r="D36" s="176"/>
      <c r="E36" s="176"/>
      <c r="F36" s="176"/>
      <c r="G36" s="176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  <c r="S36" s="176"/>
      <c r="T36" s="176"/>
      <c r="U36" s="176"/>
      <c r="V36" s="176"/>
      <c r="W36" s="176"/>
      <c r="X36" s="176"/>
      <c r="Y36" s="176"/>
      <c r="Z36" s="176"/>
      <c r="AA36" s="176"/>
      <c r="AB36" s="176"/>
      <c r="AC36" s="176"/>
      <c r="AD36" s="176"/>
      <c r="AE36" s="176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5F7021F-5635-406F-B7CB-EFE09BD68304}"/>
</file>

<file path=customXml/itemProps2.xml><?xml version="1.0" encoding="utf-8"?>
<ds:datastoreItem xmlns:ds="http://schemas.openxmlformats.org/officeDocument/2006/customXml" ds:itemID="{70FAA0A6-B26E-4C3C-8591-0FE05AB384F0}"/>
</file>

<file path=customXml/itemProps3.xml><?xml version="1.0" encoding="utf-8"?>
<ds:datastoreItem xmlns:ds="http://schemas.openxmlformats.org/officeDocument/2006/customXml" ds:itemID="{C80F71B4-4617-4FBA-93C5-05697F7E44A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Propietario</dc:creator>
  <cp:keywords/>
  <dc:description/>
  <cp:lastModifiedBy>Xavi Mateu</cp:lastModifiedBy>
  <cp:revision/>
  <dcterms:created xsi:type="dcterms:W3CDTF">2023-09-19T19:50:35Z</dcterms:created>
  <dcterms:modified xsi:type="dcterms:W3CDTF">2025-10-01T15:04:21Z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