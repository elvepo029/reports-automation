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0" documentId="8_{7732BF83-AE1F-4F92-A52F-811F99E992BA}" xr6:coauthVersionLast="47" xr6:coauthVersionMax="47" xr10:uidLastSave="{EA779613-8D05-4B3D-89A4-DDAD0B8856FF}"/>
  <bookViews>
    <workbookView xWindow="28680" yWindow="-120" windowWidth="29040" windowHeight="1584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<sst xmlns="http://schemas.openxmlformats.org/spreadsheetml/2006/main" count="314" uniqueCount="195">
  <si>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</si>
  <si>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</si>
  <si>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</si>
  <si>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</si>
  <si>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</si>
  <si>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</si>
  <si>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</si>
  <si>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</si>
  <si>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</si>
  <si>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</si>
  <si>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</si>
  <si>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</si>
  <si>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</si>
  <si>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</si>
  <si>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</si>
  <si>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</si>
  <si>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</si>
  <si>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</si>
  <si>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</si>
  <si>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</si>
  <si>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</si>
  <si>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</si>
  <si>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</si>
  <si>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</si>
  <si>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</si>
  <si>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</si>
  <si>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</si>
  <si>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</si>
  <si>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</si>
  <si>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</si>
  <si>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</si>
  <si>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</si>
  <si>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</si>
  <si>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</si>
  <si>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</si>
  <si>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</si>
  <si>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</si>
  <si>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</si>
  <si>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</si>
  <si>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</si>
  <si>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</si>
  <si>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</si>
  <si>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</si>
  <si>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</si>
  <si>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</si>
  <si>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</si>
  <si>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</si>
  <si>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</si>
  <si>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</si>
  <si>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</si>
  <si>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</si>
  <si>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</si>
  <si>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</si>
  <si>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</si>
  <si>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</si>
  <si>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</si>
  <si>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</si>
  <si>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</si>
  <si>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</si>
  <si>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</si>
  <si>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</si>
  <si>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</si>
  <si>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</si>
  <si>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</si>
  <si>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</si>
  <si>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</si>
  <si>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</si>
  <si>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</si>
  <si>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</si>
  <si>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</si>
  <si>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</si>
  <si>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</si>
  <si>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</si>
  <si>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</si>
  <si>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</si>
  <si>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</si>
  <si>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</si>
  <si>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</si>
  <si>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</si>
  <si>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</si>
  <si>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</si>
  <si>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</si>
  <si>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</si>
  <si>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</si>
  <si>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</si>
  <si>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</si>
  <si>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</si>
  <si>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</si>
  <si>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</si>
  <si>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</si>
  <si>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</si>
  <si>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</si>
  <si>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</si>
  <si>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</si>
  <si>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</si>
  <si>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</si>
  <si>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</si>
  <si>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</si>
  <si>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</si>
  <si>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</si>
  <si>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</si>
  <si>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</si>
  <si>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</si>
  <si>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</si>
  <si>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</si>
  <si>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</si>
  <si>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</si>
  <si>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</si>
  <si>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</si>
  <si>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</si>
  <si>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</si>
  <si>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</si>
  <si>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</si>
  <si>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</si>
  <si>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</si>
  <si>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</si>
  <si>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</si>
  <si>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</si>
  <si>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</si>
  <si>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</si>
  <si>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</si>
  <si>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</si>
  <si>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</si>
  <si>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</si>
  <si>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</si>
  <si>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</si>
  <si>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</si>
  <si>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</si>
  <si>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</si>
  <si>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</si>
  <si>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</si>
  <si>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</si>
  <si>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</si>
  <si>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</si>
  <si>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</si>
  <si>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</si>
  <si>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</si>
  <si>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</si>
  <si>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</si>
  <si>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</si>
  <si>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</si>
  <si>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</si>
  <si>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</si>
  <si>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</si>
  <si>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</si>
  <si>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</si>
  <si>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</si>
  <si>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</si>
  <si>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</si>
  <si>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</si>
  <si>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</si>
  <si>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</si>
  <si>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</si>
  <si>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</si>
  <si>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</si>
  <si>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</si>
  <si>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</si>
  <si>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</si>
  <si>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</si>
  <si>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</si>
  <si>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</si>
  <si>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</si>
  <si>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</si>
  <si>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</si>
  <si>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</si>
  <si>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</si>
  <si>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</si>
  <si>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</si>
  <si>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</si>
  <si>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</si>
  <si>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</si>
  <si>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</si>
  <si>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</si>
  <si>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</si>
  <si>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</si>
  <si>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</si>
  <si>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</si>
  <si>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</si>
  <si>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U2025</t>
  </si>
  <si>
    <t>U-BT Cluj-Napoca</t>
  </si>
  <si>
    <t>Bahcesehir College Istanbul</t>
  </si>
  <si>
    <t>NOEMI CSIKI</t>
  </si>
  <si>
    <t>ZSOLT CSIKI</t>
  </si>
  <si>
    <t>GEORGE PRIDEA</t>
  </si>
  <si>
    <t>ANGEL CRISAN</t>
  </si>
  <si>
    <t>IOANA OLARU</t>
  </si>
  <si>
    <t>HECTOR GUILLEN</t>
  </si>
  <si>
    <t>C:\Users\hector.guillen\EUROLEAGUE\EB STATS - Documents\General\SEASON 2025-26\Reports\Eurocup</t>
  </si>
  <si>
    <t>8:33</t>
  </si>
  <si>
    <t>6:55</t>
  </si>
  <si>
    <t>5:00</t>
  </si>
  <si>
    <t>4:02</t>
  </si>
  <si>
    <t>3:59</t>
  </si>
  <si>
    <t>8:50</t>
  </si>
  <si>
    <t>Very good job, improving your performance during the game.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</si>
</sst>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9" fillId="11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95" hidden="1" customWidth="1"/>
    <col min="18" max="18" width="2.7265625" hidden="1" customWidth="1"/>
    <col min="19" max="20" width="2.7265625" style="99" hidden="1" customWidth="1"/>
    <col min="21" max="21" width="2.7265625" style="105" hidden="1" customWidth="1"/>
    <col min="22" max="24" width="2.7265625" style="99" hidden="1" customWidth="1"/>
    <col min="25" max="25" width="2.7265625" style="106" hidden="1" customWidth="1"/>
    <col min="26" max="26" width="9.54296875" style="95" hidden="1" customWidth="1"/>
    <col min="27" max="27" width="2.7265625" style="99" hidden="1" customWidth="1"/>
    <col min="28" max="28" width="2.7265625" style="105" hidden="1" customWidth="1"/>
    <col min="29" max="29" width="2.7265625" style="107" hidden="1" customWidth="1"/>
    <col min="30" max="30" width="2.7265625" style="99" hidden="1" customWidth="1"/>
    <col min="31" max="31" width="2.7265625" style="105" hidden="1" customWidth="1"/>
    <col min="32" max="46" width="2.7265625" style="99" hidden="1" customWidth="1"/>
    <col min="47" max="47" width="2.7265625" style="107" hidden="1" customWidth="1"/>
    <col min="48" max="48" width="2.7265625" style="99" hidden="1" customWidth="1"/>
    <col min="49" max="52" width="2.7265625" style="107" hidden="1" customWidth="1"/>
    <col min="53" max="53" width="2.7265625" style="99" hidden="1" customWidth="1"/>
    <col min="54" max="54" width="2.7265625" style="107" hidden="1" customWidth="1"/>
    <col min="55" max="71" width="2.7265625" style="99" hidden="1" customWidth="1"/>
    <col min="72" max="16384" width="2.7265625" style="72" hidden="1"/>
  </cols>
  <sheetData>
    <row r="1" spans="1:108" s="71" customFormat="1" ht="11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162</v>
      </c>
      <c r="K1" s="57" t="s">
        <v>187</v>
      </c>
      <c r="L1" s="58"/>
      <c r="M1" s="63" t="s">
        <v>165</v>
      </c>
      <c r="N1" s="42" t="s">
        <v>187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1.5" thickBot="1" x14ac:dyDescent="0.35">
      <c r="A2" s="1"/>
      <c r="B2" s="54" t="s">
        <v>178</v>
      </c>
      <c r="C2" s="55">
        <v>2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U2025002</v>
      </c>
      <c r="N2" s="42" t="s">
        <v>187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35">
      <c r="A3" s="1"/>
      <c r="B3" s="115" t="str">
        <f>IF(ISERROR(VLOOKUP($B$2&amp;TEXT($C$2,"000"),#REF!,4,FALSE)),"",VLOOKUP($B$2&amp;TEXT($C$2,"000"),#REF!,4,FALSE))</f>
        <v/>
      </c>
      <c r="C3" s="116"/>
      <c r="D3" s="39">
        <v>642</v>
      </c>
      <c r="E3" s="29"/>
      <c r="F3" s="26">
        <f>SUBTOTAL(3,I17:I106)</f>
        <v>6</v>
      </c>
      <c r="G3" s="27">
        <f>IF(OR(D3="",D3=0),"",F3/D3)</f>
        <v>9.3457943925233638E-3</v>
      </c>
      <c r="H3" s="5"/>
      <c r="I3" s="5"/>
      <c r="J3" s="5"/>
      <c r="K3" s="5"/>
      <c r="L3" s="5"/>
      <c r="M3" s="117" t="s">
        <v>164</v>
      </c>
      <c r="N3" s="118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3" x14ac:dyDescent="0.25">
      <c r="A4" s="2"/>
      <c r="B4" s="122" t="s">
        <v>86</v>
      </c>
      <c r="C4" s="123"/>
      <c r="D4" s="119" t="s">
        <v>179</v>
      </c>
      <c r="E4" s="120"/>
      <c r="F4" s="120"/>
      <c r="G4" s="121"/>
      <c r="H4" s="5"/>
      <c r="I4" s="5"/>
      <c r="J4" s="5"/>
      <c r="K4" s="5"/>
      <c r="L4" s="5"/>
      <c r="M4" s="126" t="s">
        <v>194</v>
      </c>
      <c r="N4" s="127"/>
      <c r="O4" s="2"/>
      <c r="P4" s="2"/>
      <c r="Q4" s="92" t="s">
        <v>177</v>
      </c>
      <c r="R4" s="102">
        <f>(IF(G3="",0,G3))</f>
        <v>9.3457943925233638E-3</v>
      </c>
      <c r="S4" s="69">
        <f>SUM(I13:M13)</f>
        <v>0</v>
      </c>
      <c r="T4" s="86"/>
      <c r="U4" s="69">
        <f>AC18</f>
        <v>3</v>
      </c>
      <c r="V4" s="69">
        <f>+AC22</f>
        <v>3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35">
      <c r="A5" s="2"/>
      <c r="B5" s="124" t="s">
        <v>87</v>
      </c>
      <c r="C5" s="125"/>
      <c r="D5" s="132" t="s">
        <v>180</v>
      </c>
      <c r="E5" s="133"/>
      <c r="F5" s="133"/>
      <c r="G5" s="134"/>
      <c r="H5" s="5"/>
      <c r="I5" s="5"/>
      <c r="J5" s="5"/>
      <c r="K5" s="5"/>
      <c r="L5" s="5"/>
      <c r="M5" s="128"/>
      <c r="N5" s="129"/>
      <c r="O5" s="2"/>
      <c r="P5" s="2"/>
      <c r="Q5" s="97" t="s">
        <v>176</v>
      </c>
      <c r="R5" s="102">
        <f>R4*R3</f>
        <v>0.93457943925233633</v>
      </c>
      <c r="S5" s="78">
        <f t="shared" ref="S5" si="0">S4*S3</f>
        <v>0</v>
      </c>
      <c r="T5" s="100"/>
      <c r="U5" s="78">
        <f t="shared" ref="U5:AG5" si="1">U4*U3</f>
        <v>1.5</v>
      </c>
      <c r="V5" s="78">
        <f t="shared" si="1"/>
        <v>3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35">
      <c r="A6" s="2"/>
      <c r="B6" s="122" t="s">
        <v>95</v>
      </c>
      <c r="C6" s="123"/>
      <c r="D6" s="137" t="s">
        <v>181</v>
      </c>
      <c r="E6" s="138"/>
      <c r="F6" s="138"/>
      <c r="G6" s="139"/>
      <c r="H6" s="5"/>
      <c r="I6" s="5"/>
      <c r="J6" s="5"/>
      <c r="K6" s="5"/>
      <c r="L6" s="5"/>
      <c r="M6" s="130"/>
      <c r="N6" s="131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3" x14ac:dyDescent="0.25">
      <c r="A7" s="2"/>
      <c r="B7" s="152" t="s">
        <v>96</v>
      </c>
      <c r="C7" s="153"/>
      <c r="D7" s="140" t="s">
        <v>182</v>
      </c>
      <c r="E7" s="141"/>
      <c r="F7" s="141"/>
      <c r="G7" s="142"/>
      <c r="H7" s="5"/>
      <c r="I7" s="5"/>
      <c r="J7" s="5"/>
      <c r="K7" s="5"/>
      <c r="L7" s="5"/>
      <c r="M7" s="65">
        <f>Q7</f>
        <v>5.4345794392523361</v>
      </c>
      <c r="N7" s="65"/>
      <c r="O7" s="2"/>
      <c r="P7" s="2"/>
      <c r="Q7" s="94">
        <f>SUM(R5,S5,AC16)</f>
        <v>5.4345794392523361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3">
      <c r="A8" s="2"/>
      <c r="B8" s="124" t="s">
        <v>97</v>
      </c>
      <c r="C8" s="154"/>
      <c r="D8" s="143" t="s">
        <v>183</v>
      </c>
      <c r="E8" s="144"/>
      <c r="F8" s="144"/>
      <c r="G8" s="14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5.4345794392523361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3">
      <c r="A9" s="2"/>
      <c r="B9" s="122" t="s">
        <v>98</v>
      </c>
      <c r="C9" s="155"/>
      <c r="D9" s="137" t="s">
        <v>184</v>
      </c>
      <c r="E9" s="138"/>
      <c r="F9" s="138"/>
      <c r="G9" s="13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35">
      <c r="A10" s="1"/>
      <c r="B10" s="156" t="s">
        <v>99</v>
      </c>
      <c r="C10" s="157"/>
      <c r="D10" s="146" t="s">
        <v>185</v>
      </c>
      <c r="E10" s="147"/>
      <c r="F10" s="147"/>
      <c r="G10" s="14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1" thickBot="1" x14ac:dyDescent="0.3">
      <c r="A11" s="17"/>
      <c r="B11" s="135" t="s">
        <v>108</v>
      </c>
      <c r="C11" s="136"/>
      <c r="D11" s="149"/>
      <c r="E11" s="150"/>
      <c r="F11" s="150"/>
      <c r="G11" s="15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35">
      <c r="A12" s="1"/>
      <c r="B12" s="2"/>
      <c r="C12" s="2"/>
      <c r="D12" s="2"/>
      <c r="E12" s="2"/>
      <c r="F12" s="50" t="str">
        <f>IF(G12="","",$B$2)</f>
        <v>U2025</v>
      </c>
      <c r="G12" s="51">
        <f>IF(I12="","",$C$2)</f>
        <v>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35">
      <c r="A14" s="1"/>
      <c r="B14" s="135" t="s">
        <v>163</v>
      </c>
      <c r="C14" s="136"/>
      <c r="D14" s="149" t="s">
        <v>186</v>
      </c>
      <c r="E14" s="150"/>
      <c r="F14" s="150"/>
      <c r="G14" s="15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74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6</v>
      </c>
      <c r="Z16" s="98" t="s">
        <v>110</v>
      </c>
      <c r="AA16" s="83">
        <f>SUM(AA17:AA24)</f>
        <v>6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83">
        <f>SUM(AD17:AD24)</f>
        <v>45</v>
      </c>
      <c r="AE16" s="84" t="s">
        <v>42</v>
      </c>
      <c r="AF16" s="83">
        <f>SUM(AF17:AF24)</f>
        <v>1</v>
      </c>
      <c r="AG16" s="83">
        <f>SUM(AG17:AG21)</f>
        <v>6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2</v>
      </c>
      <c r="D17" s="32" t="s">
        <v>188</v>
      </c>
      <c r="E17" s="33">
        <v>1</v>
      </c>
      <c r="F17" s="36">
        <v>2</v>
      </c>
      <c r="G17" s="36">
        <v>3</v>
      </c>
      <c r="H17" s="38" t="str">
        <f>IF(I17="","",$I$14)</f>
        <v>SCOUTING</v>
      </c>
      <c r="I17" s="34">
        <v>22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6</v>
      </c>
      <c r="Z17" s="113" t="s">
        <v>63</v>
      </c>
      <c r="AA17" s="70">
        <f>COUNTIF($K$17:$K$106,Z17)</f>
        <v>2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1</v>
      </c>
      <c r="AG17" s="70">
        <f>COUNTIF($E$17:$E$106,$AK17)</f>
        <v>5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0.5" x14ac:dyDescent="0.25">
      <c r="A18" s="20"/>
      <c r="B18" s="31" t="str">
        <f t="shared" si="2"/>
        <v>U2025</v>
      </c>
      <c r="C18" s="31">
        <f t="shared" si="3"/>
        <v>2</v>
      </c>
      <c r="D18" s="32" t="s">
        <v>189</v>
      </c>
      <c r="E18" s="33">
        <v>1</v>
      </c>
      <c r="F18" s="36">
        <v>7</v>
      </c>
      <c r="G18" s="36">
        <v>5</v>
      </c>
      <c r="H18" s="38" t="str">
        <f t="shared" ref="H18:H81" si="8">IF(I18="","",$I$14)</f>
        <v>SCOUTING</v>
      </c>
      <c r="I18" s="34">
        <v>41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4</v>
      </c>
      <c r="AB18" s="74" t="s">
        <v>5</v>
      </c>
      <c r="AC18" s="69">
        <f t="shared" si="5"/>
        <v>3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0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0.5" x14ac:dyDescent="0.25">
      <c r="A19" s="20"/>
      <c r="B19" s="31" t="str">
        <f t="shared" si="2"/>
        <v>U2025</v>
      </c>
      <c r="C19" s="31">
        <f t="shared" si="3"/>
        <v>2</v>
      </c>
      <c r="D19" s="32" t="s">
        <v>190</v>
      </c>
      <c r="E19" s="33">
        <v>1</v>
      </c>
      <c r="F19" s="36">
        <v>15</v>
      </c>
      <c r="G19" s="36">
        <v>10</v>
      </c>
      <c r="H19" s="38" t="str">
        <f t="shared" si="8"/>
        <v>SCOUTING</v>
      </c>
      <c r="I19" s="34">
        <v>73</v>
      </c>
      <c r="J19" s="13" t="s">
        <v>4</v>
      </c>
      <c r="K19" s="13" t="s">
        <v>62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0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0.5" x14ac:dyDescent="0.25">
      <c r="A20" s="20"/>
      <c r="B20" s="31" t="str">
        <f t="shared" si="2"/>
        <v>U2025</v>
      </c>
      <c r="C20" s="31">
        <f t="shared" si="3"/>
        <v>2</v>
      </c>
      <c r="D20" s="32" t="s">
        <v>191</v>
      </c>
      <c r="E20" s="33">
        <v>1</v>
      </c>
      <c r="F20" s="36">
        <v>15</v>
      </c>
      <c r="G20" s="36">
        <v>12</v>
      </c>
      <c r="H20" s="38" t="str">
        <f t="shared" si="8"/>
        <v>SCOUTING</v>
      </c>
      <c r="I20" s="34">
        <v>87</v>
      </c>
      <c r="J20" s="13" t="s">
        <v>4</v>
      </c>
      <c r="K20" s="13" t="s">
        <v>62</v>
      </c>
      <c r="L20" s="13" t="s">
        <v>5</v>
      </c>
      <c r="M20" s="13" t="s">
        <v>10</v>
      </c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0</v>
      </c>
      <c r="AG20" s="70">
        <f>COUNTIF($E$17:$E$106,$AK20)</f>
        <v>1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0.5" x14ac:dyDescent="0.25">
      <c r="A21" s="20"/>
      <c r="B21" s="31" t="str">
        <f t="shared" si="2"/>
        <v>U2025</v>
      </c>
      <c r="C21" s="31">
        <f t="shared" si="3"/>
        <v>2</v>
      </c>
      <c r="D21" s="32" t="s">
        <v>192</v>
      </c>
      <c r="E21" s="33">
        <v>1</v>
      </c>
      <c r="F21" s="36">
        <v>15</v>
      </c>
      <c r="G21" s="36">
        <v>12</v>
      </c>
      <c r="H21" s="38" t="str">
        <f t="shared" si="8"/>
        <v>SCOUTING</v>
      </c>
      <c r="I21" s="34">
        <v>89</v>
      </c>
      <c r="J21" s="13" t="s">
        <v>4</v>
      </c>
      <c r="K21" s="13" t="s">
        <v>62</v>
      </c>
      <c r="L21" s="13" t="s">
        <v>6</v>
      </c>
      <c r="M21" s="13" t="s">
        <v>27</v>
      </c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0.5" x14ac:dyDescent="0.25">
      <c r="A22" s="20"/>
      <c r="B22" s="31" t="str">
        <f t="shared" si="2"/>
        <v>U2025</v>
      </c>
      <c r="C22" s="31">
        <f t="shared" si="3"/>
        <v>2</v>
      </c>
      <c r="D22" s="32" t="s">
        <v>193</v>
      </c>
      <c r="E22" s="33">
        <v>4</v>
      </c>
      <c r="F22" s="36">
        <v>47</v>
      </c>
      <c r="G22" s="36">
        <v>51</v>
      </c>
      <c r="H22" s="38" t="str">
        <f t="shared" si="8"/>
        <v>SCOUTING</v>
      </c>
      <c r="I22" s="34">
        <v>348</v>
      </c>
      <c r="J22" s="13" t="s">
        <v>4</v>
      </c>
      <c r="K22" s="13" t="s">
        <v>63</v>
      </c>
      <c r="L22" s="13" t="s">
        <v>6</v>
      </c>
      <c r="M22" s="13" t="s">
        <v>11</v>
      </c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3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0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1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1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0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3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104"/>
    </row>
    <row r="110" spans="1:71" x14ac:dyDescent="0.35">
      <c r="W110" s="4"/>
    </row>
    <row r="111" spans="1:71" x14ac:dyDescent="0.35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4" customWidth="1"/>
    <col min="2" max="2" width="13.81640625" style="44" bestFit="1" customWidth="1"/>
    <col min="3" max="3" width="24.81640625" style="44" bestFit="1" customWidth="1"/>
    <col min="4" max="4" width="6.453125" style="44" bestFit="1" customWidth="1"/>
    <col min="5" max="5" width="1.453125" style="44" customWidth="1"/>
    <col min="6" max="6" width="34.453125" style="44" bestFit="1" customWidth="1"/>
    <col min="7" max="7" width="1.453125" style="44" customWidth="1"/>
    <col min="8" max="16382" width="10.81640625" style="44" hidden="1"/>
    <col min="16383" max="16384" width="52.54296875" style="44" hidden="1" customWidth="1"/>
  </cols>
  <sheetData>
    <row r="1" spans="2:6" x14ac:dyDescent="0.25">
      <c r="F1" s="45" t="str">
        <f>"REPORT_"&amp;'SCOUT &amp; LOGISTICS'!B2&amp;TEXT('SCOUT &amp; LOGISTICS'!C2,"000")</f>
        <v>REPORT_U2025002</v>
      </c>
    </row>
    <row r="2" spans="2:6" x14ac:dyDescent="0.25">
      <c r="F2" s="46" t="s">
        <v>157</v>
      </c>
    </row>
    <row r="3" spans="2:6" x14ac:dyDescent="0.25">
      <c r="B3" s="44" t="s">
        <v>156</v>
      </c>
      <c r="C3" s="44" t="str">
        <f>""""&amp;'SCOUT &amp; LOGISTICS'!B2&amp;TEXT('SCOUT &amp; LOGISTICS'!C2,"000")&amp;""""</f>
        <v>"U2025002"</v>
      </c>
      <c r="F3" s="46" t="str">
        <f t="shared" ref="F3:F16" si="0">""""&amp;B3&amp;"""" &amp; " : " &amp;C3&amp;","</f>
        <v>"name" : "U2025002",</v>
      </c>
    </row>
    <row r="4" spans="2:6" x14ac:dyDescent="0.25">
      <c r="B4" s="44" t="s">
        <v>119</v>
      </c>
      <c r="C4" s="44" t="str">
        <f>""""&amp;LEFT('SCOUT &amp; LOGISTICS'!B2,1) &amp; TEXT('SCOUT &amp; LOGISTICS'!C2,"000")&amp;""""</f>
        <v>"U002"</v>
      </c>
      <c r="F4" s="46" t="str">
        <f t="shared" si="0"/>
        <v>"cod" : "U002",</v>
      </c>
    </row>
    <row r="5" spans="2:6" x14ac:dyDescent="0.25">
      <c r="B5" s="44" t="s">
        <v>117</v>
      </c>
      <c r="C5" s="44" t="str">
        <f>""""&amp;LEFT('SCOUT &amp; LOGISTICS'!B2,1)&amp;""""</f>
        <v>"U"</v>
      </c>
      <c r="F5" s="46" t="str">
        <f t="shared" si="0"/>
        <v>"competition" : "U",</v>
      </c>
    </row>
    <row r="6" spans="2:6" x14ac:dyDescent="0.25">
      <c r="B6" s="44" t="s">
        <v>118</v>
      </c>
      <c r="C6" s="44" t="str">
        <f>TEXT('SCOUT &amp; LOGISTICS'!C2,"000")</f>
        <v>002</v>
      </c>
      <c r="F6" s="46" t="str">
        <f t="shared" si="0"/>
        <v>"number" : 002,</v>
      </c>
    </row>
    <row r="7" spans="2:6" x14ac:dyDescent="0.25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5">
      <c r="B8" s="44" t="s">
        <v>125</v>
      </c>
      <c r="C8" s="44" t="str">
        <f>""""&amp;'SCOUT &amp; LOGISTICS'!D4 &amp;""""</f>
        <v>"U-BT Cluj-Napoca"</v>
      </c>
      <c r="F8" s="46" t="str">
        <f t="shared" si="0"/>
        <v>"home_team" : "U-BT Cluj-Napoca",</v>
      </c>
    </row>
    <row r="9" spans="2:6" x14ac:dyDescent="0.25">
      <c r="B9" s="44" t="s">
        <v>126</v>
      </c>
      <c r="C9" s="44" t="str">
        <f>""""&amp;'SCOUT &amp; LOGISTICS'!D5&amp;""""</f>
        <v>"Bahcesehir College Istanbul"</v>
      </c>
      <c r="F9" s="46" t="str">
        <f t="shared" si="0"/>
        <v>"away_team" : "Bahcesehir College Istanbul",</v>
      </c>
    </row>
    <row r="10" spans="2:6" x14ac:dyDescent="0.25">
      <c r="B10" s="44" t="s">
        <v>127</v>
      </c>
      <c r="C10" s="44" t="str">
        <f>""""&amp;IF('SCOUT &amp; LOGISTICS'!D6="","",'SCOUT &amp; LOGISTICS'!D6)&amp;""""</f>
        <v>"NOEMI CSIKI"</v>
      </c>
      <c r="F10" s="46" t="str">
        <f t="shared" si="0"/>
        <v>"Data_entry" : "NOEMI CSIKI",</v>
      </c>
    </row>
    <row r="11" spans="2:6" x14ac:dyDescent="0.25">
      <c r="B11" s="44" t="s">
        <v>128</v>
      </c>
      <c r="C11" s="44" t="str">
        <f>""""&amp;IF('SCOUT &amp; LOGISTICS'!D7="","",'SCOUT &amp; LOGISTICS'!D7)&amp;""""</f>
        <v>"ZSOLT CSIKI"</v>
      </c>
      <c r="F11" s="46" t="str">
        <f t="shared" si="0"/>
        <v>"Caller_1" : "ZSOLT CSIKI",</v>
      </c>
    </row>
    <row r="12" spans="2:6" x14ac:dyDescent="0.25">
      <c r="B12" s="44" t="s">
        <v>129</v>
      </c>
      <c r="C12" s="44" t="str">
        <f>""""&amp;IF('SCOUT &amp; LOGISTICS'!D8="","",'SCOUT &amp; LOGISTICS'!D8)&amp;""""</f>
        <v>"GEORGE PRIDEA"</v>
      </c>
      <c r="F12" s="46" t="str">
        <f t="shared" si="0"/>
        <v>"Caller_2" : "GEORGE PRIDEA",</v>
      </c>
    </row>
    <row r="13" spans="2:6" x14ac:dyDescent="0.25">
      <c r="B13" s="44" t="s">
        <v>98</v>
      </c>
      <c r="C13" s="44" t="str">
        <f>""""&amp;IF('SCOUT &amp; LOGISTICS'!D9="","",'SCOUT &amp; LOGISTICS'!D9)&amp;""""</f>
        <v>"ANGEL CRISAN"</v>
      </c>
      <c r="F13" s="46" t="str">
        <f t="shared" si="0"/>
        <v>"Timerkeeper" : "ANGEL CRISAN",</v>
      </c>
    </row>
    <row r="14" spans="2:6" x14ac:dyDescent="0.25">
      <c r="B14" s="44" t="s">
        <v>99</v>
      </c>
      <c r="C14" s="44" t="str">
        <f>""""&amp;IF('SCOUT &amp; LOGISTICS'!D10="","",'SCOUT &amp; LOGISTICS'!D10)&amp;""""</f>
        <v>"IOANA OLARU"</v>
      </c>
      <c r="F14" s="46" t="str">
        <f t="shared" si="0"/>
        <v>"Shotclock" : "IOANA OLARU",</v>
      </c>
    </row>
    <row r="15" spans="2:6" x14ac:dyDescent="0.25">
      <c r="B15" s="44" t="s">
        <v>108</v>
      </c>
      <c r="C15" s="44" t="str">
        <f>""""&amp;IF('SCOUT &amp; LOGISTICS'!D11="","",'SCOUT &amp; LOGISTICS'!D11)&amp;""""</f>
        <v>""</v>
      </c>
      <c r="F15" s="46" t="str">
        <f t="shared" si="0"/>
        <v>"IRS" : "",</v>
      </c>
    </row>
    <row r="16" spans="2:6" x14ac:dyDescent="0.25">
      <c r="B16" s="44" t="s">
        <v>130</v>
      </c>
      <c r="C16" s="44" t="str">
        <f>""""&amp;IF('SCOUT &amp; LOGISTICS'!D14=0,"",'SCOUT &amp; LOGISTICS'!D14)&amp;""""</f>
        <v>"HECTOR GUILLEN"</v>
      </c>
      <c r="F16" s="46" t="str">
        <f t="shared" si="0"/>
        <v>"Live_Game_Manager" : "HECTOR GUILLEN",</v>
      </c>
    </row>
    <row r="17" spans="2:6" x14ac:dyDescent="0.25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5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5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5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5">
      <c r="C21" s="44" t="s">
        <v>123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 x14ac:dyDescent="0.25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5">
      <c r="F23" s="46" t="s">
        <v>158</v>
      </c>
    </row>
    <row r="24" spans="2:6" x14ac:dyDescent="0.25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5">
      <c r="C25" s="44" t="s">
        <v>131</v>
      </c>
      <c r="D25" s="44">
        <f>'SCOUT &amp; LOGISTICS'!D3</f>
        <v>642</v>
      </c>
      <c r="F25" s="46" t="str">
        <f t="shared" ref="F25:F48" si="1">""""&amp;C25&amp;"""" &amp; " : " &amp;D25&amp;","</f>
        <v>"total_actions" : 642,</v>
      </c>
    </row>
    <row r="26" spans="2:6" x14ac:dyDescent="0.25">
      <c r="C26" s="44" t="s">
        <v>132</v>
      </c>
      <c r="D26" s="44">
        <f>'SCOUT &amp; LOGISTICS'!F3</f>
        <v>6</v>
      </c>
      <c r="F26" s="46" t="str">
        <f t="shared" si="1"/>
        <v>"total_correcions" : 6,</v>
      </c>
    </row>
    <row r="27" spans="2:6" x14ac:dyDescent="0.25">
      <c r="C27" s="44" t="s">
        <v>133</v>
      </c>
      <c r="D27" s="44" t="str">
        <f>""""&amp;IF(OR(D25="",D25=0),"",TEXT(D26/D25,"0,0%"))&amp;""""</f>
        <v>"01%"</v>
      </c>
      <c r="F27" s="46" t="str">
        <f t="shared" si="1"/>
        <v>"%_corrections" : "01%",</v>
      </c>
    </row>
    <row r="28" spans="2:6" x14ac:dyDescent="0.25">
      <c r="C28" s="44" t="s">
        <v>125</v>
      </c>
      <c r="D28" s="44">
        <f>IF('SCOUT &amp; LOGISTICS'!AA17="","",'SCOUT &amp; LOGISTICS'!AA17)</f>
        <v>2</v>
      </c>
      <c r="F28" s="46" t="str">
        <f t="shared" si="1"/>
        <v>"home_team" : 2,</v>
      </c>
    </row>
    <row r="29" spans="2:6" x14ac:dyDescent="0.25">
      <c r="C29" s="44" t="s">
        <v>134</v>
      </c>
      <c r="D29" s="44">
        <f>IF('SCOUT &amp; LOGISTICS'!AA18="","",'SCOUT &amp; LOGISTICS'!AA18)</f>
        <v>4</v>
      </c>
      <c r="F29" s="46" t="str">
        <f t="shared" si="1"/>
        <v>"no_team" : 4,</v>
      </c>
    </row>
    <row r="30" spans="2:6" x14ac:dyDescent="0.25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5">
      <c r="C31" s="44" t="s">
        <v>135</v>
      </c>
      <c r="D31" s="44">
        <f>'SCOUT &amp; LOGISTICS'!AG17</f>
        <v>5</v>
      </c>
      <c r="F31" s="46" t="str">
        <f t="shared" si="1"/>
        <v>"q1" : 5,</v>
      </c>
    </row>
    <row r="32" spans="2:6" x14ac:dyDescent="0.25">
      <c r="C32" s="44" t="s">
        <v>136</v>
      </c>
      <c r="D32" s="44">
        <f>'SCOUT &amp; LOGISTICS'!AG18</f>
        <v>0</v>
      </c>
      <c r="F32" s="46" t="str">
        <f t="shared" si="1"/>
        <v>"q2" : 0,</v>
      </c>
    </row>
    <row r="33" spans="3:6" x14ac:dyDescent="0.25">
      <c r="C33" s="44" t="s">
        <v>137</v>
      </c>
      <c r="D33" s="44">
        <f>'SCOUT &amp; LOGISTICS'!AG19</f>
        <v>0</v>
      </c>
      <c r="F33" s="46" t="str">
        <f t="shared" si="1"/>
        <v>"q3" : 0,</v>
      </c>
    </row>
    <row r="34" spans="3:6" x14ac:dyDescent="0.25">
      <c r="C34" s="44" t="s">
        <v>138</v>
      </c>
      <c r="D34" s="44">
        <f>'SCOUT &amp; LOGISTICS'!AG20</f>
        <v>1</v>
      </c>
      <c r="F34" s="46" t="str">
        <f t="shared" si="1"/>
        <v>"q4" : 1,</v>
      </c>
    </row>
    <row r="35" spans="3:6" x14ac:dyDescent="0.25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5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5">
      <c r="C37" s="44" t="s">
        <v>140</v>
      </c>
      <c r="D37" s="44">
        <f>'SCOUT &amp; LOGISTICS'!Y16</f>
        <v>6</v>
      </c>
      <c r="F37" s="46" t="str">
        <f t="shared" si="1"/>
        <v>"scoresheet_corrections" : 6,</v>
      </c>
    </row>
    <row r="38" spans="3:6" x14ac:dyDescent="0.25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5">
      <c r="C39" s="44" t="s">
        <v>142</v>
      </c>
      <c r="D39" s="44">
        <f>'SCOUT &amp; LOGISTICS'!AC18</f>
        <v>3</v>
      </c>
      <c r="F39" s="46" t="str">
        <f t="shared" si="1"/>
        <v>"missidentity" : 3,</v>
      </c>
    </row>
    <row r="40" spans="3:6" x14ac:dyDescent="0.25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5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5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5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5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5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5">
      <c r="C46" s="47" t="s">
        <v>154</v>
      </c>
      <c r="D46" s="44">
        <f>'SCOUT &amp; LOGISTICS'!AC23</f>
        <v>0</v>
      </c>
      <c r="F46" s="46" t="str">
        <f t="shared" si="1"/>
        <v>"part_of_a_sequence" : 0,</v>
      </c>
    </row>
    <row r="47" spans="3:6" x14ac:dyDescent="0.25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5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5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5">
      <c r="F50" s="46" t="s">
        <v>158</v>
      </c>
    </row>
    <row r="51" spans="2:6" x14ac:dyDescent="0.25">
      <c r="B51" s="44" t="s">
        <v>152</v>
      </c>
      <c r="C51" s="44" t="str">
        <f>""""&amp;IF('SCOUT &amp; LOGISTICS'!M4="","",'SCOUT &amp; LOGISTICS'!M4)&amp;""""</f>
        <v>"Very good job, improving your performance during the game. Keep it up!"</v>
      </c>
      <c r="F51" s="46" t="str">
        <f>""""&amp;B51&amp;"""" &amp; " : " &amp;C51&amp;","</f>
        <v>"comments" : "Very good job, improving your performance during the game. Keep it up!",</v>
      </c>
    </row>
    <row r="52" spans="2:6" x14ac:dyDescent="0.25">
      <c r="B52" s="44" t="s">
        <v>153</v>
      </c>
      <c r="C52" s="44" t="str">
        <f>TEXT('SCOUT &amp; LOGISTICS'!N2,"0,0")</f>
        <v>C:\Users\hector.guillen\EUROLEAGUE\EB STATS - Documents\General\SEASON 2025-26\Reports\Eurocup</v>
      </c>
      <c r="F52" s="46" t="str">
        <f>""""&amp;B52&amp;"""" &amp; " : " &amp;C52</f>
        <v>"result" : C:\Users\hector.guillen\EUROLEAGUE\EB STATS - Documents\General\SEASON 2025-26\Reports\Eurocup</v>
      </c>
    </row>
    <row r="53" spans="2:6" x14ac:dyDescent="0.25">
      <c r="F53" s="46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8" customWidth="1"/>
    <col min="2" max="2" width="2.81640625" style="48" customWidth="1"/>
    <col min="3" max="31" width="3.1796875" style="48" customWidth="1"/>
    <col min="32" max="32" width="5.54296875" style="48" customWidth="1"/>
    <col min="33" max="16384" width="6.54296875" style="48" hidden="1"/>
  </cols>
  <sheetData>
    <row r="1" spans="1:33" s="49" customFormat="1" ht="11.15" customHeight="1" x14ac:dyDescent="0.25"/>
    <row r="2" spans="1:33" ht="42.65" customHeight="1" thickBot="1" x14ac:dyDescent="0.3">
      <c r="A2" s="49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49"/>
    </row>
    <row r="3" spans="1:33" ht="27" customHeight="1" thickBot="1" x14ac:dyDescent="0.3">
      <c r="A3" s="49"/>
      <c r="B3" s="172" t="str">
        <f>"GAME: "&amp; LEFT('SCOUT &amp; LOGISTICS'!B2,1) &amp; TEXT('SCOUT &amp; LOGISTICS'!C2,"000") &amp; " " &amp; IF(LEFT('SCOUT &amp; LOGISTICS'!B2,1)="U","(EUROCUP)","(EUROLEAGUE)")</f>
        <v>GAME: U002 (EUROCUP)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49"/>
    </row>
    <row r="4" spans="1:33" ht="14.25" customHeight="1" thickBot="1" x14ac:dyDescent="0.3">
      <c r="A4" s="49"/>
      <c r="B4" s="158" t="str">
        <f>"DATE: " &amp; TEXT('SCOUT &amp; LOGISTICS'!B3,"dd/mm/aaaa")</f>
        <v xml:space="preserve">DATE: 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49"/>
    </row>
    <row r="5" spans="1:33" ht="20.149999999999999" customHeight="1" thickBot="1" x14ac:dyDescent="0.3">
      <c r="A5" s="49"/>
      <c r="B5" s="173" t="str">
        <f>'SCOUT &amp; LOGISTICS'!D4</f>
        <v>U-BT Cluj-Napoca</v>
      </c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 t="str">
        <f>'SCOUT &amp; LOGISTICS'!D5</f>
        <v>Bahcesehir College Istanbul</v>
      </c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49"/>
    </row>
    <row r="6" spans="1:33" ht="23.15" customHeight="1" thickBot="1" x14ac:dyDescent="0.3">
      <c r="A6" s="49"/>
      <c r="B6" s="176" t="str">
        <f>PROPER('SCOUT &amp; LOGISTICS'!D4)</f>
        <v>U-Bt Cluj-Napoca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 t="str">
        <f>PROPER('SCOUT &amp; LOGISTICS'!D5)</f>
        <v>Bahcesehir College Istanbul</v>
      </c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49"/>
    </row>
    <row r="7" spans="1:33" ht="19.5" customHeight="1" thickBot="1" x14ac:dyDescent="0.3">
      <c r="A7" s="49"/>
      <c r="B7" s="168" t="str">
        <f>'SCOUT &amp; LOGISTICS'!B6</f>
        <v>Data entry</v>
      </c>
      <c r="C7" s="168"/>
      <c r="D7" s="168"/>
      <c r="E7" s="168"/>
      <c r="F7" s="168"/>
      <c r="G7" s="168" t="str">
        <f>'SCOUT &amp; LOGISTICS'!B7</f>
        <v>Caller 1</v>
      </c>
      <c r="H7" s="168"/>
      <c r="I7" s="168"/>
      <c r="J7" s="168"/>
      <c r="K7" s="168"/>
      <c r="L7" s="168" t="str">
        <f>'SCOUT &amp; LOGISTICS'!B8</f>
        <v>Caller 2</v>
      </c>
      <c r="M7" s="168"/>
      <c r="N7" s="168"/>
      <c r="O7" s="168"/>
      <c r="P7" s="168"/>
      <c r="Q7" s="168" t="str">
        <f>'SCOUT &amp; LOGISTICS'!B9</f>
        <v>Timerkeeper</v>
      </c>
      <c r="R7" s="168"/>
      <c r="S7" s="168"/>
      <c r="T7" s="168"/>
      <c r="U7" s="168"/>
      <c r="V7" s="168" t="str">
        <f>'SCOUT &amp; LOGISTICS'!B10</f>
        <v>Shotclock</v>
      </c>
      <c r="W7" s="168"/>
      <c r="X7" s="168"/>
      <c r="Y7" s="168"/>
      <c r="Z7" s="168"/>
      <c r="AA7" s="168" t="str">
        <f>'SCOUT &amp; LOGISTICS'!B11</f>
        <v>IRS</v>
      </c>
      <c r="AB7" s="168"/>
      <c r="AC7" s="168"/>
      <c r="AD7" s="168"/>
      <c r="AE7" s="168"/>
      <c r="AF7" s="49"/>
    </row>
    <row r="8" spans="1:33" ht="36" customHeight="1" thickBot="1" x14ac:dyDescent="0.3">
      <c r="A8" s="49"/>
      <c r="B8" s="170" t="str">
        <f>IF('SCOUT &amp; LOGISTICS'!D6="","",'SCOUT &amp; LOGISTICS'!D6)</f>
        <v>NOEMI CSIKI</v>
      </c>
      <c r="C8" s="170"/>
      <c r="D8" s="170"/>
      <c r="E8" s="170"/>
      <c r="F8" s="170"/>
      <c r="G8" s="170" t="str">
        <f>IF('SCOUT &amp; LOGISTICS'!D7="","",'SCOUT &amp; LOGISTICS'!D7)</f>
        <v>ZSOLT CSIKI</v>
      </c>
      <c r="H8" s="170"/>
      <c r="I8" s="170"/>
      <c r="J8" s="170"/>
      <c r="K8" s="170"/>
      <c r="L8" s="170" t="str">
        <f>IF('SCOUT &amp; LOGISTICS'!D8="","",'SCOUT &amp; LOGISTICS'!D8)</f>
        <v>GEORGE PRIDEA</v>
      </c>
      <c r="M8" s="170"/>
      <c r="N8" s="170"/>
      <c r="O8" s="170"/>
      <c r="P8" s="170"/>
      <c r="Q8" s="170" t="str">
        <f>IF('SCOUT &amp; LOGISTICS'!D9="","",'SCOUT &amp; LOGISTICS'!D9)</f>
        <v>ANGEL CRISAN</v>
      </c>
      <c r="R8" s="170"/>
      <c r="S8" s="170"/>
      <c r="T8" s="170"/>
      <c r="U8" s="170"/>
      <c r="V8" s="170" t="str">
        <f>IF('SCOUT &amp; LOGISTICS'!D10="","",'SCOUT &amp; LOGISTICS'!D10)</f>
        <v>IOANA OLARU</v>
      </c>
      <c r="W8" s="170"/>
      <c r="X8" s="170"/>
      <c r="Y8" s="170"/>
      <c r="Z8" s="170"/>
      <c r="AA8" s="170" t="str">
        <f>IF('SCOUT &amp; LOGISTICS'!D11="","",'SCOUT &amp; LOGISTICS'!D11)</f>
        <v/>
      </c>
      <c r="AB8" s="170"/>
      <c r="AC8" s="170"/>
      <c r="AD8" s="170"/>
      <c r="AE8" s="170"/>
      <c r="AF8" s="49"/>
    </row>
    <row r="9" spans="1:33" ht="13" thickBot="1" x14ac:dyDescent="0.3">
      <c r="A9" s="49"/>
      <c r="B9" s="164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49"/>
    </row>
    <row r="10" spans="1:33" s="49" customFormat="1" ht="13" thickBot="1" x14ac:dyDescent="0.3"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</row>
    <row r="11" spans="1:33" ht="20.149999999999999" customHeight="1" thickBot="1" x14ac:dyDescent="0.3">
      <c r="A11" s="49"/>
      <c r="B11" s="158" t="s">
        <v>13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49"/>
    </row>
    <row r="12" spans="1:33" ht="21" customHeight="1" thickBot="1" x14ac:dyDescent="0.3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49999999999999" customHeight="1" thickBot="1" x14ac:dyDescent="0.3">
      <c r="A13" s="49"/>
      <c r="B13" s="171" t="str">
        <f>IF('SCOUT &amp; LOGISTICS'!I12="","",'SCOUT &amp; LOGISTICS'!I12)</f>
        <v>OK</v>
      </c>
      <c r="C13" s="171"/>
      <c r="D13" s="171"/>
      <c r="E13" s="171"/>
      <c r="F13" s="171"/>
      <c r="G13" s="171"/>
      <c r="H13" s="171" t="str">
        <f>IF('SCOUT &amp; LOGISTICS'!J12="","",'SCOUT &amp; LOGISTICS'!J12)</f>
        <v>YES</v>
      </c>
      <c r="I13" s="171"/>
      <c r="J13" s="171"/>
      <c r="K13" s="171"/>
      <c r="L13" s="171"/>
      <c r="M13" s="171"/>
      <c r="N13" s="171" t="str">
        <f>IF('SCOUT &amp; LOGISTICS'!K12="","",'SCOUT &amp; LOGISTICS'!K12)</f>
        <v>GOOD</v>
      </c>
      <c r="O13" s="171"/>
      <c r="P13" s="171"/>
      <c r="Q13" s="171"/>
      <c r="R13" s="171"/>
      <c r="S13" s="171"/>
      <c r="T13" s="171" t="str">
        <f>IF('SCOUT &amp; LOGISTICS'!L12="","",'SCOUT &amp; LOGISTICS'!L12)</f>
        <v>FAST</v>
      </c>
      <c r="U13" s="171"/>
      <c r="V13" s="171"/>
      <c r="W13" s="171"/>
      <c r="X13" s="171"/>
      <c r="Y13" s="171"/>
      <c r="Z13" s="171" t="str">
        <f>IF('SCOUT &amp; LOGISTICS'!M12="","",'SCOUT &amp; LOGISTICS'!M12)</f>
        <v>NO</v>
      </c>
      <c r="AA13" s="171"/>
      <c r="AB13" s="171"/>
      <c r="AC13" s="171"/>
      <c r="AD13" s="171"/>
      <c r="AE13" s="171"/>
      <c r="AF13" s="49"/>
    </row>
    <row r="14" spans="1:33" s="49" customFormat="1" ht="13" thickBot="1" x14ac:dyDescent="0.3">
      <c r="B14" s="165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</row>
    <row r="15" spans="1:33" ht="20.149999999999999" customHeight="1" thickBot="1" x14ac:dyDescent="0.3">
      <c r="A15" s="49"/>
      <c r="B15" s="158" t="s">
        <v>45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49"/>
    </row>
    <row r="16" spans="1:33" ht="21" customHeight="1" thickBot="1" x14ac:dyDescent="0.3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49999999999999" customHeight="1" thickBot="1" x14ac:dyDescent="0.3">
      <c r="A17" s="49"/>
      <c r="B17" s="168">
        <f>'SCOUT &amp; LOGISTICS'!D3</f>
        <v>642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>
        <f>'SCOUT &amp; LOGISTICS'!F3</f>
        <v>6</v>
      </c>
      <c r="M17" s="168"/>
      <c r="N17" s="168"/>
      <c r="O17" s="168"/>
      <c r="P17" s="168"/>
      <c r="Q17" s="168"/>
      <c r="R17" s="168"/>
      <c r="S17" s="168"/>
      <c r="T17" s="168"/>
      <c r="U17" s="168"/>
      <c r="V17" s="169">
        <f>IF(OR(B17="",B17=0),"",L17/B17)</f>
        <v>9.3457943925233638E-3</v>
      </c>
      <c r="W17" s="169"/>
      <c r="X17" s="169"/>
      <c r="Y17" s="169"/>
      <c r="Z17" s="169"/>
      <c r="AA17" s="169"/>
      <c r="AB17" s="169"/>
      <c r="AC17" s="169"/>
      <c r="AD17" s="169"/>
      <c r="AE17" s="169"/>
      <c r="AF17" s="49"/>
    </row>
    <row r="18" spans="1:32" s="49" customFormat="1" ht="13" thickBot="1" x14ac:dyDescent="0.3">
      <c r="B18" s="165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</row>
    <row r="19" spans="1:32" ht="21" customHeight="1" thickBot="1" x14ac:dyDescent="0.3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49999999999999" customHeight="1" thickBot="1" x14ac:dyDescent="0.3">
      <c r="A20" s="49"/>
      <c r="B20" s="161">
        <f>IF('SCOUT &amp; LOGISTICS'!AA17="","",'SCOUT &amp; LOGISTICS'!AA17)</f>
        <v>2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>
        <f>IF('SCOUT &amp; LOGISTICS'!AA18="","",'SCOUT &amp; LOGISTICS'!AA18)</f>
        <v>4</v>
      </c>
      <c r="M20" s="161"/>
      <c r="N20" s="161"/>
      <c r="O20" s="161"/>
      <c r="P20" s="161"/>
      <c r="Q20" s="161"/>
      <c r="R20" s="161"/>
      <c r="S20" s="161"/>
      <c r="T20" s="161"/>
      <c r="U20" s="161"/>
      <c r="V20" s="161">
        <f>IF('SCOUT &amp; LOGISTICS'!AA19="","",'SCOUT &amp; LOGISTICS'!AA19)</f>
        <v>0</v>
      </c>
      <c r="W20" s="161"/>
      <c r="X20" s="161"/>
      <c r="Y20" s="161"/>
      <c r="Z20" s="161"/>
      <c r="AA20" s="161"/>
      <c r="AB20" s="161"/>
      <c r="AC20" s="161"/>
      <c r="AD20" s="161"/>
      <c r="AE20" s="161"/>
      <c r="AF20" s="49"/>
    </row>
    <row r="21" spans="1:32" ht="21" customHeight="1" thickBot="1" x14ac:dyDescent="0.3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49999999999999" customHeight="1" thickBot="1" x14ac:dyDescent="0.3">
      <c r="A22" s="49"/>
      <c r="B22" s="161">
        <f>'SCOUT &amp; LOGISTICS'!AG17</f>
        <v>5</v>
      </c>
      <c r="C22" s="161"/>
      <c r="D22" s="161"/>
      <c r="E22" s="161"/>
      <c r="F22" s="161"/>
      <c r="G22" s="161"/>
      <c r="H22" s="161">
        <f>'SCOUT &amp; LOGISTICS'!AG18</f>
        <v>0</v>
      </c>
      <c r="I22" s="161"/>
      <c r="J22" s="161"/>
      <c r="K22" s="161"/>
      <c r="L22" s="161"/>
      <c r="M22" s="161"/>
      <c r="N22" s="161">
        <f>'SCOUT &amp; LOGISTICS'!AG19</f>
        <v>0</v>
      </c>
      <c r="O22" s="161"/>
      <c r="P22" s="161"/>
      <c r="Q22" s="161"/>
      <c r="R22" s="161"/>
      <c r="S22" s="161"/>
      <c r="T22" s="161">
        <f>'SCOUT &amp; LOGISTICS'!AG20</f>
        <v>1</v>
      </c>
      <c r="U22" s="161"/>
      <c r="V22" s="161"/>
      <c r="W22" s="161"/>
      <c r="X22" s="161"/>
      <c r="Y22" s="161"/>
      <c r="Z22" s="161">
        <f>IF('SCOUT &amp; LOGISTICS'!AG21="","",'SCOUT &amp; LOGISTICS'!AG21)</f>
        <v>0</v>
      </c>
      <c r="AA22" s="161"/>
      <c r="AB22" s="161"/>
      <c r="AC22" s="161"/>
      <c r="AD22" s="161"/>
      <c r="AE22" s="161"/>
      <c r="AF22" s="49"/>
    </row>
    <row r="23" spans="1:32" s="49" customFormat="1" ht="13" thickBot="1" x14ac:dyDescent="0.3">
      <c r="B23" s="17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</row>
    <row r="24" spans="1:32" ht="21" customHeight="1" thickBot="1" x14ac:dyDescent="0.3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49999999999999" customHeight="1" thickBot="1" x14ac:dyDescent="0.3">
      <c r="A25" s="49"/>
      <c r="B25" s="161">
        <f>'SCOUT &amp; LOGISTICS'!Y17</f>
        <v>6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>
        <f>'SCOUT &amp; LOGISTICS'!Y18</f>
        <v>0</v>
      </c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49"/>
    </row>
    <row r="26" spans="1:32" ht="21" customHeight="1" thickBot="1" x14ac:dyDescent="0.3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67" t="s">
        <v>161</v>
      </c>
      <c r="AB26" s="162"/>
      <c r="AC26" s="162"/>
      <c r="AD26" s="162"/>
      <c r="AE26" s="162"/>
      <c r="AF26" s="49"/>
    </row>
    <row r="27" spans="1:32" ht="20.149999999999999" customHeight="1" thickBot="1" x14ac:dyDescent="0.3">
      <c r="A27" s="49"/>
      <c r="B27" s="161">
        <f>'SCOUT &amp; LOGISTICS'!AC18</f>
        <v>3</v>
      </c>
      <c r="C27" s="161"/>
      <c r="D27" s="161"/>
      <c r="E27" s="161"/>
      <c r="F27" s="161"/>
      <c r="G27" s="161">
        <f>'SCOUT &amp; LOGISTICS'!AC22</f>
        <v>3</v>
      </c>
      <c r="H27" s="161"/>
      <c r="I27" s="161"/>
      <c r="J27" s="161"/>
      <c r="K27" s="161"/>
      <c r="L27" s="161">
        <f>'SCOUT &amp; LOGISTICS'!AC23</f>
        <v>0</v>
      </c>
      <c r="M27" s="161"/>
      <c r="N27" s="161"/>
      <c r="O27" s="161"/>
      <c r="P27" s="161"/>
      <c r="Q27" s="161">
        <f>'SCOUT &amp; LOGISTICS'!AC21</f>
        <v>0</v>
      </c>
      <c r="R27" s="161"/>
      <c r="S27" s="161"/>
      <c r="T27" s="161"/>
      <c r="U27" s="161"/>
      <c r="V27" s="161">
        <f>'SCOUT &amp; LOGISTICS'!AC27</f>
        <v>0</v>
      </c>
      <c r="W27" s="161"/>
      <c r="X27" s="161"/>
      <c r="Y27" s="161"/>
      <c r="Z27" s="161"/>
      <c r="AA27" s="161">
        <f>'SCOUT &amp; LOGISTICS'!AC17+'SCOUT &amp; LOGISTICS'!AC20</f>
        <v>0</v>
      </c>
      <c r="AB27" s="161"/>
      <c r="AC27" s="161"/>
      <c r="AD27" s="161"/>
      <c r="AE27" s="161"/>
      <c r="AF27" s="49"/>
    </row>
    <row r="28" spans="1:32" ht="21" customHeight="1" thickBot="1" x14ac:dyDescent="0.3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67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49999999999999" customHeight="1" thickBot="1" x14ac:dyDescent="0.3">
      <c r="A29" s="49"/>
      <c r="B29" s="161">
        <f>'SCOUT &amp; LOGISTICS'!AC25</f>
        <v>0</v>
      </c>
      <c r="C29" s="161"/>
      <c r="D29" s="161"/>
      <c r="E29" s="161"/>
      <c r="F29" s="161"/>
      <c r="G29" s="161">
        <f>'SCOUT &amp; LOGISTICS'!AC24</f>
        <v>0</v>
      </c>
      <c r="H29" s="161"/>
      <c r="I29" s="161"/>
      <c r="J29" s="161"/>
      <c r="K29" s="161"/>
      <c r="L29" s="161">
        <f>'SCOUT &amp; LOGISTICS'!$AC$29</f>
        <v>0</v>
      </c>
      <c r="M29" s="161"/>
      <c r="N29" s="161"/>
      <c r="O29" s="161"/>
      <c r="P29" s="161"/>
      <c r="Q29" s="161">
        <f>'SCOUT &amp; LOGISTICS'!AC28</f>
        <v>0</v>
      </c>
      <c r="R29" s="161"/>
      <c r="S29" s="161"/>
      <c r="T29" s="161"/>
      <c r="U29" s="161"/>
      <c r="V29" s="161">
        <f>'SCOUT &amp; LOGISTICS'!AC19</f>
        <v>0</v>
      </c>
      <c r="W29" s="161"/>
      <c r="X29" s="161"/>
      <c r="Y29" s="161"/>
      <c r="Z29" s="161"/>
      <c r="AA29" s="161">
        <f>'SCOUT &amp; LOGISTICS'!AC26</f>
        <v>0</v>
      </c>
      <c r="AB29" s="161"/>
      <c r="AC29" s="161"/>
      <c r="AD29" s="161"/>
      <c r="AE29" s="161"/>
      <c r="AF29" s="49"/>
    </row>
    <row r="30" spans="1:32" s="49" customFormat="1" ht="13" thickBot="1" x14ac:dyDescent="0.3">
      <c r="B30" s="16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</row>
    <row r="31" spans="1:32" s="53" customFormat="1" ht="20.149999999999999" customHeight="1" thickBot="1" x14ac:dyDescent="0.3">
      <c r="A31" s="52"/>
      <c r="B31" s="158" t="s">
        <v>80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52"/>
    </row>
    <row r="32" spans="1:32" ht="87.65" customHeight="1" thickBot="1" x14ac:dyDescent="0.3">
      <c r="A32" s="49"/>
      <c r="B32" s="159" t="str">
        <f>IF('SCOUT &amp; LOGISTICS'!M4="","",'SCOUT &amp; LOGISTICS'!M4)</f>
        <v>Very good job, improving your performance during the game. Keep it up!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49"/>
    </row>
    <row r="33" spans="1:32" ht="20.149999999999999" customHeight="1" thickBot="1" x14ac:dyDescent="0.3">
      <c r="A33" s="49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49"/>
    </row>
    <row r="34" spans="1:32" ht="20.149999999999999" customHeight="1" thickBot="1" x14ac:dyDescent="0.3">
      <c r="A34" s="49"/>
      <c r="B34" s="158" t="s">
        <v>81</v>
      </c>
      <c r="C34" s="158"/>
      <c r="D34" s="158"/>
      <c r="E34" s="158"/>
      <c r="F34" s="158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3">
      <c r="A35" s="49"/>
      <c r="B35" s="160">
        <f>'SCOUT &amp; LOGISTICS'!M7</f>
        <v>5.4345794392523361</v>
      </c>
      <c r="C35" s="160"/>
      <c r="D35" s="160"/>
      <c r="E35" s="160"/>
      <c r="F35" s="160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5" customHeight="1" x14ac:dyDescent="0.25">
      <c r="A36" s="49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7DB68A3-16E4-4918-8206-343CD4F86A3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40668D1-A05A-4293-8A80-534F73BCB8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FF56F34-1C98-42AA-BA73-1DC28970AF0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2025-10-03T16:13:38Z</cp:lastPrinted>
  <dcterms:created xsi:type="dcterms:W3CDTF">2023-09-19T19:50:35Z</dcterms:created>
  <dcterms:modified xsi:type="dcterms:W3CDTF">2025-10-03T16:13:38Z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