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Excel Reports fets/"/>
    </mc:Choice>
  </mc:AlternateContent>
  <xr:revisionPtr revIDLastSave="96" documentId="8_{DE6C5F92-540F-42E8-90A3-761CF3A7DEE8}" xr6:coauthVersionLast="47" xr6:coauthVersionMax="47" xr10:uidLastSave="{0548E455-9A28-44A9-8F15-59104C61D010}"/>
  <bookViews>
    <workbookView xWindow="30" yWindow="-16320" windowWidth="29040" windowHeight="1572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<sst xmlns="http://schemas.openxmlformats.org/spreadsheetml/2006/main" count="324" uniqueCount="197">
  <si>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</si>
  <si>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</si>
  <si>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</si>
  <si>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</si>
  <si>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</si>
  <si>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</si>
  <si>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</si>
  <si>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</si>
  <si>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</si>
  <si>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</si>
  <si>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</si>
  <si>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</si>
  <si>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</si>
  <si>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</si>
  <si>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</si>
  <si>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</si>
  <si>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</si>
  <si>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</si>
  <si>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</si>
  <si>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</si>
  <si>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</si>
  <si>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</si>
  <si>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</si>
  <si>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</si>
  <si>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</si>
  <si>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</si>
  <si>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</si>
  <si>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</si>
  <si>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</si>
  <si>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</si>
  <si>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</si>
  <si>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</si>
  <si>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</si>
  <si>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</si>
  <si>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</si>
  <si>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</si>
  <si>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</si>
  <si>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</si>
  <si>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</si>
  <si>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</si>
  <si>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</si>
  <si>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</si>
  <si>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</si>
  <si>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</si>
  <si>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</si>
  <si>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</si>
  <si>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</si>
  <si>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</si>
  <si>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</si>
  <si>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</si>
  <si>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</si>
  <si>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</si>
  <si>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</si>
  <si>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</si>
  <si>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</si>
  <si>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</si>
  <si>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</si>
  <si>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</si>
  <si>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</si>
  <si>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</si>
  <si>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</si>
  <si>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</si>
  <si>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</si>
  <si>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</si>
  <si>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</si>
  <si>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</si>
  <si>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</si>
  <si>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</si>
  <si>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</si>
  <si>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</si>
  <si>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</si>
  <si>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</si>
  <si>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</si>
  <si>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</si>
  <si>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</si>
  <si>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</si>
  <si>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</si>
  <si>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</si>
  <si>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</si>
  <si>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</si>
  <si>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</si>
  <si>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</si>
  <si>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</si>
  <si>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</si>
  <si>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</si>
  <si>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</si>
  <si>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</si>
  <si>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</si>
  <si>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</si>
  <si>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</si>
  <si>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</si>
  <si>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</si>
  <si>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</si>
  <si>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</si>
  <si>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</si>
  <si>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</si>
  <si>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</si>
  <si>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</si>
  <si>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</si>
  <si>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</si>
  <si>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</si>
  <si>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</si>
  <si>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</si>
  <si>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</si>
  <si>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</si>
  <si>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</si>
  <si>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</si>
  <si>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</si>
  <si>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</si>
  <si>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</si>
  <si>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</si>
  <si>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</si>
  <si>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</si>
  <si>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</si>
  <si>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</si>
  <si>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</si>
  <si>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</si>
  <si>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</si>
  <si>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</si>
  <si>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</si>
  <si>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</si>
  <si>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</si>
  <si>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</si>
  <si>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</si>
  <si>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</si>
  <si>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</si>
  <si>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</si>
  <si>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</si>
  <si>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</si>
  <si>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</si>
  <si>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</si>
  <si>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</si>
  <si>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</si>
  <si>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</si>
  <si>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</si>
  <si>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</si>
  <si>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</si>
  <si>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</si>
  <si>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</si>
  <si>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</si>
  <si>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</si>
  <si>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</si>
  <si>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</si>
  <si>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</si>
  <si>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</si>
  <si>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</si>
  <si>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</si>
  <si>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</si>
  <si>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</si>
  <si>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</si>
  <si>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</si>
  <si>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</si>
  <si>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</si>
  <si>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</si>
  <si>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</si>
  <si>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</si>
  <si>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</si>
  <si>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</si>
  <si>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</si>
  <si>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</si>
  <si>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</si>
  <si>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</si>
  <si>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</si>
  <si>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</si>
  <si>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</si>
  <si>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</si>
  <si>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</si>
  <si>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</si>
  <si>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</si>
  <si>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</si>
  <si>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</si>
  <si>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</si>
  <si>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</si>
  <si>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</si>
  <si>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</si>
  <si>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</si>
  <si>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</si>
  <si>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</si>
  <si>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C:\Temp</t>
  </si>
  <si>
    <t>U2025</t>
  </si>
  <si>
    <t>MARCO CONCINA</t>
  </si>
  <si>
    <t>LEONARDO BOSCARATO</t>
  </si>
  <si>
    <t>RICCARDO PILUTI</t>
  </si>
  <si>
    <t>MARCO DAL CIN</t>
  </si>
  <si>
    <t>ENRICO TRONCO</t>
  </si>
  <si>
    <t>4:54</t>
  </si>
  <si>
    <t>UMANA REYER VENICE</t>
  </si>
  <si>
    <t>ARIS THESSALONIKI</t>
  </si>
  <si>
    <t>Player mistaken</t>
  </si>
  <si>
    <t>4:02</t>
  </si>
  <si>
    <t>0:36</t>
  </si>
  <si>
    <t>6:07</t>
  </si>
  <si>
    <t>8:31</t>
  </si>
  <si>
    <t xml:space="preserve">Be careful with the internal shock control. You must be more attentive to foul drawns and ask the supervisor in case you are not sure. Good work with a lot of technical problems in the scoreboard. </t>
  </si>
  <si>
    <t>The second half was made with scoreboard console.</t>
  </si>
  <si>
    <t>C:\Users\oriol.garcia\OneDrive - EUROLEAGUE\Documents\Season 25-26\Reports\Generats</t>
  </si>
  <si>
    <t>PABLO CAMPOY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</si>
</sst>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38" fillId="0" borderId="0" xfId="0" applyFont="1" applyProtection="1">
      <protection locked="0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I39" sqref="I39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178</v>
      </c>
      <c r="L1" s="58"/>
      <c r="M1" s="63" t="s">
        <v>165</v>
      </c>
      <c r="N1" s="42" t="s">
        <v>195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179</v>
      </c>
      <c r="C2" s="55">
        <v>3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U2025003</v>
      </c>
      <c r="N2" s="42" t="s">
        <v>178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15" t="str">
        <f>IF(ISERROR(VLOOKUP($B$2&amp;TEXT($C$2,"000"),#REF!,4,FALSE)),"",VLOOKUP($B$2&amp;TEXT($C$2,"000"),#REF!,4,FALSE))</f>
        <v/>
      </c>
      <c r="C3" s="116"/>
      <c r="D3" s="39">
        <v>599</v>
      </c>
      <c r="E3" s="29"/>
      <c r="F3" s="26">
        <f>SUBTOTAL(3,I17:I106)</f>
        <v>7</v>
      </c>
      <c r="G3" s="27">
        <f>IF(OR(D3="",D3=0),"",F3/D3)</f>
        <v>1.1686143572621035E-2</v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22" t="s">
        <v>86</v>
      </c>
      <c r="C4" s="123"/>
      <c r="D4" s="119" t="s">
        <v>186</v>
      </c>
      <c r="E4" s="120"/>
      <c r="F4" s="120"/>
      <c r="G4" s="121"/>
      <c r="H4" s="5"/>
      <c r="I4" s="5"/>
      <c r="J4" s="5"/>
      <c r="K4" s="5"/>
      <c r="L4" s="5"/>
      <c r="M4" s="126" t="s">
        <v>193</v>
      </c>
      <c r="N4" s="127"/>
      <c r="O4" s="2"/>
      <c r="P4" s="2"/>
      <c r="Q4" s="92" t="s">
        <v>177</v>
      </c>
      <c r="R4" s="102">
        <f>(IF(G3="",0,G3))</f>
        <v>1.1686143572621035E-2</v>
      </c>
      <c r="S4" s="69">
        <f>SUM(I13:M13)</f>
        <v>7</v>
      </c>
      <c r="T4" s="86"/>
      <c r="U4" s="69">
        <f>AC18</f>
        <v>0</v>
      </c>
      <c r="V4" s="69">
        <f>+AC22</f>
        <v>4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3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24" t="s">
        <v>87</v>
      </c>
      <c r="C5" s="125"/>
      <c r="D5" s="132" t="s">
        <v>187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1.1686143572621035</v>
      </c>
      <c r="S5" s="78">
        <f t="shared" ref="S5" si="0">S4*S3</f>
        <v>7</v>
      </c>
      <c r="T5" s="100"/>
      <c r="U5" s="78">
        <f t="shared" ref="U5:AG5" si="1">U4*U3</f>
        <v>0</v>
      </c>
      <c r="V5" s="78">
        <f t="shared" si="1"/>
        <v>4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7.5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22" t="s">
        <v>95</v>
      </c>
      <c r="C6" s="123"/>
      <c r="D6" s="137" t="s">
        <v>180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52" t="s">
        <v>96</v>
      </c>
      <c r="C7" s="153"/>
      <c r="D7" s="140" t="s">
        <v>181</v>
      </c>
      <c r="E7" s="141"/>
      <c r="F7" s="141"/>
      <c r="G7" s="142"/>
      <c r="H7" s="5"/>
      <c r="I7" s="5"/>
      <c r="J7" s="5"/>
      <c r="K7" s="5"/>
      <c r="L7" s="5"/>
      <c r="M7" s="65">
        <f>Q7</f>
        <v>19.668614357262104</v>
      </c>
      <c r="N7" s="65"/>
      <c r="O7" s="2"/>
      <c r="P7" s="2"/>
      <c r="Q7" s="94">
        <f>SUM(R5,S5,AC16)</f>
        <v>19.668614357262104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24" t="s">
        <v>97</v>
      </c>
      <c r="C8" s="154"/>
      <c r="D8" s="143" t="s">
        <v>182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19.668614357262104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22" t="s">
        <v>98</v>
      </c>
      <c r="C9" s="155"/>
      <c r="D9" s="137" t="s">
        <v>183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56" t="s">
        <v>99</v>
      </c>
      <c r="C10" s="157"/>
      <c r="D10" s="146" t="s">
        <v>184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35" t="s">
        <v>108</v>
      </c>
      <c r="C11" s="136"/>
      <c r="D11" s="149"/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U2025</v>
      </c>
      <c r="G12" s="51">
        <f>IF(I12="","",$C$2)</f>
        <v>3</v>
      </c>
      <c r="H12" s="40" t="str">
        <f>$I$10</f>
        <v>LOGISTICS</v>
      </c>
      <c r="I12" s="14" t="s">
        <v>17</v>
      </c>
      <c r="J12" s="15" t="s">
        <v>15</v>
      </c>
      <c r="K12" s="15" t="s">
        <v>70</v>
      </c>
      <c r="L12" s="15" t="s">
        <v>16</v>
      </c>
      <c r="M12" s="16" t="s">
        <v>15</v>
      </c>
      <c r="N12" s="67" t="s">
        <v>194</v>
      </c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5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2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35" t="s">
        <v>163</v>
      </c>
      <c r="C14" s="136"/>
      <c r="D14" s="149" t="s">
        <v>196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 t="e">
        <f>SUM(Q17:Q106)</f>
        <v>#REF!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7</v>
      </c>
      <c r="Z16" s="98" t="s">
        <v>110</v>
      </c>
      <c r="AA16" s="83">
        <f>SUM(AA17:AA24)</f>
        <v>7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11.5</v>
      </c>
      <c r="AD16" s="83">
        <f>SUM(AD17:AD24)</f>
        <v>45</v>
      </c>
      <c r="AE16" s="84" t="s">
        <v>42</v>
      </c>
      <c r="AF16" s="83">
        <f>SUM(AF17:AF24)</f>
        <v>2</v>
      </c>
      <c r="AG16" s="83">
        <f>SUM(AG17:AG21)</f>
        <v>7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e">
        <f t="shared" ref="B17:B48" si="2">IF(C17="","",$B$2)</f>
        <v>#REF!</v>
      </c>
      <c r="C17" s="31" t="e">
        <f>IF(#REF!="","",$C$2)</f>
        <v>#REF!</v>
      </c>
      <c r="D17" s="32" t="s">
        <v>185</v>
      </c>
      <c r="E17" s="33">
        <v>1</v>
      </c>
      <c r="F17" s="36">
        <v>12</v>
      </c>
      <c r="G17" s="36">
        <v>9</v>
      </c>
      <c r="H17" s="38" t="e">
        <f>IF(#REF!="","",$I$14)</f>
        <v>#REF!</v>
      </c>
      <c r="I17" s="34">
        <v>57</v>
      </c>
      <c r="J17" s="13" t="s">
        <v>4</v>
      </c>
      <c r="K17" s="13" t="s">
        <v>62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92" t="e">
        <f>IF(AND(OR(#REF!="MISSING",#REF!="PART OF A SEQUENCE",#REF!="NOT HAPPENED"),OR(#REF!=$AE$37,#REF!=$AE$38,#REF!=$AE$43,#REF!=$AE$40,#REF!=$AE$25)),1,0)</f>
        <v>#REF!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7</v>
      </c>
      <c r="Z17" s="113" t="s">
        <v>63</v>
      </c>
      <c r="AA17" s="70">
        <f>COUNTIF($K$17:$K$106,Z17)</f>
        <v>1</v>
      </c>
      <c r="AB17" s="74" t="s">
        <v>19</v>
      </c>
      <c r="AC17" s="69">
        <f>COUNTIF($L$17:$L$106,AB17)</f>
        <v>0</v>
      </c>
      <c r="AD17" s="69">
        <f t="shared" ref="AD17:AD25" si="3">P17</f>
        <v>10</v>
      </c>
      <c r="AE17" s="74" t="s">
        <v>11</v>
      </c>
      <c r="AF17" s="73">
        <f>COUNTIF($M$17:$M$106,AE17)</f>
        <v>1</v>
      </c>
      <c r="AG17" s="70">
        <f>COUNTIF($E$17:$E$106,$AK17)</f>
        <v>4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e">
        <f t="shared" si="2"/>
        <v>#REF!</v>
      </c>
      <c r="C18" s="31" t="e">
        <f>IF(#REF!="","",$C$2)</f>
        <v>#REF!</v>
      </c>
      <c r="D18" s="32" t="s">
        <v>189</v>
      </c>
      <c r="E18" s="33">
        <v>1</v>
      </c>
      <c r="F18" s="36">
        <v>14</v>
      </c>
      <c r="G18" s="36">
        <v>9</v>
      </c>
      <c r="H18" s="38" t="e">
        <f>IF(#REF!="","",$I$14)</f>
        <v>#REF!</v>
      </c>
      <c r="I18" s="34">
        <v>65</v>
      </c>
      <c r="J18" s="13" t="s">
        <v>4</v>
      </c>
      <c r="K18" s="13" t="s">
        <v>63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92" t="e">
        <f>IF(AND(OR(#REF!="MISSING",#REF!="PART OF A SEQUENCE",#REF!="NOT HAPPENED"),OR(#REF!=$AE$37,#REF!=$AE$38,#REF!=$AE$43,#REF!=$AE$40,#REF!=$AE$25)),1,0)</f>
        <v>#REF!</v>
      </c>
      <c r="R18" s="5" t="s">
        <v>173</v>
      </c>
      <c r="U18" s="74" t="s">
        <v>21</v>
      </c>
      <c r="V18" s="73">
        <f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6</v>
      </c>
      <c r="AB18" s="74" t="s">
        <v>5</v>
      </c>
      <c r="AC18" s="69">
        <f>COUNTIF($L$17:$L$106,AB18)</f>
        <v>0</v>
      </c>
      <c r="AD18" s="69">
        <f t="shared" si="3"/>
        <v>0.5</v>
      </c>
      <c r="AE18" s="74" t="s">
        <v>12</v>
      </c>
      <c r="AF18" s="73">
        <f>COUNTIF($M$17:$M$106,AE18)</f>
        <v>1</v>
      </c>
      <c r="AG18" s="70">
        <f>COUNTIF($E$17:$E$106,$AK18)</f>
        <v>2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e">
        <f t="shared" si="2"/>
        <v>#REF!</v>
      </c>
      <c r="C19" s="31" t="e">
        <f>IF(#REF!="","",$C$2)</f>
        <v>#REF!</v>
      </c>
      <c r="D19" s="32" t="s">
        <v>189</v>
      </c>
      <c r="E19" s="33">
        <v>1</v>
      </c>
      <c r="F19" s="36">
        <v>14</v>
      </c>
      <c r="G19" s="36">
        <v>9</v>
      </c>
      <c r="H19" s="38" t="e">
        <f>IF(#REF!="","",$I$14)</f>
        <v>#REF!</v>
      </c>
      <c r="I19" s="34">
        <v>68</v>
      </c>
      <c r="J19" s="13" t="s">
        <v>4</v>
      </c>
      <c r="K19" s="13" t="s">
        <v>62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92" t="e">
        <f>IF(AND(OR(#REF!="MISSING",#REF!="PART OF A SEQUENCE",#REF!="NOT HAPPENED"),OR(#REF!=$AE$37,#REF!=$AE$38,#REF!=$AE$43,#REF!=$AE$40,#REF!=$AE$25)),1,0)</f>
        <v>#REF!</v>
      </c>
      <c r="R19" s="5" t="s">
        <v>174</v>
      </c>
      <c r="U19" s="74" t="s">
        <v>8</v>
      </c>
      <c r="V19" s="73">
        <f>COUNTIF($M$17:$M$106,$U19)</f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>COUNTIF($L$17:$L$106,AB19)</f>
        <v>0</v>
      </c>
      <c r="AD19" s="69">
        <f t="shared" si="3"/>
        <v>15</v>
      </c>
      <c r="AE19" s="74" t="s">
        <v>19</v>
      </c>
      <c r="AF19" s="73">
        <f>COUNTIF($M$17:$M$106,AE19)</f>
        <v>0</v>
      </c>
      <c r="AG19" s="70">
        <f>COUNTIF($E$17:$E$106,$AK19)</f>
        <v>0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e">
        <f t="shared" si="2"/>
        <v>#REF!</v>
      </c>
      <c r="C20" s="31" t="e">
        <f>IF(#REF!="","",$C$2)</f>
        <v>#REF!</v>
      </c>
      <c r="D20" s="32" t="s">
        <v>190</v>
      </c>
      <c r="E20" s="33">
        <v>1</v>
      </c>
      <c r="F20" s="36">
        <v>23</v>
      </c>
      <c r="G20" s="36">
        <v>20</v>
      </c>
      <c r="H20" s="38" t="e">
        <f>IF(#REF!="","",$I$14)</f>
        <v>#REF!</v>
      </c>
      <c r="I20" s="34">
        <v>132</v>
      </c>
      <c r="J20" s="13" t="s">
        <v>4</v>
      </c>
      <c r="K20" s="13" t="s">
        <v>62</v>
      </c>
      <c r="L20" s="13" t="s">
        <v>7</v>
      </c>
      <c r="M20" s="13" t="s">
        <v>28</v>
      </c>
      <c r="N20" s="35"/>
      <c r="O20" s="5" t="s">
        <v>24</v>
      </c>
      <c r="P20" s="5">
        <v>10</v>
      </c>
      <c r="Q20" s="92" t="e">
        <f>IF(AND(OR(#REF!="MISSING",#REF!="PART OF A SEQUENCE",#REF!="NOT HAPPENED"),OR(#REF!=$AE$37,#REF!=$AE$38,#REF!=$AE$43,#REF!=$AE$40,#REF!=$AE$25)),1,0)</f>
        <v>#REF!</v>
      </c>
      <c r="R20" s="5" t="s">
        <v>173</v>
      </c>
      <c r="U20" s="74" t="s">
        <v>29</v>
      </c>
      <c r="V20" s="73">
        <f>COUNTIF($M$17:$M$106,$U20)</f>
        <v>0</v>
      </c>
      <c r="X20" s="90"/>
      <c r="Y20" s="91"/>
      <c r="Z20" s="96"/>
      <c r="AA20" s="73"/>
      <c r="AB20" s="74" t="s">
        <v>24</v>
      </c>
      <c r="AC20" s="69">
        <f>COUNTIF($L$17:$L$106,AB20)</f>
        <v>0</v>
      </c>
      <c r="AD20" s="69">
        <f t="shared" si="3"/>
        <v>10</v>
      </c>
      <c r="AE20" s="74" t="s">
        <v>170</v>
      </c>
      <c r="AF20" s="73">
        <f>COUNTIF($M$17:$M$106,AE20)</f>
        <v>0</v>
      </c>
      <c r="AG20" s="70">
        <f>COUNTIF($E$17:$E$106,$AK20)</f>
        <v>1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e">
        <f t="shared" si="2"/>
        <v>#REF!</v>
      </c>
      <c r="C21" s="31" t="e">
        <f>IF(#REF!="","",$C$2)</f>
        <v>#REF!</v>
      </c>
      <c r="D21" s="32" t="s">
        <v>191</v>
      </c>
      <c r="E21" s="33">
        <v>2</v>
      </c>
      <c r="F21" s="36">
        <v>36</v>
      </c>
      <c r="G21" s="36">
        <v>31</v>
      </c>
      <c r="H21" s="38" t="e">
        <f>IF(#REF!="","",$I$14)</f>
        <v>#REF!</v>
      </c>
      <c r="I21" s="34">
        <v>197</v>
      </c>
      <c r="J21" s="13" t="s">
        <v>4</v>
      </c>
      <c r="K21" s="13" t="s">
        <v>62</v>
      </c>
      <c r="L21" s="13" t="s">
        <v>6</v>
      </c>
      <c r="M21" s="13" t="s">
        <v>10</v>
      </c>
      <c r="N21" s="35"/>
      <c r="O21" s="5" t="s">
        <v>46</v>
      </c>
      <c r="P21" s="5">
        <v>5</v>
      </c>
      <c r="Q21" s="92" t="e">
        <f>IF(AND(OR(#REF!="MISSING",#REF!="PART OF A SEQUENCE",#REF!="NOT HAPPENED"),OR(#REF!=$AE$37,#REF!=$AE$38,#REF!=$AE$43,#REF!=$AE$40,#REF!=$AE$25)),1,0)</f>
        <v>#REF!</v>
      </c>
      <c r="R21" s="5" t="s">
        <v>174</v>
      </c>
      <c r="U21" s="74" t="s">
        <v>31</v>
      </c>
      <c r="V21" s="73">
        <f>COUNTIF($M$17:$M$106,$U21)</f>
        <v>0</v>
      </c>
      <c r="X21" s="90"/>
      <c r="Y21" s="91"/>
      <c r="Z21" s="113"/>
      <c r="AA21" s="73"/>
      <c r="AB21" s="74" t="s">
        <v>46</v>
      </c>
      <c r="AC21" s="69">
        <f>COUNTIF($L$17:$L$106,AB21)</f>
        <v>0</v>
      </c>
      <c r="AD21" s="69">
        <f t="shared" si="3"/>
        <v>5</v>
      </c>
      <c r="AE21" s="74" t="s">
        <v>20</v>
      </c>
      <c r="AF21" s="73">
        <f>COUNTIF($M$17:$M$106,AE21)</f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e">
        <f t="shared" si="2"/>
        <v>#REF!</v>
      </c>
      <c r="C22" s="31" t="e">
        <f>IF(#REF!="","",$C$2)</f>
        <v>#REF!</v>
      </c>
      <c r="D22" s="32" t="s">
        <v>191</v>
      </c>
      <c r="E22" s="33">
        <v>2</v>
      </c>
      <c r="F22" s="36">
        <v>38</v>
      </c>
      <c r="G22" s="36">
        <v>31</v>
      </c>
      <c r="H22" s="38" t="e">
        <f>IF(#REF!="","",$I$14)</f>
        <v>#REF!</v>
      </c>
      <c r="I22" s="34">
        <v>199</v>
      </c>
      <c r="J22" s="13" t="s">
        <v>4</v>
      </c>
      <c r="K22" s="13" t="s">
        <v>62</v>
      </c>
      <c r="L22" s="13" t="s">
        <v>7</v>
      </c>
      <c r="M22" s="13" t="s">
        <v>11</v>
      </c>
      <c r="N22" s="35"/>
      <c r="O22" s="5" t="s">
        <v>6</v>
      </c>
      <c r="P22" s="5">
        <v>1</v>
      </c>
      <c r="Q22" s="92" t="e">
        <f>IF(AND(OR(#REF!="MISSING",#REF!="PART OF A SEQUENCE",#REF!="NOT HAPPENED"),OR(#REF!=$AE$37,#REF!=$AE$38,#REF!=$AE$43,#REF!=$AE$40,#REF!=$AE$25)),1,0)</f>
        <v>#REF!</v>
      </c>
      <c r="R22" s="5"/>
      <c r="U22" s="74" t="s">
        <v>32</v>
      </c>
      <c r="V22" s="73">
        <f>COUNTIF($M$17:$M$106,$U22)</f>
        <v>0</v>
      </c>
      <c r="X22" s="90"/>
      <c r="Y22" s="91"/>
      <c r="Z22" s="113"/>
      <c r="AA22" s="73"/>
      <c r="AB22" s="74" t="s">
        <v>6</v>
      </c>
      <c r="AC22" s="69">
        <f>COUNTIF($L$17:$L$106,AB22)</f>
        <v>4</v>
      </c>
      <c r="AD22" s="69">
        <f t="shared" si="3"/>
        <v>1</v>
      </c>
      <c r="AE22" s="74" t="s">
        <v>169</v>
      </c>
      <c r="AF22" s="73">
        <f>COUNTIF($M$17:$M$106,AE22)</f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e">
        <f t="shared" si="2"/>
        <v>#REF!</v>
      </c>
      <c r="C23" s="31" t="e">
        <f>IF(#REF!="","",$C$2)</f>
        <v>#REF!</v>
      </c>
      <c r="D23" s="32" t="s">
        <v>192</v>
      </c>
      <c r="E23" s="33">
        <v>4</v>
      </c>
      <c r="F23" s="36">
        <v>66</v>
      </c>
      <c r="G23" s="36">
        <v>72</v>
      </c>
      <c r="H23" s="38" t="e">
        <f>IF(#REF!="","",$I$14)</f>
        <v>#REF!</v>
      </c>
      <c r="I23" s="34">
        <v>471</v>
      </c>
      <c r="J23" s="13" t="s">
        <v>4</v>
      </c>
      <c r="K23" s="13" t="s">
        <v>62</v>
      </c>
      <c r="L23" s="13" t="s">
        <v>7</v>
      </c>
      <c r="M23" s="13" t="s">
        <v>12</v>
      </c>
      <c r="N23" s="35"/>
      <c r="O23" s="5" t="s">
        <v>7</v>
      </c>
      <c r="P23" s="5">
        <v>2.5</v>
      </c>
      <c r="Q23" s="92" t="e">
        <f>IF(AND(OR(#REF!="MISSING",#REF!="PART OF A SEQUENCE",#REF!="NOT HAPPENED"),OR(#REF!=$AE$37,#REF!=$AE$38,#REF!=$AE$43,#REF!=$AE$40,#REF!=$AE$25)),1,0)</f>
        <v>#REF!</v>
      </c>
      <c r="R23" s="5"/>
      <c r="U23" s="74" t="s">
        <v>33</v>
      </c>
      <c r="V23" s="73">
        <f>COUNTIF($M$17:$M$106,$U23)</f>
        <v>0</v>
      </c>
      <c r="X23" s="90"/>
      <c r="Y23" s="91"/>
      <c r="Z23" s="113"/>
      <c r="AA23" s="73"/>
      <c r="AB23" s="74" t="s">
        <v>7</v>
      </c>
      <c r="AC23" s="69">
        <f>COUNTIF($L$17:$L$106,AB23)</f>
        <v>3</v>
      </c>
      <c r="AD23" s="69">
        <f t="shared" si="3"/>
        <v>2.5</v>
      </c>
      <c r="AE23" s="74" t="s">
        <v>21</v>
      </c>
      <c r="AF23" s="73">
        <f>COUNTIF($M$17:$M$106,AE23)</f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ref="C17:C48" si="4">IF(I24="","",$C$2)</f>
        <v/>
      </c>
      <c r="D24" s="32"/>
      <c r="E24" s="33"/>
      <c r="F24" s="36"/>
      <c r="G24" s="36"/>
      <c r="H24" s="38" t="str">
        <f t="shared" ref="H18:H81" si="5">IF(I24="","",$I$14)</f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ref="Q17:Q48" si="6">IF(AND(OR(L24="MISSING",L24="PART OF A SEQUENCE",L24="NOT HAPPENED"),OR(M24=$AE$37,M24=$AE$38,M24=$AE$43,M24=$AE$40,M24=$AE$25)),1,0)</f>
        <v>0</v>
      </c>
      <c r="R24" s="5" t="s">
        <v>173</v>
      </c>
      <c r="U24" s="74" t="s">
        <v>40</v>
      </c>
      <c r="V24" s="73">
        <f>COUNTIF($M$17:$M$106,$U24)</f>
        <v>0</v>
      </c>
      <c r="X24" s="90"/>
      <c r="Y24" s="91"/>
      <c r="Z24" s="113"/>
      <c r="AA24" s="73"/>
      <c r="AB24" s="74" t="s">
        <v>47</v>
      </c>
      <c r="AC24" s="69">
        <f>COUNTIF($L$17:$L$106,AB24)</f>
        <v>0</v>
      </c>
      <c r="AD24" s="69">
        <f t="shared" si="3"/>
        <v>1</v>
      </c>
      <c r="AE24" s="74" t="s">
        <v>8</v>
      </c>
      <c r="AF24" s="73">
        <f>COUNTIF($M$17:$M$106,AE24)</f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4"/>
        <v/>
      </c>
      <c r="D25" s="32"/>
      <c r="E25" s="33"/>
      <c r="F25" s="36"/>
      <c r="G25" s="36"/>
      <c r="H25" s="38" t="str">
        <f t="shared" si="5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6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>COUNTIF($L$17:$L$106,AB25)</f>
        <v>0</v>
      </c>
      <c r="AD25" s="69">
        <f t="shared" si="3"/>
        <v>2</v>
      </c>
      <c r="AE25" s="74" t="s">
        <v>22</v>
      </c>
      <c r="AF25" s="73">
        <f>COUNTIF($M$17:$M$106,AE25)</f>
        <v>2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>U2025</v>
      </c>
      <c r="C26" s="31">
        <f>IF(I17="","",$C$2)</f>
        <v>3</v>
      </c>
      <c r="D26" s="177"/>
      <c r="E26" s="177"/>
      <c r="F26" s="177"/>
      <c r="G26" s="177"/>
      <c r="H26" s="38" t="str">
        <f>IF(I17="","",$I$14)</f>
        <v>SCOUTING</v>
      </c>
      <c r="I26" s="177"/>
      <c r="J26" s="177"/>
      <c r="K26" s="177"/>
      <c r="L26" s="177"/>
      <c r="M26" s="177"/>
      <c r="N26" s="35" t="s">
        <v>188</v>
      </c>
      <c r="O26" s="5" t="s">
        <v>77</v>
      </c>
      <c r="P26" s="5">
        <v>20</v>
      </c>
      <c r="Q26" s="92">
        <f>IF(AND(OR(L17="MISSING",L17="PART OF A SEQUENCE",L17="NOT HAPPENED"),OR(M17=$AE$37,M17=$AE$38,M17=$AE$43,M17=$AE$40,M17=$AE$25)),1,0)</f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>COUNTIF($L$17:$L$106,AB26)</f>
        <v>0</v>
      </c>
      <c r="AD26" s="69">
        <v>20</v>
      </c>
      <c r="AE26" s="74" t="s">
        <v>23</v>
      </c>
      <c r="AF26" s="73">
        <f>COUNTIF($M$17:$M$106,AE26)</f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>U2025</v>
      </c>
      <c r="C27" s="31">
        <f>IF(I18="","",$C$2)</f>
        <v>3</v>
      </c>
      <c r="D27" s="177"/>
      <c r="E27" s="177"/>
      <c r="F27" s="177"/>
      <c r="G27" s="177"/>
      <c r="H27" s="38" t="str">
        <f>IF(I18="","",$I$14)</f>
        <v>SCOUTING</v>
      </c>
      <c r="I27" s="177"/>
      <c r="J27" s="177"/>
      <c r="K27" s="177"/>
      <c r="L27" s="177"/>
      <c r="M27" s="177"/>
      <c r="N27" s="35" t="s">
        <v>188</v>
      </c>
      <c r="O27" s="5" t="s">
        <v>78</v>
      </c>
      <c r="P27" s="5">
        <v>5</v>
      </c>
      <c r="Q27" s="92">
        <f>IF(AND(OR(L18="MISSING",L18="PART OF A SEQUENCE",L18="NOT HAPPENED"),OR(M18=$AE$37,M18=$AE$38,M18=$AE$43,M18=$AE$40,M18=$AE$25)),1,0)</f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>COUNTIF($L$17:$L$106,AB27)</f>
        <v>0</v>
      </c>
      <c r="AD27" s="69">
        <f>P27</f>
        <v>5</v>
      </c>
      <c r="AE27" s="74" t="s">
        <v>24</v>
      </c>
      <c r="AF27" s="73">
        <f>COUNTIF($M$17:$M$106,AE27)</f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>U2025</v>
      </c>
      <c r="C28" s="31">
        <f>IF(I19="","",$C$2)</f>
        <v>3</v>
      </c>
      <c r="D28" s="177"/>
      <c r="E28" s="177"/>
      <c r="F28" s="177"/>
      <c r="G28" s="177"/>
      <c r="H28" s="38" t="str">
        <f>IF(I19="","",$I$14)</f>
        <v>SCOUTING</v>
      </c>
      <c r="I28" s="177"/>
      <c r="J28" s="177"/>
      <c r="K28" s="177"/>
      <c r="L28" s="177"/>
      <c r="M28" s="177"/>
      <c r="N28" s="35" t="s">
        <v>188</v>
      </c>
      <c r="O28" s="5" t="s">
        <v>36</v>
      </c>
      <c r="P28" s="5">
        <v>10</v>
      </c>
      <c r="Q28" s="92">
        <f>IF(AND(OR(L19="MISSING",L19="PART OF A SEQUENCE",L19="NOT HAPPENED"),OR(M19=$AE$37,M19=$AE$38,M19=$AE$43,M19=$AE$40,M19=$AE$25)),1,0)</f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>COUNTIF($L$17:$L$106,AB28)</f>
        <v>0</v>
      </c>
      <c r="AD28" s="69">
        <f>P28</f>
        <v>10</v>
      </c>
      <c r="AE28" s="74" t="s">
        <v>46</v>
      </c>
      <c r="AF28" s="73">
        <f>COUNTIF($M$17:$M$106,AE28)</f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>U2025</v>
      </c>
      <c r="C29" s="31">
        <f>IF(I20="","",$C$2)</f>
        <v>3</v>
      </c>
      <c r="D29" s="177"/>
      <c r="E29" s="177"/>
      <c r="F29" s="177"/>
      <c r="G29" s="177"/>
      <c r="H29" s="38" t="str">
        <f>IF(I20="","",$I$14)</f>
        <v>SCOUTING</v>
      </c>
      <c r="I29" s="177"/>
      <c r="J29" s="177"/>
      <c r="K29" s="177"/>
      <c r="L29" s="177"/>
      <c r="M29" s="177"/>
      <c r="N29" s="35"/>
      <c r="O29" s="5" t="s">
        <v>75</v>
      </c>
      <c r="P29" s="5">
        <v>1</v>
      </c>
      <c r="Q29" s="92">
        <f>IF(AND(OR(L20="MISSING",L20="PART OF A SEQUENCE",L20="NOT HAPPENED"),OR(M20=$AE$37,M20=$AE$38,M20=$AE$43,M20=$AE$40,M20=$AE$25)),1,0)</f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>COUNTIF($L$17:$L$106,AB29)</f>
        <v>0</v>
      </c>
      <c r="AD29" s="69">
        <f>P29</f>
        <v>1</v>
      </c>
      <c r="AE29" s="74" t="s">
        <v>25</v>
      </c>
      <c r="AF29" s="73">
        <f>COUNTIF($M$17:$M$106,AE29)</f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>U2025</v>
      </c>
      <c r="C30" s="31">
        <f>IF(I21="","",$C$2)</f>
        <v>3</v>
      </c>
      <c r="D30" s="177"/>
      <c r="E30" s="177"/>
      <c r="F30" s="177"/>
      <c r="G30" s="177"/>
      <c r="H30" s="38" t="str">
        <f>IF(I21="","",$I$14)</f>
        <v>SCOUTING</v>
      </c>
      <c r="I30" s="177"/>
      <c r="J30" s="177"/>
      <c r="K30" s="177"/>
      <c r="L30" s="177"/>
      <c r="M30" s="177"/>
      <c r="N30" s="35" t="s">
        <v>188</v>
      </c>
      <c r="O30" s="5"/>
      <c r="P30" s="5"/>
      <c r="Q30" s="92">
        <f>IF(AND(OR(L21="MISSING",L21="PART OF A SEQUENCE",L21="NOT HAPPENED"),OR(M21=$AE$37,M21=$AE$38,M21=$AE$43,M21=$AE$40,M21=$AE$25)),1,0)</f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>COUNTIF($M$17:$M$106,AE30)</f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>U2025</v>
      </c>
      <c r="C31" s="31">
        <f>IF(I22="","",$C$2)</f>
        <v>3</v>
      </c>
      <c r="D31" s="177"/>
      <c r="E31" s="177"/>
      <c r="F31" s="177"/>
      <c r="G31" s="177"/>
      <c r="H31" s="38" t="str">
        <f>IF(I22="","",$I$14)</f>
        <v>SCOUTING</v>
      </c>
      <c r="I31" s="177"/>
      <c r="J31" s="177"/>
      <c r="K31" s="177"/>
      <c r="L31" s="177"/>
      <c r="M31" s="177"/>
      <c r="N31" s="35"/>
      <c r="O31" s="5"/>
      <c r="P31" s="5"/>
      <c r="Q31" s="92">
        <f>IF(AND(OR(L22="MISSING",L22="PART OF A SEQUENCE",L22="NOT HAPPENED"),OR(M22=$AE$37,M22=$AE$38,M22=$AE$43,M22=$AE$40,M22=$AE$25)),1,0)</f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>COUNTIF($M$17:$M$106,AE31)</f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>U2025</v>
      </c>
      <c r="C32" s="31">
        <f>IF(I23="","",$C$2)</f>
        <v>3</v>
      </c>
      <c r="D32" s="177"/>
      <c r="E32" s="177"/>
      <c r="F32" s="177"/>
      <c r="G32" s="177"/>
      <c r="H32" s="38" t="str">
        <f>IF(I23="","",$I$14)</f>
        <v>SCOUTING</v>
      </c>
      <c r="I32" s="177"/>
      <c r="J32" s="177"/>
      <c r="K32" s="177"/>
      <c r="L32" s="177"/>
      <c r="M32" s="177"/>
      <c r="N32" s="35"/>
      <c r="O32" s="5"/>
      <c r="P32" s="5"/>
      <c r="Q32" s="92">
        <f>IF(AND(OR(L23="MISSING",L23="PART OF A SEQUENCE",L23="NOT HAPPENED"),OR(M23=$AE$37,M23=$AE$38,M23=$AE$43,M23=$AE$40,M23=$AE$25)),1,0)</f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>COUNTIF($M$17:$M$106,AE32)</f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4"/>
        <v/>
      </c>
      <c r="D33" s="32"/>
      <c r="E33" s="33"/>
      <c r="F33" s="36"/>
      <c r="G33" s="36"/>
      <c r="H33" s="38" t="str">
        <f t="shared" si="5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6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>COUNTIF($M$17:$M$106,AE33)</f>
        <v>1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4"/>
        <v/>
      </c>
      <c r="D34" s="32"/>
      <c r="E34" s="33"/>
      <c r="F34" s="36"/>
      <c r="G34" s="36"/>
      <c r="H34" s="38" t="str">
        <f t="shared" si="5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6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>COUNTIF($M$17:$M$106,AE34)</f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4"/>
        <v/>
      </c>
      <c r="D35" s="32"/>
      <c r="E35" s="33"/>
      <c r="F35" s="36"/>
      <c r="G35" s="36"/>
      <c r="H35" s="38" t="str">
        <f t="shared" si="5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6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>COUNTIF($M$17:$M$106,AE35)</f>
        <v>2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4"/>
        <v/>
      </c>
      <c r="D36" s="32"/>
      <c r="E36" s="33"/>
      <c r="F36" s="36"/>
      <c r="G36" s="36"/>
      <c r="H36" s="38" t="str">
        <f t="shared" si="5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6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>COUNTIF($M$17:$M$106,AE36)</f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4"/>
        <v/>
      </c>
      <c r="D37" s="32"/>
      <c r="E37" s="33"/>
      <c r="F37" s="36"/>
      <c r="G37" s="36"/>
      <c r="H37" s="38" t="str">
        <f t="shared" si="5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6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>COUNTIF($M$17:$M$106,AE37)</f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4"/>
        <v/>
      </c>
      <c r="D38" s="32"/>
      <c r="E38" s="33"/>
      <c r="F38" s="36"/>
      <c r="G38" s="36"/>
      <c r="H38" s="38" t="str">
        <f t="shared" si="5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6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>COUNTIF($M$17:$M$106,AE38)</f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4"/>
        <v/>
      </c>
      <c r="D39" s="32"/>
      <c r="E39" s="33"/>
      <c r="F39" s="36"/>
      <c r="G39" s="36"/>
      <c r="H39" s="38" t="str">
        <f t="shared" si="5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6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>COUNTIF($M$17:$M$106,AE39)</f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4"/>
        <v/>
      </c>
      <c r="D40" s="32"/>
      <c r="E40" s="33"/>
      <c r="F40" s="36"/>
      <c r="G40" s="36"/>
      <c r="H40" s="38" t="str">
        <f t="shared" si="5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6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>COUNTIF($M$17:$M$106,AE40)</f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4"/>
        <v/>
      </c>
      <c r="D41" s="32"/>
      <c r="E41" s="33"/>
      <c r="F41" s="36"/>
      <c r="G41" s="36"/>
      <c r="H41" s="38" t="str">
        <f t="shared" si="5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6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>COUNTIF($M$17:$M$106,AE41)</f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4"/>
        <v/>
      </c>
      <c r="D42" s="32"/>
      <c r="E42" s="33"/>
      <c r="F42" s="36"/>
      <c r="G42" s="36"/>
      <c r="H42" s="38" t="str">
        <f t="shared" si="5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6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>COUNTIF($M$17:$M$106,AE42)</f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4"/>
        <v/>
      </c>
      <c r="D43" s="32"/>
      <c r="E43" s="33"/>
      <c r="F43" s="36"/>
      <c r="G43" s="36"/>
      <c r="H43" s="38" t="str">
        <f t="shared" si="5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6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>COUNTIF($M$17:$M$106,AE43)</f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4"/>
        <v/>
      </c>
      <c r="D44" s="32"/>
      <c r="E44" s="33"/>
      <c r="F44" s="36"/>
      <c r="G44" s="36"/>
      <c r="H44" s="38" t="str">
        <f t="shared" si="5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6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>COUNTIF($M$17:$M$106,AE44)</f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4"/>
        <v/>
      </c>
      <c r="D45" s="32"/>
      <c r="E45" s="33"/>
      <c r="F45" s="36"/>
      <c r="G45" s="36"/>
      <c r="H45" s="38" t="str">
        <f t="shared" si="5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6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>COUNTIF($M$17:$M$106,AE45)</f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4"/>
        <v/>
      </c>
      <c r="D46" s="32"/>
      <c r="E46" s="33"/>
      <c r="F46" s="36"/>
      <c r="G46" s="36"/>
      <c r="H46" s="38" t="str">
        <f t="shared" si="5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6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>COUNTIF($M$17:$M$106,AE46)</f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4"/>
        <v/>
      </c>
      <c r="D47" s="32"/>
      <c r="E47" s="33"/>
      <c r="F47" s="36"/>
      <c r="G47" s="36"/>
      <c r="H47" s="38" t="str">
        <f t="shared" si="5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6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>COUNTIF($M$17:$M$106,AE47)</f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4"/>
        <v/>
      </c>
      <c r="D48" s="32"/>
      <c r="E48" s="33"/>
      <c r="F48" s="36"/>
      <c r="G48" s="36"/>
      <c r="H48" s="38" t="str">
        <f t="shared" si="5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6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>COUNTIF($M$17:$M$106,AE48)</f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7">IF(C49="","",$B$2)</f>
        <v/>
      </c>
      <c r="C49" s="31" t="str">
        <f t="shared" ref="C49:C80" si="8">IF(I49="","",$C$2)</f>
        <v/>
      </c>
      <c r="D49" s="32"/>
      <c r="E49" s="33"/>
      <c r="F49" s="36"/>
      <c r="G49" s="36"/>
      <c r="H49" s="38" t="str">
        <f t="shared" si="5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9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7"/>
        <v/>
      </c>
      <c r="C50" s="31" t="str">
        <f t="shared" si="8"/>
        <v/>
      </c>
      <c r="D50" s="32"/>
      <c r="E50" s="33"/>
      <c r="F50" s="36"/>
      <c r="G50" s="36"/>
      <c r="H50" s="38" t="str">
        <f t="shared" si="5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9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7"/>
        <v/>
      </c>
      <c r="C51" s="31" t="str">
        <f t="shared" si="8"/>
        <v/>
      </c>
      <c r="D51" s="32"/>
      <c r="E51" s="33"/>
      <c r="F51" s="36"/>
      <c r="G51" s="36"/>
      <c r="H51" s="38" t="str">
        <f t="shared" si="5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9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7"/>
        <v/>
      </c>
      <c r="C52" s="31" t="str">
        <f t="shared" si="8"/>
        <v/>
      </c>
      <c r="D52" s="32"/>
      <c r="E52" s="33"/>
      <c r="F52" s="36"/>
      <c r="G52" s="36"/>
      <c r="H52" s="38" t="str">
        <f t="shared" si="5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9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7"/>
        <v/>
      </c>
      <c r="C53" s="31" t="str">
        <f t="shared" si="8"/>
        <v/>
      </c>
      <c r="D53" s="32"/>
      <c r="E53" s="33"/>
      <c r="F53" s="36"/>
      <c r="G53" s="36"/>
      <c r="H53" s="38" t="str">
        <f t="shared" si="5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9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7"/>
        <v/>
      </c>
      <c r="C54" s="31" t="str">
        <f t="shared" si="8"/>
        <v/>
      </c>
      <c r="D54" s="32"/>
      <c r="E54" s="33"/>
      <c r="F54" s="36"/>
      <c r="G54" s="36"/>
      <c r="H54" s="38" t="str">
        <f t="shared" si="5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9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7"/>
        <v/>
      </c>
      <c r="C55" s="31" t="str">
        <f t="shared" si="8"/>
        <v/>
      </c>
      <c r="D55" s="32"/>
      <c r="E55" s="33"/>
      <c r="F55" s="36"/>
      <c r="G55" s="36"/>
      <c r="H55" s="38" t="str">
        <f t="shared" si="5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9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7"/>
        <v/>
      </c>
      <c r="C56" s="31" t="str">
        <f t="shared" si="8"/>
        <v/>
      </c>
      <c r="D56" s="32"/>
      <c r="E56" s="33"/>
      <c r="F56" s="36"/>
      <c r="G56" s="36"/>
      <c r="H56" s="38" t="str">
        <f t="shared" si="5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9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7"/>
        <v/>
      </c>
      <c r="C57" s="31" t="str">
        <f t="shared" si="8"/>
        <v/>
      </c>
      <c r="D57" s="32"/>
      <c r="E57" s="33"/>
      <c r="F57" s="36"/>
      <c r="G57" s="36"/>
      <c r="H57" s="38" t="str">
        <f t="shared" si="5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9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7"/>
        <v/>
      </c>
      <c r="C58" s="31" t="str">
        <f t="shared" si="8"/>
        <v/>
      </c>
      <c r="D58" s="32"/>
      <c r="E58" s="33"/>
      <c r="F58" s="36"/>
      <c r="G58" s="36"/>
      <c r="H58" s="38" t="str">
        <f t="shared" si="5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9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7"/>
        <v/>
      </c>
      <c r="C59" s="31" t="str">
        <f t="shared" si="8"/>
        <v/>
      </c>
      <c r="D59" s="32"/>
      <c r="E59" s="33"/>
      <c r="F59" s="36"/>
      <c r="G59" s="36"/>
      <c r="H59" s="38" t="str">
        <f t="shared" si="5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9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7"/>
        <v/>
      </c>
      <c r="C60" s="31" t="str">
        <f t="shared" si="8"/>
        <v/>
      </c>
      <c r="D60" s="32"/>
      <c r="E60" s="33"/>
      <c r="F60" s="36"/>
      <c r="G60" s="36"/>
      <c r="H60" s="38" t="str">
        <f t="shared" si="5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9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7"/>
        <v/>
      </c>
      <c r="C61" s="31" t="str">
        <f t="shared" si="8"/>
        <v/>
      </c>
      <c r="D61" s="32"/>
      <c r="E61" s="33"/>
      <c r="F61" s="36"/>
      <c r="G61" s="36"/>
      <c r="H61" s="38" t="str">
        <f t="shared" si="5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9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7"/>
        <v/>
      </c>
      <c r="C62" s="31" t="str">
        <f t="shared" si="8"/>
        <v/>
      </c>
      <c r="D62" s="32"/>
      <c r="E62" s="33"/>
      <c r="F62" s="36"/>
      <c r="G62" s="36"/>
      <c r="H62" s="38" t="str">
        <f t="shared" si="5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9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7"/>
        <v/>
      </c>
      <c r="C63" s="31" t="str">
        <f t="shared" si="8"/>
        <v/>
      </c>
      <c r="D63" s="32"/>
      <c r="E63" s="33"/>
      <c r="F63" s="36"/>
      <c r="G63" s="36"/>
      <c r="H63" s="38" t="str">
        <f t="shared" si="5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9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7"/>
        <v/>
      </c>
      <c r="C64" s="31" t="str">
        <f t="shared" si="8"/>
        <v/>
      </c>
      <c r="D64" s="32"/>
      <c r="E64" s="33"/>
      <c r="F64" s="36"/>
      <c r="G64" s="36"/>
      <c r="H64" s="38" t="str">
        <f t="shared" si="5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9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7"/>
        <v/>
      </c>
      <c r="C65" s="31" t="str">
        <f t="shared" si="8"/>
        <v/>
      </c>
      <c r="D65" s="32"/>
      <c r="E65" s="33"/>
      <c r="F65" s="36"/>
      <c r="G65" s="36"/>
      <c r="H65" s="38" t="str">
        <f t="shared" si="5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9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7"/>
        <v/>
      </c>
      <c r="C66" s="31" t="str">
        <f t="shared" si="8"/>
        <v/>
      </c>
      <c r="D66" s="32"/>
      <c r="E66" s="33"/>
      <c r="F66" s="36"/>
      <c r="G66" s="36"/>
      <c r="H66" s="38" t="str">
        <f t="shared" si="5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9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7"/>
        <v/>
      </c>
      <c r="C67" s="31" t="str">
        <f t="shared" si="8"/>
        <v/>
      </c>
      <c r="D67" s="32"/>
      <c r="E67" s="33"/>
      <c r="F67" s="36"/>
      <c r="G67" s="36"/>
      <c r="H67" s="38" t="str">
        <f t="shared" si="5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9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7"/>
        <v/>
      </c>
      <c r="C68" s="31" t="str">
        <f t="shared" si="8"/>
        <v/>
      </c>
      <c r="D68" s="32"/>
      <c r="E68" s="33"/>
      <c r="F68" s="36"/>
      <c r="G68" s="36"/>
      <c r="H68" s="38" t="str">
        <f t="shared" si="5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9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7"/>
        <v/>
      </c>
      <c r="C69" s="31" t="str">
        <f t="shared" si="8"/>
        <v/>
      </c>
      <c r="D69" s="32"/>
      <c r="E69" s="33"/>
      <c r="F69" s="36"/>
      <c r="G69" s="36"/>
      <c r="H69" s="38" t="str">
        <f t="shared" si="5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9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7"/>
        <v/>
      </c>
      <c r="C70" s="31" t="str">
        <f t="shared" si="8"/>
        <v/>
      </c>
      <c r="D70" s="32"/>
      <c r="E70" s="33"/>
      <c r="F70" s="36"/>
      <c r="G70" s="36"/>
      <c r="H70" s="38" t="str">
        <f t="shared" si="5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9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7"/>
        <v/>
      </c>
      <c r="C71" s="31" t="str">
        <f t="shared" si="8"/>
        <v/>
      </c>
      <c r="D71" s="32"/>
      <c r="E71" s="33"/>
      <c r="F71" s="36"/>
      <c r="G71" s="36"/>
      <c r="H71" s="38" t="str">
        <f t="shared" si="5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9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7"/>
        <v/>
      </c>
      <c r="C72" s="31" t="str">
        <f t="shared" si="8"/>
        <v/>
      </c>
      <c r="D72" s="32"/>
      <c r="E72" s="33"/>
      <c r="F72" s="36"/>
      <c r="G72" s="36"/>
      <c r="H72" s="38" t="str">
        <f t="shared" si="5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9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7"/>
        <v/>
      </c>
      <c r="C73" s="31" t="str">
        <f t="shared" si="8"/>
        <v/>
      </c>
      <c r="D73" s="32"/>
      <c r="E73" s="33"/>
      <c r="F73" s="36"/>
      <c r="G73" s="36"/>
      <c r="H73" s="38" t="str">
        <f t="shared" si="5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9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7"/>
        <v/>
      </c>
      <c r="C74" s="31" t="str">
        <f t="shared" si="8"/>
        <v/>
      </c>
      <c r="D74" s="32"/>
      <c r="E74" s="33"/>
      <c r="F74" s="36"/>
      <c r="G74" s="36"/>
      <c r="H74" s="38" t="str">
        <f t="shared" si="5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9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7"/>
        <v/>
      </c>
      <c r="C75" s="31" t="str">
        <f t="shared" si="8"/>
        <v/>
      </c>
      <c r="D75" s="32"/>
      <c r="E75" s="33"/>
      <c r="F75" s="36"/>
      <c r="G75" s="36"/>
      <c r="H75" s="38" t="str">
        <f t="shared" si="5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9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7"/>
        <v/>
      </c>
      <c r="C76" s="31" t="str">
        <f t="shared" si="8"/>
        <v/>
      </c>
      <c r="D76" s="32"/>
      <c r="E76" s="33"/>
      <c r="F76" s="36"/>
      <c r="G76" s="36"/>
      <c r="H76" s="38" t="str">
        <f t="shared" si="5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9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7"/>
        <v/>
      </c>
      <c r="C77" s="31" t="str">
        <f t="shared" si="8"/>
        <v/>
      </c>
      <c r="D77" s="32"/>
      <c r="E77" s="33"/>
      <c r="F77" s="36"/>
      <c r="G77" s="36"/>
      <c r="H77" s="38" t="str">
        <f t="shared" si="5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9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7"/>
        <v/>
      </c>
      <c r="C78" s="31" t="str">
        <f t="shared" si="8"/>
        <v/>
      </c>
      <c r="D78" s="32"/>
      <c r="E78" s="33"/>
      <c r="F78" s="36"/>
      <c r="G78" s="36"/>
      <c r="H78" s="38" t="str">
        <f t="shared" si="5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9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7"/>
        <v/>
      </c>
      <c r="C79" s="31" t="str">
        <f t="shared" si="8"/>
        <v/>
      </c>
      <c r="D79" s="32"/>
      <c r="E79" s="33"/>
      <c r="F79" s="36"/>
      <c r="G79" s="36"/>
      <c r="H79" s="38" t="str">
        <f t="shared" si="5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9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7"/>
        <v/>
      </c>
      <c r="C80" s="31" t="str">
        <f t="shared" si="8"/>
        <v/>
      </c>
      <c r="D80" s="32"/>
      <c r="E80" s="33"/>
      <c r="F80" s="36"/>
      <c r="G80" s="36"/>
      <c r="H80" s="38" t="str">
        <f t="shared" si="5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9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0">IF(C81="","",$B$2)</f>
        <v/>
      </c>
      <c r="C81" s="31" t="str">
        <f t="shared" ref="C81:C106" si="11">IF(I81="","",$C$2)</f>
        <v/>
      </c>
      <c r="D81" s="32"/>
      <c r="E81" s="33"/>
      <c r="F81" s="36"/>
      <c r="G81" s="36"/>
      <c r="H81" s="38" t="str">
        <f t="shared" si="5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2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0"/>
        <v/>
      </c>
      <c r="C82" s="31" t="str">
        <f t="shared" si="11"/>
        <v/>
      </c>
      <c r="D82" s="32"/>
      <c r="E82" s="33"/>
      <c r="F82" s="36"/>
      <c r="G82" s="36"/>
      <c r="H82" s="38" t="str">
        <f t="shared" ref="H82:H106" si="13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2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0"/>
        <v/>
      </c>
      <c r="C83" s="31" t="str">
        <f t="shared" si="11"/>
        <v/>
      </c>
      <c r="D83" s="32"/>
      <c r="E83" s="33"/>
      <c r="F83" s="36"/>
      <c r="G83" s="36"/>
      <c r="H83" s="38" t="str">
        <f t="shared" si="13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2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0"/>
        <v/>
      </c>
      <c r="C84" s="31" t="str">
        <f t="shared" si="11"/>
        <v/>
      </c>
      <c r="D84" s="32"/>
      <c r="E84" s="33"/>
      <c r="F84" s="36"/>
      <c r="G84" s="36"/>
      <c r="H84" s="38" t="str">
        <f t="shared" si="13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2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0"/>
        <v/>
      </c>
      <c r="C85" s="31" t="str">
        <f t="shared" si="11"/>
        <v/>
      </c>
      <c r="D85" s="32"/>
      <c r="E85" s="33"/>
      <c r="F85" s="36"/>
      <c r="G85" s="36"/>
      <c r="H85" s="38" t="str">
        <f t="shared" si="13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2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0"/>
        <v/>
      </c>
      <c r="C86" s="31" t="str">
        <f t="shared" si="11"/>
        <v/>
      </c>
      <c r="D86" s="32"/>
      <c r="E86" s="33"/>
      <c r="F86" s="36"/>
      <c r="G86" s="36"/>
      <c r="H86" s="38" t="str">
        <f t="shared" si="13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2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0"/>
        <v/>
      </c>
      <c r="C87" s="31" t="str">
        <f t="shared" si="11"/>
        <v/>
      </c>
      <c r="D87" s="32"/>
      <c r="E87" s="33"/>
      <c r="F87" s="36"/>
      <c r="G87" s="36"/>
      <c r="H87" s="38" t="str">
        <f t="shared" si="13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2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0"/>
        <v/>
      </c>
      <c r="C88" s="31" t="str">
        <f t="shared" si="11"/>
        <v/>
      </c>
      <c r="D88" s="32"/>
      <c r="E88" s="33"/>
      <c r="F88" s="36"/>
      <c r="G88" s="36"/>
      <c r="H88" s="38" t="str">
        <f t="shared" si="13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2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0"/>
        <v/>
      </c>
      <c r="C89" s="31" t="str">
        <f t="shared" si="11"/>
        <v/>
      </c>
      <c r="D89" s="32"/>
      <c r="E89" s="33"/>
      <c r="F89" s="36"/>
      <c r="G89" s="36"/>
      <c r="H89" s="38" t="str">
        <f t="shared" si="13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2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0"/>
        <v/>
      </c>
      <c r="C90" s="31" t="str">
        <f t="shared" si="11"/>
        <v/>
      </c>
      <c r="D90" s="32"/>
      <c r="E90" s="33"/>
      <c r="F90" s="36"/>
      <c r="G90" s="36"/>
      <c r="H90" s="38" t="str">
        <f t="shared" si="13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2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0"/>
        <v/>
      </c>
      <c r="C91" s="31" t="str">
        <f t="shared" si="11"/>
        <v/>
      </c>
      <c r="D91" s="32"/>
      <c r="E91" s="33"/>
      <c r="F91" s="36"/>
      <c r="G91" s="36"/>
      <c r="H91" s="38" t="str">
        <f t="shared" si="13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2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0"/>
        <v/>
      </c>
      <c r="C92" s="31" t="str">
        <f t="shared" si="11"/>
        <v/>
      </c>
      <c r="D92" s="32"/>
      <c r="E92" s="33"/>
      <c r="F92" s="36"/>
      <c r="G92" s="36"/>
      <c r="H92" s="38" t="str">
        <f t="shared" si="13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2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0"/>
        <v/>
      </c>
      <c r="C93" s="31" t="str">
        <f t="shared" si="11"/>
        <v/>
      </c>
      <c r="D93" s="32"/>
      <c r="E93" s="33"/>
      <c r="F93" s="36"/>
      <c r="G93" s="36"/>
      <c r="H93" s="38" t="str">
        <f t="shared" si="13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2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0"/>
        <v/>
      </c>
      <c r="C94" s="31" t="str">
        <f t="shared" si="11"/>
        <v/>
      </c>
      <c r="D94" s="32"/>
      <c r="E94" s="33"/>
      <c r="F94" s="36"/>
      <c r="G94" s="36"/>
      <c r="H94" s="38" t="str">
        <f t="shared" si="13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2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0"/>
        <v/>
      </c>
      <c r="C95" s="31" t="str">
        <f t="shared" si="11"/>
        <v/>
      </c>
      <c r="D95" s="32"/>
      <c r="E95" s="33"/>
      <c r="F95" s="36"/>
      <c r="G95" s="36"/>
      <c r="H95" s="38" t="str">
        <f t="shared" si="13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2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0"/>
        <v/>
      </c>
      <c r="C96" s="31" t="str">
        <f t="shared" si="11"/>
        <v/>
      </c>
      <c r="D96" s="32"/>
      <c r="E96" s="33"/>
      <c r="F96" s="36"/>
      <c r="G96" s="36"/>
      <c r="H96" s="38" t="str">
        <f t="shared" si="13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2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0"/>
        <v/>
      </c>
      <c r="C97" s="31" t="str">
        <f t="shared" si="11"/>
        <v/>
      </c>
      <c r="D97" s="32"/>
      <c r="E97" s="33"/>
      <c r="F97" s="36"/>
      <c r="G97" s="36"/>
      <c r="H97" s="38" t="str">
        <f t="shared" si="13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2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0"/>
        <v/>
      </c>
      <c r="C98" s="31" t="str">
        <f t="shared" si="11"/>
        <v/>
      </c>
      <c r="D98" s="32"/>
      <c r="E98" s="33"/>
      <c r="F98" s="36"/>
      <c r="G98" s="36"/>
      <c r="H98" s="38" t="str">
        <f t="shared" si="13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2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0"/>
        <v/>
      </c>
      <c r="C99" s="31" t="str">
        <f t="shared" si="11"/>
        <v/>
      </c>
      <c r="D99" s="32"/>
      <c r="E99" s="33"/>
      <c r="F99" s="36"/>
      <c r="G99" s="36"/>
      <c r="H99" s="38" t="str">
        <f t="shared" si="13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2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0"/>
        <v/>
      </c>
      <c r="C100" s="31" t="str">
        <f t="shared" si="11"/>
        <v/>
      </c>
      <c r="D100" s="32"/>
      <c r="E100" s="33"/>
      <c r="F100" s="36"/>
      <c r="G100" s="36"/>
      <c r="H100" s="38" t="str">
        <f t="shared" si="13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2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0"/>
        <v/>
      </c>
      <c r="C101" s="31" t="str">
        <f t="shared" si="11"/>
        <v/>
      </c>
      <c r="D101" s="32"/>
      <c r="E101" s="33"/>
      <c r="F101" s="36"/>
      <c r="G101" s="36"/>
      <c r="H101" s="38" t="str">
        <f t="shared" si="13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2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0"/>
        <v/>
      </c>
      <c r="C102" s="31" t="str">
        <f t="shared" si="11"/>
        <v/>
      </c>
      <c r="D102" s="32"/>
      <c r="E102" s="33"/>
      <c r="F102" s="36"/>
      <c r="G102" s="36"/>
      <c r="H102" s="38" t="str">
        <f t="shared" si="13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2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0"/>
        <v/>
      </c>
      <c r="C103" s="31" t="str">
        <f t="shared" si="11"/>
        <v/>
      </c>
      <c r="D103" s="32"/>
      <c r="E103" s="33"/>
      <c r="F103" s="36"/>
      <c r="G103" s="36"/>
      <c r="H103" s="38" t="str">
        <f t="shared" si="13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2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0"/>
        <v/>
      </c>
      <c r="C104" s="31" t="str">
        <f t="shared" si="11"/>
        <v/>
      </c>
      <c r="D104" s="32"/>
      <c r="E104" s="33"/>
      <c r="F104" s="36"/>
      <c r="G104" s="36"/>
      <c r="H104" s="38" t="str">
        <f t="shared" si="13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2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0"/>
        <v/>
      </c>
      <c r="C105" s="31" t="str">
        <f t="shared" si="11"/>
        <v/>
      </c>
      <c r="D105" s="32"/>
      <c r="E105" s="33"/>
      <c r="F105" s="36"/>
      <c r="G105" s="36"/>
      <c r="H105" s="38" t="str">
        <f t="shared" si="13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2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0"/>
        <v/>
      </c>
      <c r="C106" s="31" t="str">
        <f t="shared" si="11"/>
        <v/>
      </c>
      <c r="D106" s="32"/>
      <c r="E106" s="33"/>
      <c r="F106" s="36"/>
      <c r="G106" s="36"/>
      <c r="H106" s="38" t="str">
        <f t="shared" si="13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2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E33:E106 E17:E25" xr:uid="{188C7F93-0849-4F67-B34B-30A551E8AF8C}">
      <formula1>$AN$17:$AN$21</formula1>
    </dataValidation>
    <dataValidation type="list" errorStyle="information" allowBlank="1" showInputMessage="1" showErrorMessage="1" errorTitle="CLOSED LIST" error="Choose existent" sqref="J33:J106 J17:J25" xr:uid="{6E6E87EB-6B2E-4115-AC72-27BF42D43D52}">
      <formula1>X$17:X$18</formula1>
    </dataValidation>
    <dataValidation type="list" allowBlank="1" showInputMessage="1" showErrorMessage="1" sqref="K33:K106 K17:K25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33:M106 M17:M25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33:L106 L17:L25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REPORT_U2025003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"U2025003"</v>
      </c>
      <c r="F3" s="46" t="str">
        <f t="shared" ref="F3:F16" si="0">""""&amp;B3&amp;"""" &amp; " : " &amp;C3&amp;","</f>
        <v>"name" : "U2025003",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"U003"</v>
      </c>
      <c r="F4" s="46" t="str">
        <f t="shared" si="0"/>
        <v>"cod" : "U003",</v>
      </c>
    </row>
    <row r="5" spans="2:6" x14ac:dyDescent="0.25">
      <c r="B5" s="44" t="s">
        <v>117</v>
      </c>
      <c r="C5" s="44" t="str">
        <f>""""&amp;LEFT('SCOUT &amp; LOGISTICS'!B2,1)&amp;""""</f>
        <v>"U"</v>
      </c>
      <c r="F5" s="46" t="str">
        <f t="shared" si="0"/>
        <v>"competition" : "U",</v>
      </c>
    </row>
    <row r="6" spans="2:6" x14ac:dyDescent="0.25">
      <c r="B6" s="44" t="s">
        <v>118</v>
      </c>
      <c r="C6" s="44" t="str">
        <f>TEXT('SCOUT &amp; LOGISTICS'!C2,"000")</f>
        <v>003</v>
      </c>
      <c r="F6" s="46" t="str">
        <f t="shared" si="0"/>
        <v>"number" : 003,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"UMANA REYER VENICE"</v>
      </c>
      <c r="F8" s="46" t="str">
        <f t="shared" si="0"/>
        <v>"home_team" : "UMANA REYER VENICE",</v>
      </c>
    </row>
    <row r="9" spans="2:6" x14ac:dyDescent="0.25">
      <c r="B9" s="44" t="s">
        <v>126</v>
      </c>
      <c r="C9" s="44" t="str">
        <f>""""&amp;'SCOUT &amp; LOGISTICS'!D5&amp;""""</f>
        <v>"ARIS THESSALONIKI"</v>
      </c>
      <c r="F9" s="46" t="str">
        <f t="shared" si="0"/>
        <v>"away_team" : "ARIS THESSALONIKI",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"MARCO CONCINA"</v>
      </c>
      <c r="F10" s="46" t="str">
        <f t="shared" si="0"/>
        <v>"Data_entry" : "MARCO CONCINA",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"LEONARDO BOSCARATO"</v>
      </c>
      <c r="F11" s="46" t="str">
        <f t="shared" si="0"/>
        <v>"Caller_1" : "LEONARDO BOSCARATO",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"RICCARDO PILUTI"</v>
      </c>
      <c r="F12" s="46" t="str">
        <f t="shared" si="0"/>
        <v>"Caller_2" : "RICCARDO PILUTI",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"MARCO DAL CIN"</v>
      </c>
      <c r="F13" s="46" t="str">
        <f t="shared" si="0"/>
        <v>"Timerkeeper" : "MARCO DAL CIN",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"ENRICO TRONCO"</v>
      </c>
      <c r="F14" s="46" t="str">
        <f t="shared" si="0"/>
        <v>"Shotclock" : "ENRICO TRONCO",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"PABLO CAMPOY"</v>
      </c>
      <c r="F16" s="46" t="str">
        <f t="shared" si="0"/>
        <v>"Live_Game_Manager" : "PABLO CAMPOY",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"NO"</v>
      </c>
      <c r="F19" s="46" t="str">
        <f>""""&amp;C19&amp;"""" &amp; " : " &amp;D19&amp;","</f>
        <v>"check_list_on_time" : "NO",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"SLOW"</v>
      </c>
      <c r="F21" s="46" t="str">
        <f>""""&amp;C21&amp;"""" &amp; " : " &amp;D21&amp;","</f>
        <v>"corrections" : "SLOW",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599</v>
      </c>
      <c r="F25" s="46" t="str">
        <f t="shared" ref="F25:F48" si="1">""""&amp;C25&amp;"""" &amp; " : " &amp;D25&amp;","</f>
        <v>"total_actions" : 599,</v>
      </c>
    </row>
    <row r="26" spans="2:6" x14ac:dyDescent="0.25">
      <c r="C26" s="44" t="s">
        <v>132</v>
      </c>
      <c r="D26" s="44">
        <f>'SCOUT &amp; LOGISTICS'!F3</f>
        <v>7</v>
      </c>
      <c r="F26" s="46" t="str">
        <f t="shared" si="1"/>
        <v>"total_correcions" : 7,</v>
      </c>
    </row>
    <row r="27" spans="2:6" x14ac:dyDescent="0.25">
      <c r="C27" s="44" t="s">
        <v>133</v>
      </c>
      <c r="D27" s="44" t="str">
        <f>""""&amp;IF(OR(D25="",D25=0),"",TEXT(D26/D25,"0,0%"))&amp;""""</f>
        <v>"1,2%"</v>
      </c>
      <c r="F27" s="46" t="str">
        <f t="shared" si="1"/>
        <v>"%_corrections" : "1,2%",</v>
      </c>
    </row>
    <row r="28" spans="2:6" x14ac:dyDescent="0.25">
      <c r="C28" s="44" t="s">
        <v>125</v>
      </c>
      <c r="D28" s="44">
        <f>IF('SCOUT &amp; LOGISTICS'!AA17="","",'SCOUT &amp; LOGISTICS'!AA17)</f>
        <v>1</v>
      </c>
      <c r="F28" s="46" t="str">
        <f t="shared" si="1"/>
        <v>"home_team" : 1,</v>
      </c>
    </row>
    <row r="29" spans="2:6" x14ac:dyDescent="0.25">
      <c r="C29" s="44" t="s">
        <v>134</v>
      </c>
      <c r="D29" s="44">
        <f>IF('SCOUT &amp; LOGISTICS'!AA18="","",'SCOUT &amp; LOGISTICS'!AA18)</f>
        <v>6</v>
      </c>
      <c r="F29" s="46" t="str">
        <f t="shared" si="1"/>
        <v>"no_team" : 6,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4</v>
      </c>
      <c r="F31" s="46" t="str">
        <f t="shared" si="1"/>
        <v>"q1" : 4,</v>
      </c>
    </row>
    <row r="32" spans="2:6" x14ac:dyDescent="0.25">
      <c r="C32" s="44" t="s">
        <v>136</v>
      </c>
      <c r="D32" s="44">
        <f>'SCOUT &amp; LOGISTICS'!AG18</f>
        <v>2</v>
      </c>
      <c r="F32" s="46" t="str">
        <f t="shared" si="1"/>
        <v>"q2" : 2,</v>
      </c>
    </row>
    <row r="33" spans="3:6" x14ac:dyDescent="0.25">
      <c r="C33" s="44" t="s">
        <v>137</v>
      </c>
      <c r="D33" s="44">
        <f>'SCOUT &amp; LOGISTICS'!AG19</f>
        <v>0</v>
      </c>
      <c r="F33" s="46" t="str">
        <f t="shared" si="1"/>
        <v>"q3" : 0,</v>
      </c>
    </row>
    <row r="34" spans="3:6" x14ac:dyDescent="0.25">
      <c r="C34" s="44" t="s">
        <v>138</v>
      </c>
      <c r="D34" s="44">
        <f>'SCOUT &amp; LOGISTICS'!AG20</f>
        <v>1</v>
      </c>
      <c r="F34" s="46" t="str">
        <f t="shared" si="1"/>
        <v>"q4" : 1,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7</v>
      </c>
      <c r="F37" s="46" t="str">
        <f t="shared" si="1"/>
        <v>"scoresheet_corrections" : 7,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0</v>
      </c>
      <c r="F39" s="46" t="str">
        <f t="shared" si="1"/>
        <v>"missidentity" : 0,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3</v>
      </c>
      <c r="F46" s="46" t="str">
        <f t="shared" si="1"/>
        <v>"part_of_a_sequence" : 3,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5">
      <c r="C49" s="44" t="s">
        <v>151</v>
      </c>
      <c r="D49" s="44" t="e">
        <f>'SCOUT &amp; LOGISTICS'!R16</f>
        <v>#REF!</v>
      </c>
      <c r="F49" s="46" t="e">
        <f>""""&amp;C49&amp;"""" &amp; " : " &amp;D49</f>
        <v>#REF!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"Be careful with the internal shock control. You must be more attentive to foul drawns and ask the supervisor in case you are not sure. Good work with a lot of technical problems in the scoreboard. "</v>
      </c>
      <c r="F51" s="46" t="str">
        <f>""""&amp;B51&amp;"""" &amp; " : " &amp;C51&amp;","</f>
        <v>"comments" : "Be careful with the internal shock control. You must be more attentive to foul drawns and ask the supervisor in case you are not sure. Good work with a lot of technical problems in the scoreboard. ",</v>
      </c>
    </row>
    <row r="52" spans="2:6" x14ac:dyDescent="0.25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45"/>
    <row r="2" spans="1:33" ht="42.65" customHeight="1" thickBot="1" x14ac:dyDescent="0.5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5">
      <c r="A3" s="49"/>
      <c r="B3" s="172" t="str">
        <f>"GAME: "&amp; LEFT('SCOUT &amp; LOGISTICS'!B2,1) &amp; TEXT('SCOUT &amp; LOGISTICS'!C2,"000") &amp; " " &amp; IF(LEFT('SCOUT &amp; LOGISTICS'!B2,1)="U","(EUROCUP)","(EUROLEAGUE)")</f>
        <v>GAME: U003 (EUROCUP)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5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49999999999999" customHeight="1" thickBot="1" x14ac:dyDescent="0.5">
      <c r="A5" s="49"/>
      <c r="B5" s="173" t="str">
        <f>'SCOUT &amp; LOGISTICS'!D4</f>
        <v>UMANA REYER VENICE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ARIS THESSALONIKI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5" customHeight="1" thickBot="1" x14ac:dyDescent="0.5">
      <c r="A6" s="49"/>
      <c r="B6" s="176" t="str">
        <f>PROPER('SCOUT &amp; LOGISTICS'!D4)</f>
        <v>Umana Reyer Venice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Aris Thessaloniki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5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5">
      <c r="A8" s="49"/>
      <c r="B8" s="170" t="str">
        <f>IF('SCOUT &amp; LOGISTICS'!D6="","",'SCOUT &amp; LOGISTICS'!D6)</f>
        <v>MARCO CONCINA</v>
      </c>
      <c r="C8" s="170"/>
      <c r="D8" s="170"/>
      <c r="E8" s="170"/>
      <c r="F8" s="170"/>
      <c r="G8" s="170" t="str">
        <f>IF('SCOUT &amp; LOGISTICS'!D7="","",'SCOUT &amp; LOGISTICS'!D7)</f>
        <v>LEONARDO BOSCARATO</v>
      </c>
      <c r="H8" s="170"/>
      <c r="I8" s="170"/>
      <c r="J8" s="170"/>
      <c r="K8" s="170"/>
      <c r="L8" s="170" t="str">
        <f>IF('SCOUT &amp; LOGISTICS'!D8="","",'SCOUT &amp; LOGISTICS'!D8)</f>
        <v>RICCARDO PILUTI</v>
      </c>
      <c r="M8" s="170"/>
      <c r="N8" s="170"/>
      <c r="O8" s="170"/>
      <c r="P8" s="170"/>
      <c r="Q8" s="170" t="str">
        <f>IF('SCOUT &amp; LOGISTICS'!D9="","",'SCOUT &amp; LOGISTICS'!D9)</f>
        <v>MARCO DAL CIN</v>
      </c>
      <c r="R8" s="170"/>
      <c r="S8" s="170"/>
      <c r="T8" s="170"/>
      <c r="U8" s="170"/>
      <c r="V8" s="170" t="str">
        <f>IF('SCOUT &amp; LOGISTICS'!D10="","",'SCOUT &amp; LOGISTICS'!D10)</f>
        <v>ENRICO TRONCO</v>
      </c>
      <c r="W8" s="170"/>
      <c r="X8" s="170"/>
      <c r="Y8" s="170"/>
      <c r="Z8" s="170"/>
      <c r="AA8" s="170" t="str">
        <f>IF('SCOUT &amp; LOGISTICS'!D11="","",'SCOUT &amp; LOGISTICS'!D11)</f>
        <v/>
      </c>
      <c r="AB8" s="170"/>
      <c r="AC8" s="170"/>
      <c r="AD8" s="170"/>
      <c r="AE8" s="170"/>
      <c r="AF8" s="49"/>
    </row>
    <row r="9" spans="1:33" ht="16" thickBot="1" x14ac:dyDescent="0.5">
      <c r="A9" s="49"/>
      <c r="B9" s="164" t="str">
        <f>IF(OR('SCOUT &amp; LOGISTICS'!D14="",'SCOUT &amp; LOGISTICS'!D14=0),"",'SCOUT &amp; LOGISTICS'!B14 &amp; ": " &amp; 'SCOUT &amp; LOGISTICS'!D14) &amp; "     "</f>
        <v xml:space="preserve">L G M: : PABLO CAMPOY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6" thickBot="1" x14ac:dyDescent="0.5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49999999999999" customHeight="1" thickBot="1" x14ac:dyDescent="0.5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5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5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NO</v>
      </c>
      <c r="I13" s="171"/>
      <c r="J13" s="171"/>
      <c r="K13" s="171"/>
      <c r="L13" s="171"/>
      <c r="M13" s="171"/>
      <c r="N13" s="171" t="str">
        <f>IF('SCOUT &amp; LOGISTICS'!K12="","",'SCOUT &amp; LOGISTICS'!K12)</f>
        <v>GOOD</v>
      </c>
      <c r="O13" s="171"/>
      <c r="P13" s="171"/>
      <c r="Q13" s="171"/>
      <c r="R13" s="171"/>
      <c r="S13" s="171"/>
      <c r="T13" s="171" t="str">
        <f>IF('SCOUT &amp; LOGISTICS'!L12="","",'SCOUT &amp; LOGISTICS'!L12)</f>
        <v>SLOW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6" thickBot="1" x14ac:dyDescent="0.5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49999999999999" customHeight="1" thickBot="1" x14ac:dyDescent="0.5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5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5">
      <c r="A17" s="49"/>
      <c r="B17" s="168">
        <f>'SCOUT &amp; LOGISTICS'!D3</f>
        <v>599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7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>
        <f>IF(OR(B17="",B17=0),"",L17/B17)</f>
        <v>1.1686143572621035E-2</v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6" thickBot="1" x14ac:dyDescent="0.5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5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5">
      <c r="A20" s="49"/>
      <c r="B20" s="161">
        <f>IF('SCOUT &amp; LOGISTICS'!AA17="","",'SCOUT &amp; LOGISTICS'!AA17)</f>
        <v>1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6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5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5">
      <c r="A22" s="49"/>
      <c r="B22" s="161">
        <f>'SCOUT &amp; LOGISTICS'!AG17</f>
        <v>4</v>
      </c>
      <c r="C22" s="161"/>
      <c r="D22" s="161"/>
      <c r="E22" s="161"/>
      <c r="F22" s="161"/>
      <c r="G22" s="161"/>
      <c r="H22" s="161">
        <f>'SCOUT &amp; LOGISTICS'!AG18</f>
        <v>2</v>
      </c>
      <c r="I22" s="161"/>
      <c r="J22" s="161"/>
      <c r="K22" s="161"/>
      <c r="L22" s="161"/>
      <c r="M22" s="161"/>
      <c r="N22" s="161">
        <f>'SCOUT &amp; LOGISTICS'!AG19</f>
        <v>0</v>
      </c>
      <c r="O22" s="161"/>
      <c r="P22" s="161"/>
      <c r="Q22" s="161"/>
      <c r="R22" s="161"/>
      <c r="S22" s="161"/>
      <c r="T22" s="161">
        <f>'SCOUT &amp; LOGISTICS'!AG20</f>
        <v>1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6" thickBot="1" x14ac:dyDescent="0.5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5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5">
      <c r="A25" s="49"/>
      <c r="B25" s="161">
        <f>'SCOUT &amp; LOGISTICS'!Y17</f>
        <v>7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5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5">
      <c r="A27" s="49"/>
      <c r="B27" s="161">
        <f>'SCOUT &amp; LOGISTICS'!AC18</f>
        <v>0</v>
      </c>
      <c r="C27" s="161"/>
      <c r="D27" s="161"/>
      <c r="E27" s="161"/>
      <c r="F27" s="161"/>
      <c r="G27" s="161">
        <f>'SCOUT &amp; LOGISTICS'!AC22</f>
        <v>4</v>
      </c>
      <c r="H27" s="161"/>
      <c r="I27" s="161"/>
      <c r="J27" s="161"/>
      <c r="K27" s="161"/>
      <c r="L27" s="161">
        <f>'SCOUT &amp; LOGISTICS'!AC23</f>
        <v>3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5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5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0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6" thickBot="1" x14ac:dyDescent="0.5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49999999999999" customHeight="1" thickBot="1" x14ac:dyDescent="0.5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5" customHeight="1" thickBot="1" x14ac:dyDescent="0.5">
      <c r="A32" s="49"/>
      <c r="B32" s="159" t="str">
        <f>IF('SCOUT &amp; LOGISTICS'!M4="","",'SCOUT &amp; LOGISTICS'!M4)</f>
        <v xml:space="preserve">Be careful with the internal shock control. You must be more attentive to foul drawns and ask the supervisor in case you are not sure. Good work with a lot of technical problems in the scoreboard. 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49999999999999" customHeight="1" thickBot="1" x14ac:dyDescent="0.5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49999999999999" customHeight="1" thickBot="1" x14ac:dyDescent="0.5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5">
      <c r="A35" s="49"/>
      <c r="B35" s="160">
        <f>'SCOUT &amp; LOGISTICS'!M7</f>
        <v>19.668614357262104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45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62A342F-3D7B-411D-AAE6-A0CF7F8FF9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BBFF89-19BD-472F-9609-8586FB4ABF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F4C949-4153-4F0E-9E5D-69F54B96012B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2025-09-30T21:04:10Z</cp:lastPrinted>
  <dcterms:created xsi:type="dcterms:W3CDTF">2023-09-19T19:50:35Z</dcterms:created>
  <dcterms:modified xsi:type="dcterms:W3CDTF">2026-04-22T15:29:16Z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