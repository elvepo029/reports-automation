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5" documentId="8_{571744F0-D1E5-49E2-B065-9C3725A06F50}" xr6:coauthVersionLast="47" xr6:coauthVersionMax="47" xr10:uidLastSave="{CD899597-A9F3-45BE-8B31-91C9D5461A52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<sst xmlns="http://schemas.openxmlformats.org/spreadsheetml/2006/main" count="300" uniqueCount="194">
  <si>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</si>
  <si>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</si>
  <si>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</si>
  <si>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</si>
  <si>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</si>
  <si>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</si>
  <si>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</si>
  <si>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</si>
  <si>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</si>
  <si>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</si>
  <si>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</si>
  <si>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</si>
  <si>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</si>
  <si>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</si>
  <si>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</si>
  <si>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</si>
  <si>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</si>
  <si>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</si>
  <si>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</si>
  <si>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</si>
  <si>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</si>
  <si>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</si>
  <si>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</si>
  <si>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</si>
  <si>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</si>
  <si>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</si>
  <si>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</si>
  <si>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</si>
  <si>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</si>
  <si>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</si>
  <si>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</si>
  <si>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</si>
  <si>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</si>
  <si>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</si>
  <si>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</si>
  <si>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</si>
  <si>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</si>
  <si>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</si>
  <si>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</si>
  <si>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</si>
  <si>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</si>
  <si>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</si>
  <si>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</si>
  <si>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</si>
  <si>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</si>
  <si>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</si>
  <si>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</si>
  <si>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</si>
  <si>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</si>
  <si>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</si>
  <si>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</si>
  <si>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</si>
  <si>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</si>
  <si>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</si>
  <si>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</si>
  <si>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</si>
  <si>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</si>
  <si>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</si>
  <si>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</si>
  <si>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</si>
  <si>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</si>
  <si>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</si>
  <si>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</si>
  <si>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</si>
  <si>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</si>
  <si>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</si>
  <si>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</si>
  <si>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</si>
  <si>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</si>
  <si>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</si>
  <si>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</si>
  <si>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</si>
  <si>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</si>
  <si>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</si>
  <si>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</si>
  <si>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</si>
  <si>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</si>
  <si>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</si>
  <si>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</si>
  <si>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</si>
  <si>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</si>
  <si>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</si>
  <si>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</si>
  <si>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</si>
  <si>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</si>
  <si>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</si>
  <si>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</si>
  <si>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</si>
  <si>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</si>
  <si>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</si>
  <si>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</si>
  <si>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</si>
  <si>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</si>
  <si>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</si>
  <si>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</si>
  <si>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</si>
  <si>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</si>
  <si>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</si>
  <si>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</si>
  <si>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</si>
  <si>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</si>
  <si>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</si>
  <si>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</si>
  <si>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</si>
  <si>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</si>
  <si>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</si>
  <si>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</si>
  <si>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</si>
  <si>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</si>
  <si>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</si>
  <si>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</si>
  <si>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</si>
  <si>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</si>
  <si>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</si>
  <si>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</si>
  <si>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</si>
  <si>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</si>
  <si>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</si>
  <si>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</si>
  <si>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</si>
  <si>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</si>
  <si>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</si>
  <si>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</si>
  <si>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</si>
  <si>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</si>
  <si>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</si>
  <si>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</si>
  <si>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</si>
  <si>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</si>
  <si>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</si>
  <si>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</si>
  <si>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</si>
  <si>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</si>
  <si>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</si>
  <si>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</si>
  <si>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</si>
  <si>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</si>
  <si>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</si>
  <si>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</si>
  <si>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</si>
  <si>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</si>
  <si>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</si>
  <si>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</si>
  <si>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</si>
  <si>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</si>
  <si>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</si>
  <si>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</si>
  <si>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</si>
  <si>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</si>
  <si>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</si>
  <si>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</si>
  <si>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</si>
  <si>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</si>
  <si>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</si>
  <si>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</si>
  <si>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</si>
  <si>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</si>
  <si>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</si>
  <si>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</si>
  <si>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</si>
  <si>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</si>
  <si>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</si>
  <si>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</si>
  <si>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</si>
  <si>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</si>
  <si>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</si>
  <si>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</si>
  <si>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</si>
  <si>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</si>
  <si>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</si>
  <si>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</si>
  <si>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</si>
  <si>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</si>
  <si>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</si>
  <si>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</si>
  <si>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</si>
  <si>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</si>
  <si>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</si>
  <si>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</si>
  <si>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</si>
  <si>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C:\Users\hector.guillen\EUROLEAGUE\EB STATS - Documents\General\SEASON 2025-26\Reports\Euroleague</t>
  </si>
  <si>
    <t>DUBAI BASKETBALL</t>
  </si>
  <si>
    <t>PARTIZAN MOZZART BET BELGRADE</t>
  </si>
  <si>
    <t>DANILO VESOVIC</t>
  </si>
  <si>
    <t>MARKO LEPOVIC</t>
  </si>
  <si>
    <t>FRANCESC SENPAU VILLANUEVA</t>
  </si>
  <si>
    <t>JOVANA DOJCINOVIC</t>
  </si>
  <si>
    <t>JELENA RASINAC</t>
  </si>
  <si>
    <t>BILJANA KOSTRES</t>
  </si>
  <si>
    <t>HECTOR GUILLEN</t>
  </si>
  <si>
    <t>Very good game, keep it up!</t>
  </si>
  <si>
    <t>5:09</t>
  </si>
  <si>
    <t>4:18</t>
  </si>
  <si>
    <t>6:12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</si>
</sst>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0" sqref="M20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180</v>
      </c>
      <c r="L1" s="58"/>
      <c r="M1" s="63" t="s">
        <v>165</v>
      </c>
      <c r="N1" s="42" t="s">
        <v>180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4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E2025004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41" t="str">
        <f>IF(ISERROR(VLOOKUP($B$2&amp;TEXT($C$2,"000"),#REF!,4,FALSE)),"",VLOOKUP($B$2&amp;TEXT($C$2,"000"),#REF!,4,FALSE))</f>
        <v/>
      </c>
      <c r="C3" s="142"/>
      <c r="D3" s="39">
        <v>526</v>
      </c>
      <c r="E3" s="29"/>
      <c r="F3" s="26">
        <f>SUBTOTAL(3,I17:I106)</f>
        <v>3</v>
      </c>
      <c r="G3" s="27">
        <f>IF(OR(D3="",D3=0),"",F3/D3)</f>
        <v>5.7034220532319393E-3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32" t="s">
        <v>86</v>
      </c>
      <c r="C4" s="133"/>
      <c r="D4" s="145" t="s">
        <v>181</v>
      </c>
      <c r="E4" s="146"/>
      <c r="F4" s="146"/>
      <c r="G4" s="147"/>
      <c r="H4" s="5"/>
      <c r="I4" s="5"/>
      <c r="J4" s="5"/>
      <c r="K4" s="5"/>
      <c r="L4" s="5"/>
      <c r="M4" s="149" t="s">
        <v>190</v>
      </c>
      <c r="N4" s="150"/>
      <c r="O4" s="2"/>
      <c r="P4" s="2"/>
      <c r="Q4" s="92" t="s">
        <v>177</v>
      </c>
      <c r="R4" s="102">
        <f>(IF(G3="",0,G3))</f>
        <v>5.7034220532319393E-3</v>
      </c>
      <c r="S4" s="69">
        <f>SUM(I13:M13)</f>
        <v>0</v>
      </c>
      <c r="T4" s="86"/>
      <c r="U4" s="69">
        <f>AC18</f>
        <v>1</v>
      </c>
      <c r="V4" s="69">
        <f>+AC22</f>
        <v>2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36" t="s">
        <v>87</v>
      </c>
      <c r="C5" s="148"/>
      <c r="D5" s="155" t="s">
        <v>182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0.57034220532319391</v>
      </c>
      <c r="S5" s="78">
        <f t="shared" ref="S5" si="0">S4*S3</f>
        <v>0</v>
      </c>
      <c r="T5" s="100"/>
      <c r="U5" s="78">
        <f t="shared" ref="U5:AG5" si="1">U4*U3</f>
        <v>0.5</v>
      </c>
      <c r="V5" s="78">
        <f t="shared" si="1"/>
        <v>2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32" t="s">
        <v>95</v>
      </c>
      <c r="C6" s="133"/>
      <c r="D6" s="117" t="s">
        <v>183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34" t="s">
        <v>96</v>
      </c>
      <c r="C7" s="135"/>
      <c r="D7" s="120" t="s">
        <v>184</v>
      </c>
      <c r="E7" s="121"/>
      <c r="F7" s="121"/>
      <c r="G7" s="122"/>
      <c r="H7" s="5"/>
      <c r="I7" s="5"/>
      <c r="J7" s="5"/>
      <c r="K7" s="5"/>
      <c r="L7" s="5"/>
      <c r="M7" s="65">
        <f>Q7</f>
        <v>3.0703422053231941</v>
      </c>
      <c r="N7" s="65"/>
      <c r="O7" s="2"/>
      <c r="P7" s="2"/>
      <c r="Q7" s="94">
        <f>SUM(R5,S5,AC16)</f>
        <v>3.0703422053231941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36" t="s">
        <v>97</v>
      </c>
      <c r="C8" s="137"/>
      <c r="D8" s="123" t="s">
        <v>185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3.0703422053231941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32" t="s">
        <v>98</v>
      </c>
      <c r="C9" s="138"/>
      <c r="D9" s="117" t="s">
        <v>186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39" t="s">
        <v>99</v>
      </c>
      <c r="C10" s="140"/>
      <c r="D10" s="126" t="s">
        <v>187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15" t="s">
        <v>108</v>
      </c>
      <c r="C11" s="116"/>
      <c r="D11" s="129" t="s">
        <v>188</v>
      </c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15" t="s">
        <v>163</v>
      </c>
      <c r="C14" s="116"/>
      <c r="D14" s="129" t="s">
        <v>189</v>
      </c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3</v>
      </c>
      <c r="Z16" s="98" t="s">
        <v>110</v>
      </c>
      <c r="AA16" s="83">
        <f>SUM(AA17:AA24)</f>
        <v>3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83">
        <f>SUM(AD17:AD24)</f>
        <v>45</v>
      </c>
      <c r="AE16" s="84" t="s">
        <v>42</v>
      </c>
      <c r="AF16" s="83">
        <f>SUM(AF17:AF24)</f>
        <v>0</v>
      </c>
      <c r="AG16" s="83">
        <f>SUM(AG17:AG21)</f>
        <v>3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</v>
      </c>
      <c r="D17" s="32" t="s">
        <v>191</v>
      </c>
      <c r="E17" s="33">
        <v>1</v>
      </c>
      <c r="F17" s="36">
        <v>18</v>
      </c>
      <c r="G17" s="36">
        <v>10</v>
      </c>
      <c r="H17" s="38" t="str">
        <f>IF(I17="","",$I$14)</f>
        <v>SCOUTING</v>
      </c>
      <c r="I17" s="34">
        <v>50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3</v>
      </c>
      <c r="Z17" s="113" t="s">
        <v>63</v>
      </c>
      <c r="AA17" s="70">
        <f>COUNTIF($K$17:$K$106,Z17)</f>
        <v>2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4</v>
      </c>
      <c r="D18" s="32" t="s">
        <v>192</v>
      </c>
      <c r="E18" s="33">
        <v>3</v>
      </c>
      <c r="F18" s="36">
        <v>61</v>
      </c>
      <c r="G18" s="36">
        <v>50</v>
      </c>
      <c r="H18" s="38" t="str">
        <f t="shared" ref="H18:H81" si="8">IF(I18="","",$I$14)</f>
        <v>SCOUTING</v>
      </c>
      <c r="I18" s="34">
        <v>348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1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E2025</v>
      </c>
      <c r="C19" s="31">
        <f t="shared" si="3"/>
        <v>4</v>
      </c>
      <c r="D19" s="32" t="s">
        <v>193</v>
      </c>
      <c r="E19" s="33">
        <v>4</v>
      </c>
      <c r="F19" s="36">
        <v>78</v>
      </c>
      <c r="G19" s="36">
        <v>58</v>
      </c>
      <c r="H19" s="38" t="str">
        <f t="shared" si="8"/>
        <v>SCOUTING</v>
      </c>
      <c r="I19" s="34">
        <v>456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1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2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2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REPORT_E2025004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"E2025004"</v>
      </c>
      <c r="F3" s="46" t="str">
        <f t="shared" ref="F3:F16" si="0">""""&amp;B3&amp;"""" &amp; " : " &amp;C3&amp;","</f>
        <v>"name" : "E2025004",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"E004"</v>
      </c>
      <c r="F4" s="46" t="str">
        <f t="shared" si="0"/>
        <v>"cod" : "E004",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004</v>
      </c>
      <c r="F6" s="46" t="str">
        <f t="shared" si="0"/>
        <v>"number" : 004,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"DUBAI BASKETBALL"</v>
      </c>
      <c r="F8" s="46" t="str">
        <f t="shared" si="0"/>
        <v>"home_team" : "DUBAI BASKETBALL",</v>
      </c>
    </row>
    <row r="9" spans="2:6" x14ac:dyDescent="0.25">
      <c r="B9" s="44" t="s">
        <v>126</v>
      </c>
      <c r="C9" s="44" t="str">
        <f>""""&amp;'SCOUT &amp; LOGISTICS'!D5&amp;""""</f>
        <v>"PARTIZAN MOZZART BET BELGRADE"</v>
      </c>
      <c r="F9" s="46" t="str">
        <f t="shared" si="0"/>
        <v>"away_team" : "PARTIZAN MOZZART BET BELGRADE",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"DANILO VESOVIC"</v>
      </c>
      <c r="F10" s="46" t="str">
        <f t="shared" si="0"/>
        <v>"Data_entry" : "DANILO VESOVIC",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"MARKO LEPOVIC"</v>
      </c>
      <c r="F11" s="46" t="str">
        <f t="shared" si="0"/>
        <v>"Caller_1" : "MARKO LEPOVIC",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"FRANCESC SENPAU VILLANUEVA"</v>
      </c>
      <c r="F12" s="46" t="str">
        <f t="shared" si="0"/>
        <v>"Caller_2" : "FRANCESC SENPAU VILLANUEVA",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"JOVANA DOJCINOVIC"</v>
      </c>
      <c r="F13" s="46" t="str">
        <f t="shared" si="0"/>
        <v>"Timerkeeper" : "JOVANA DOJCINOVIC",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"JELENA RASINAC"</v>
      </c>
      <c r="F14" s="46" t="str">
        <f t="shared" si="0"/>
        <v>"Shotclock" : "JELENA RASINAC",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"BILJANA KOSTRES"</v>
      </c>
      <c r="F15" s="46" t="str">
        <f t="shared" si="0"/>
        <v>"IRS" : "BILJANA KOSTRES",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526</v>
      </c>
      <c r="F25" s="46" t="str">
        <f t="shared" ref="F25:F48" si="1">""""&amp;C25&amp;"""" &amp; " : " &amp;D25&amp;","</f>
        <v>"total_actions" : 526,</v>
      </c>
    </row>
    <row r="26" spans="2:6" x14ac:dyDescent="0.25">
      <c r="C26" s="44" t="s">
        <v>132</v>
      </c>
      <c r="D26" s="44">
        <f>'SCOUT &amp; LOGISTICS'!F3</f>
        <v>3</v>
      </c>
      <c r="F26" s="46" t="str">
        <f t="shared" si="1"/>
        <v>"total_correcions" : 3,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5">
      <c r="C33" s="44" t="s">
        <v>137</v>
      </c>
      <c r="D33" s="44">
        <f>'SCOUT &amp; LOGISTICS'!AG19</f>
        <v>1</v>
      </c>
      <c r="F33" s="46" t="str">
        <f t="shared" si="1"/>
        <v>"q3" : 1,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3</v>
      </c>
      <c r="F37" s="46" t="str">
        <f t="shared" si="1"/>
        <v>"scoresheet_corrections" : 3,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1</v>
      </c>
      <c r="F39" s="46" t="str">
        <f t="shared" si="1"/>
        <v>"missidentity" : 1,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game, keep it up!"</v>
      </c>
      <c r="F51" s="46" t="str">
        <f>""""&amp;B51&amp;"""" &amp; " : " &amp;C51&amp;","</f>
        <v>"comments" : "Very good game,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3">
      <c r="A3" s="49"/>
      <c r="B3" s="166" t="str">
        <f>"GAME: "&amp; LEFT('SCOUT &amp; LOGISTICS'!B2,1) &amp; TEXT('SCOUT &amp; LOGISTICS'!C2,"000") &amp; " " &amp; IF(LEFT('SCOUT &amp; LOGISTICS'!B2,1)="U","(EUROCUP)","(EUROLEAGUE)")</f>
        <v>GAME: E004 (EUROLEAGUE)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3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49999999999999" customHeight="1" thickBot="1" x14ac:dyDescent="0.3">
      <c r="A5" s="49"/>
      <c r="B5" s="168" t="str">
        <f>'SCOUT &amp; LOGISTICS'!D4</f>
        <v>DUBAI BASKETBALL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PARTIZAN MOZZART BET BELGRADE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5" customHeight="1" thickBot="1" x14ac:dyDescent="0.3">
      <c r="A6" s="49"/>
      <c r="B6" s="161" t="str">
        <f>PROPER('SCOUT &amp; LOGISTICS'!D4)</f>
        <v>Dubai Basketball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Partizan Mozzart Bet Belgrade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3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3">
      <c r="A8" s="49"/>
      <c r="B8" s="165" t="str">
        <f>IF('SCOUT &amp; LOGISTICS'!D6="","",'SCOUT &amp; LOGISTICS'!D6)</f>
        <v>DANILO VESOVIC</v>
      </c>
      <c r="C8" s="165"/>
      <c r="D8" s="165"/>
      <c r="E8" s="165"/>
      <c r="F8" s="165"/>
      <c r="G8" s="165" t="str">
        <f>IF('SCOUT &amp; LOGISTICS'!D7="","",'SCOUT &amp; LOGISTICS'!D7)</f>
        <v>MARKO LEPOVIC</v>
      </c>
      <c r="H8" s="165"/>
      <c r="I8" s="165"/>
      <c r="J8" s="165"/>
      <c r="K8" s="165"/>
      <c r="L8" s="165" t="str">
        <f>IF('SCOUT &amp; LOGISTICS'!D8="","",'SCOUT &amp; LOGISTICS'!D8)</f>
        <v>FRANCESC SENPAU VILLANUEVA</v>
      </c>
      <c r="M8" s="165"/>
      <c r="N8" s="165"/>
      <c r="O8" s="165"/>
      <c r="P8" s="165"/>
      <c r="Q8" s="165" t="str">
        <f>IF('SCOUT &amp; LOGISTICS'!D9="","",'SCOUT &amp; LOGISTICS'!D9)</f>
        <v>JOVANA DOJCINOVIC</v>
      </c>
      <c r="R8" s="165"/>
      <c r="S8" s="165"/>
      <c r="T8" s="165"/>
      <c r="U8" s="165"/>
      <c r="V8" s="165" t="str">
        <f>IF('SCOUT &amp; LOGISTICS'!D10="","",'SCOUT &amp; LOGISTICS'!D10)</f>
        <v>JELENA RASINAC</v>
      </c>
      <c r="W8" s="165"/>
      <c r="X8" s="165"/>
      <c r="Y8" s="165"/>
      <c r="Z8" s="165"/>
      <c r="AA8" s="165" t="str">
        <f>IF('SCOUT &amp; LOGISTICS'!D11="","",'SCOUT &amp; LOGISTICS'!D11)</f>
        <v>BILJANA KOSTRES</v>
      </c>
      <c r="AB8" s="165"/>
      <c r="AC8" s="165"/>
      <c r="AD8" s="165"/>
      <c r="AE8" s="165"/>
      <c r="AF8" s="49"/>
    </row>
    <row r="9" spans="1:33" ht="13" thickBot="1" x14ac:dyDescent="0.3">
      <c r="A9" s="49"/>
      <c r="B9" s="173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3" thickBot="1" x14ac:dyDescent="0.3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49999999999999" customHeight="1" thickBot="1" x14ac:dyDescent="0.3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3" thickBot="1" x14ac:dyDescent="0.3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49999999999999" customHeight="1" thickBot="1" x14ac:dyDescent="0.3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7">
        <f>'SCOUT &amp; LOGISTICS'!D3</f>
        <v>526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3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5.7034220532319393E-3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3" thickBot="1" x14ac:dyDescent="0.3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3">
        <f>IF('SCOUT &amp; LOGISTICS'!AA17="","",'SCOUT &amp; LOGISTICS'!AA17)</f>
        <v>2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1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3">
        <f>'SCOUT &amp; LOGISTICS'!AG17</f>
        <v>1</v>
      </c>
      <c r="C22" s="163"/>
      <c r="D22" s="163"/>
      <c r="E22" s="163"/>
      <c r="F22" s="163"/>
      <c r="G22" s="163"/>
      <c r="H22" s="163">
        <f>'SCOUT &amp; LOGISTICS'!AG18</f>
        <v>0</v>
      </c>
      <c r="I22" s="163"/>
      <c r="J22" s="163"/>
      <c r="K22" s="163"/>
      <c r="L22" s="163"/>
      <c r="M22" s="163"/>
      <c r="N22" s="163">
        <f>'SCOUT &amp; LOGISTICS'!AG19</f>
        <v>1</v>
      </c>
      <c r="O22" s="163"/>
      <c r="P22" s="163"/>
      <c r="Q22" s="163"/>
      <c r="R22" s="163"/>
      <c r="S22" s="163"/>
      <c r="T22" s="163">
        <f>'SCOUT &amp; LOGISTICS'!AG20</f>
        <v>1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3" thickBot="1" x14ac:dyDescent="0.3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3">
        <f>'SCOUT &amp; LOGISTICS'!Y17</f>
        <v>3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3">
        <f>'SCOUT &amp; LOGISTICS'!AC18</f>
        <v>1</v>
      </c>
      <c r="C27" s="163"/>
      <c r="D27" s="163"/>
      <c r="E27" s="163"/>
      <c r="F27" s="163"/>
      <c r="G27" s="163">
        <f>'SCOUT &amp; LOGISTICS'!AC22</f>
        <v>2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3" thickBot="1" x14ac:dyDescent="0.3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49999999999999" customHeight="1" thickBot="1" x14ac:dyDescent="0.3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5" customHeight="1" thickBot="1" x14ac:dyDescent="0.3">
      <c r="A32" s="49"/>
      <c r="B32" s="175" t="str">
        <f>IF('SCOUT &amp; LOGISTICS'!M4="","",'SCOUT &amp; LOGISTICS'!M4)</f>
        <v>Very good game, keep it up!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49999999999999" customHeight="1" thickBot="1" x14ac:dyDescent="0.3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49999999999999" customHeight="1" thickBot="1" x14ac:dyDescent="0.3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76">
        <f>'SCOUT &amp; LOGISTICS'!M7</f>
        <v>3.0703422053231941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CB1ADF-B41A-4372-8888-142E87F3B5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56DF51-7BB5-4724-B0C1-BAED2E00C9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7F61F8B-5D7F-4126-AB74-71C2FA9BB8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2025-09-14T09:53:19Z</cp:lastPrinted>
  <dcterms:created xsi:type="dcterms:W3CDTF">2023-09-19T19:50:35Z</dcterms:created>
  <dcterms:modified xsi:type="dcterms:W3CDTF">2025-10-02T21:12:21Z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