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1" documentId="8_{AA098AA3-9090-466A-B56B-141AF0FE7E94}" xr6:coauthVersionLast="47" xr6:coauthVersionMax="47" xr10:uidLastSave="{9B7DE196-D3D2-495A-BAF9-FD153AB6CBFE}"/>
  <bookViews>
    <workbookView xWindow="-60" yWindow="-163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<sst xmlns="http://schemas.openxmlformats.org/spreadsheetml/2006/main" count="295" uniqueCount="193">
  <si>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</si>
  <si>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</si>
  <si>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</si>
  <si>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</si>
  <si>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</si>
  <si>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</si>
  <si>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</si>
  <si>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</si>
  <si>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</si>
  <si>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</si>
  <si>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</si>
  <si>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</si>
  <si>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</si>
  <si>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</si>
  <si>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</si>
  <si>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</si>
  <si>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</si>
  <si>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</si>
  <si>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</si>
  <si>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</si>
  <si>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</si>
  <si>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</si>
  <si>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</si>
  <si>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</si>
  <si>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</si>
  <si>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</si>
  <si>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</si>
  <si>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</si>
  <si>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</si>
  <si>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</si>
  <si>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</si>
  <si>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</si>
  <si>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</si>
  <si>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</si>
  <si>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</si>
  <si>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</si>
  <si>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</si>
  <si>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</si>
  <si>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</si>
  <si>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</si>
  <si>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</si>
  <si>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</si>
  <si>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</si>
  <si>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</si>
  <si>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</si>
  <si>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</si>
  <si>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</si>
  <si>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</si>
  <si>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</si>
  <si>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</si>
  <si>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</si>
  <si>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</si>
  <si>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</si>
  <si>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</si>
  <si>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</si>
  <si>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</si>
  <si>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</si>
  <si>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</si>
  <si>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</si>
  <si>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</si>
  <si>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</si>
  <si>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</si>
  <si>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</si>
  <si>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</si>
  <si>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</si>
  <si>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</si>
  <si>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</si>
  <si>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</si>
  <si>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</si>
  <si>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</si>
  <si>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</si>
  <si>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</si>
  <si>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</si>
  <si>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</si>
  <si>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</si>
  <si>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</si>
  <si>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</si>
  <si>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</si>
  <si>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</si>
  <si>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</si>
  <si>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</si>
  <si>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</si>
  <si>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</si>
  <si>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</si>
  <si>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</si>
  <si>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</si>
  <si>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</si>
  <si>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</si>
  <si>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</si>
  <si>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</si>
  <si>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</si>
  <si>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</si>
  <si>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</si>
  <si>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</si>
  <si>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</si>
  <si>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</si>
  <si>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</si>
  <si>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</si>
  <si>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</si>
  <si>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</si>
  <si>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</si>
  <si>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</si>
  <si>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</si>
  <si>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</si>
  <si>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</si>
  <si>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</si>
  <si>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</si>
  <si>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</si>
  <si>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</si>
  <si>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</si>
  <si>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</si>
  <si>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</si>
  <si>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</si>
  <si>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</si>
  <si>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</si>
  <si>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</si>
  <si>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</si>
  <si>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</si>
  <si>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</si>
  <si>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</si>
  <si>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</si>
  <si>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</si>
  <si>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</si>
  <si>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</si>
  <si>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</si>
  <si>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</si>
  <si>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</si>
  <si>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</si>
  <si>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</si>
  <si>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</si>
  <si>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</si>
  <si>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</si>
  <si>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</si>
  <si>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</si>
  <si>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</si>
  <si>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</si>
  <si>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</si>
  <si>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</si>
  <si>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</si>
  <si>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</si>
  <si>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</si>
  <si>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</si>
  <si>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</si>
  <si>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</si>
  <si>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</si>
  <si>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</si>
  <si>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</si>
  <si>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</si>
  <si>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</si>
  <si>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</si>
  <si>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</si>
  <si>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</si>
  <si>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</si>
  <si>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</si>
  <si>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</si>
  <si>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</si>
  <si>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</si>
  <si>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</si>
  <si>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</si>
  <si>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</si>
  <si>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</si>
  <si>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</si>
  <si>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</si>
  <si>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</si>
  <si>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</si>
  <si>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</si>
  <si>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</si>
  <si>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</si>
  <si>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</si>
  <si>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</si>
  <si>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</si>
  <si>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</si>
  <si>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</si>
  <si>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</si>
  <si>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</si>
  <si>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</si>
  <si>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</si>
  <si>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</si>
  <si>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E2025</t>
  </si>
  <si>
    <t>C:\Temp</t>
  </si>
  <si>
    <t>Panathinaikos AKTOR Athens</t>
  </si>
  <si>
    <t>FC Bayern Munich</t>
  </si>
  <si>
    <t>EMMANOUIL SMPOKOS</t>
  </si>
  <si>
    <t>IOANNIS TRIANTAFYLLOU</t>
  </si>
  <si>
    <t>PANAGIOTIS MORAITIS</t>
  </si>
  <si>
    <t>MARIA TRIANTAFYLLOU</t>
  </si>
  <si>
    <t>VASILEIOS STAVROPOULOS</t>
  </si>
  <si>
    <t>ANASTASIOS KALESIORIS</t>
  </si>
  <si>
    <t>ELOI VERGÉ</t>
  </si>
  <si>
    <t>C:\Users\eloi.verge\OneDrive - EUROLEAGUE\Desktop\GAME REPORTS\25-26</t>
  </si>
  <si>
    <t>08:37</t>
  </si>
  <si>
    <t>03:52</t>
  </si>
  <si>
    <t>Amazing job!!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</si>
</sst>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19" fillId="11" borderId="0" xfId="0" applyFont="1" applyFill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179</v>
      </c>
      <c r="L1" s="58"/>
      <c r="M1" s="63" t="s">
        <v>165</v>
      </c>
      <c r="N1" s="42" t="s">
        <v>189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178</v>
      </c>
      <c r="C2" s="55">
        <v>6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E2025006</v>
      </c>
      <c r="N2" s="42" t="s">
        <v>179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41" t="str">
        <f>IF(ISERROR(VLOOKUP($B$2&amp;TEXT($C$2,"000"),#REF!,4,FALSE)),"",VLOOKUP($B$2&amp;TEXT($C$2,"000"),#REF!,4,FALSE))</f>
        <v/>
      </c>
      <c r="C3" s="142"/>
      <c r="D3" s="39">
        <v>589</v>
      </c>
      <c r="E3" s="29"/>
      <c r="F3" s="26">
        <f>SUBTOTAL(3,I17:I106)</f>
        <v>2</v>
      </c>
      <c r="G3" s="27">
        <f>IF(OR(D3="",D3=0),"",F3/D3)</f>
        <v>3.3955857385398981E-3</v>
      </c>
      <c r="H3" s="5"/>
      <c r="I3" s="5"/>
      <c r="J3" s="5"/>
      <c r="K3" s="5"/>
      <c r="L3" s="5"/>
      <c r="M3" s="143" t="s">
        <v>164</v>
      </c>
      <c r="N3" s="144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32" t="s">
        <v>86</v>
      </c>
      <c r="C4" s="133"/>
      <c r="D4" s="145" t="s">
        <v>180</v>
      </c>
      <c r="E4" s="146"/>
      <c r="F4" s="146"/>
      <c r="G4" s="147"/>
      <c r="H4" s="5"/>
      <c r="I4" s="5"/>
      <c r="J4" s="5"/>
      <c r="K4" s="5"/>
      <c r="L4" s="5"/>
      <c r="M4" s="149" t="s">
        <v>192</v>
      </c>
      <c r="N4" s="150"/>
      <c r="O4" s="2"/>
      <c r="P4" s="2"/>
      <c r="Q4" s="92" t="s">
        <v>177</v>
      </c>
      <c r="R4" s="102">
        <f>(IF(G3="",0,G3))</f>
        <v>3.3955857385398981E-3</v>
      </c>
      <c r="S4" s="69">
        <f>SUM(I13:M13)</f>
        <v>0</v>
      </c>
      <c r="T4" s="86"/>
      <c r="U4" s="69">
        <f>AC18</f>
        <v>1</v>
      </c>
      <c r="V4" s="69">
        <f>+AC22</f>
        <v>0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1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36" t="s">
        <v>87</v>
      </c>
      <c r="C5" s="148"/>
      <c r="D5" s="155" t="s">
        <v>181</v>
      </c>
      <c r="E5" s="156"/>
      <c r="F5" s="156"/>
      <c r="G5" s="157"/>
      <c r="H5" s="5"/>
      <c r="I5" s="5"/>
      <c r="J5" s="5"/>
      <c r="K5" s="5"/>
      <c r="L5" s="5"/>
      <c r="M5" s="151"/>
      <c r="N5" s="152"/>
      <c r="O5" s="2"/>
      <c r="P5" s="2"/>
      <c r="Q5" s="97" t="s">
        <v>176</v>
      </c>
      <c r="R5" s="102">
        <f>R4*R3</f>
        <v>0.3395585738539898</v>
      </c>
      <c r="S5" s="78">
        <f t="shared" ref="S5" si="0">S4*S3</f>
        <v>0</v>
      </c>
      <c r="T5" s="100"/>
      <c r="U5" s="78">
        <f t="shared" ref="U5:AG5" si="1">U4*U3</f>
        <v>0.5</v>
      </c>
      <c r="V5" s="78">
        <f t="shared" si="1"/>
        <v>0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2.5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32" t="s">
        <v>95</v>
      </c>
      <c r="C6" s="133"/>
      <c r="D6" s="117" t="s">
        <v>182</v>
      </c>
      <c r="E6" s="118"/>
      <c r="F6" s="118"/>
      <c r="G6" s="119"/>
      <c r="H6" s="5"/>
      <c r="I6" s="5"/>
      <c r="J6" s="5"/>
      <c r="K6" s="5"/>
      <c r="L6" s="5"/>
      <c r="M6" s="153"/>
      <c r="N6" s="154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34" t="s">
        <v>96</v>
      </c>
      <c r="C7" s="135"/>
      <c r="D7" s="120" t="s">
        <v>183</v>
      </c>
      <c r="E7" s="121"/>
      <c r="F7" s="121"/>
      <c r="G7" s="122"/>
      <c r="H7" s="5"/>
      <c r="I7" s="5"/>
      <c r="J7" s="5"/>
      <c r="K7" s="5"/>
      <c r="L7" s="5"/>
      <c r="M7" s="65">
        <f>Q7</f>
        <v>3.3395585738539899</v>
      </c>
      <c r="N7" s="65"/>
      <c r="O7" s="2"/>
      <c r="P7" s="2"/>
      <c r="Q7" s="94">
        <f>SUM(R5,S5,AC16)</f>
        <v>3.3395585738539899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36" t="s">
        <v>97</v>
      </c>
      <c r="C8" s="137"/>
      <c r="D8" s="123" t="s">
        <v>184</v>
      </c>
      <c r="E8" s="124"/>
      <c r="F8" s="124"/>
      <c r="G8" s="12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3.3395585738539899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32" t="s">
        <v>98</v>
      </c>
      <c r="C9" s="138"/>
      <c r="D9" s="117" t="s">
        <v>185</v>
      </c>
      <c r="E9" s="118"/>
      <c r="F9" s="118"/>
      <c r="G9" s="11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39" t="s">
        <v>99</v>
      </c>
      <c r="C10" s="140"/>
      <c r="D10" s="126" t="s">
        <v>186</v>
      </c>
      <c r="E10" s="127"/>
      <c r="F10" s="127"/>
      <c r="G10" s="12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15" t="s">
        <v>108</v>
      </c>
      <c r="C11" s="116"/>
      <c r="D11" s="129" t="s">
        <v>187</v>
      </c>
      <c r="E11" s="130"/>
      <c r="F11" s="130"/>
      <c r="G11" s="13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15" t="s">
        <v>163</v>
      </c>
      <c r="C14" s="116"/>
      <c r="D14" s="129" t="s">
        <v>188</v>
      </c>
      <c r="E14" s="130"/>
      <c r="F14" s="130"/>
      <c r="G14" s="13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2</v>
      </c>
      <c r="Z16" s="98" t="s">
        <v>110</v>
      </c>
      <c r="AA16" s="83">
        <f>SUM(AA17:AA24)</f>
        <v>2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83">
        <f>SUM(AD17:AD24)</f>
        <v>45</v>
      </c>
      <c r="AE16" s="84" t="s">
        <v>42</v>
      </c>
      <c r="AF16" s="83">
        <f>SUM(AF17:AF24)</f>
        <v>2</v>
      </c>
      <c r="AG16" s="83">
        <f>SUM(AG17:AG21)</f>
        <v>2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6</v>
      </c>
      <c r="D17" s="32" t="s">
        <v>190</v>
      </c>
      <c r="E17" s="33">
        <v>1</v>
      </c>
      <c r="F17" s="36">
        <v>2</v>
      </c>
      <c r="G17" s="36">
        <v>2</v>
      </c>
      <c r="H17" s="38" t="str">
        <f>IF(I17="","",$I$14)</f>
        <v>SCOUTING</v>
      </c>
      <c r="I17" s="34">
        <v>16</v>
      </c>
      <c r="J17" s="13" t="s">
        <v>4</v>
      </c>
      <c r="K17" s="13" t="s">
        <v>63</v>
      </c>
      <c r="L17" s="13" t="s">
        <v>7</v>
      </c>
      <c r="M17" s="13" t="s">
        <v>12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2</v>
      </c>
      <c r="Z17" s="113" t="s">
        <v>63</v>
      </c>
      <c r="AA17" s="70">
        <f>COUNTIF($K$17:$K$106,Z17)</f>
        <v>1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1</v>
      </c>
      <c r="AG17" s="70">
        <f>COUNTIF($E$17:$E$106,$AK17)</f>
        <v>1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E2025</v>
      </c>
      <c r="C18" s="31">
        <f t="shared" si="3"/>
        <v>6</v>
      </c>
      <c r="D18" s="32" t="s">
        <v>191</v>
      </c>
      <c r="E18" s="33">
        <v>4</v>
      </c>
      <c r="F18" s="36">
        <v>81</v>
      </c>
      <c r="G18" s="36">
        <v>68</v>
      </c>
      <c r="H18" s="38" t="str">
        <f t="shared" ref="H18:H81" si="8">IF(I18="","",$I$14)</f>
        <v>SCOUTING</v>
      </c>
      <c r="I18" s="34">
        <v>544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1</v>
      </c>
      <c r="AB18" s="74" t="s">
        <v>5</v>
      </c>
      <c r="AC18" s="69">
        <f t="shared" si="5"/>
        <v>1</v>
      </c>
      <c r="AD18" s="69">
        <f t="shared" si="6"/>
        <v>0.5</v>
      </c>
      <c r="AE18" s="74" t="s">
        <v>12</v>
      </c>
      <c r="AF18" s="73">
        <f t="shared" si="7"/>
        <v>1</v>
      </c>
      <c r="AG18" s="70">
        <f>COUNTIF($E$17:$E$106,$AK18)</f>
        <v>0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0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1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0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1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REPORT_E2025006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"E2025006"</v>
      </c>
      <c r="F3" s="46" t="str">
        <f t="shared" ref="F3:F16" si="0">""""&amp;B3&amp;"""" &amp; " : " &amp;C3&amp;","</f>
        <v>"name" : "E2025006",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"E006"</v>
      </c>
      <c r="F4" s="46" t="str">
        <f t="shared" si="0"/>
        <v>"cod" : "E006",</v>
      </c>
    </row>
    <row r="5" spans="2:6" x14ac:dyDescent="0.25">
      <c r="B5" s="44" t="s">
        <v>117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 x14ac:dyDescent="0.25">
      <c r="B6" s="44" t="s">
        <v>118</v>
      </c>
      <c r="C6" s="44" t="str">
        <f>TEXT('SCOUT &amp; LOGISTICS'!C2,"000")</f>
        <v>006</v>
      </c>
      <c r="F6" s="46" t="str">
        <f t="shared" si="0"/>
        <v>"number" : 006,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"Panathinaikos AKTOR Athens"</v>
      </c>
      <c r="F8" s="46" t="str">
        <f t="shared" si="0"/>
        <v>"home_team" : "Panathinaikos AKTOR Athens",</v>
      </c>
    </row>
    <row r="9" spans="2:6" x14ac:dyDescent="0.25">
      <c r="B9" s="44" t="s">
        <v>126</v>
      </c>
      <c r="C9" s="44" t="str">
        <f>""""&amp;'SCOUT &amp; LOGISTICS'!D5&amp;""""</f>
        <v>"FC Bayern Munich"</v>
      </c>
      <c r="F9" s="46" t="str">
        <f t="shared" si="0"/>
        <v>"away_team" : "FC Bayern Munich",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"EMMANOUIL SMPOKOS"</v>
      </c>
      <c r="F10" s="46" t="str">
        <f t="shared" si="0"/>
        <v>"Data_entry" : "EMMANOUIL SMPOKOS",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"IOANNIS TRIANTAFYLLOU"</v>
      </c>
      <c r="F11" s="46" t="str">
        <f t="shared" si="0"/>
        <v>"Caller_1" : "IOANNIS TRIANTAFYLLOU",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"PANAGIOTIS MORAITIS"</v>
      </c>
      <c r="F12" s="46" t="str">
        <f t="shared" si="0"/>
        <v>"Caller_2" : "PANAGIOTIS MORAITIS",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"MARIA TRIANTAFYLLOU"</v>
      </c>
      <c r="F13" s="46" t="str">
        <f t="shared" si="0"/>
        <v>"Timerkeeper" : "MARIA TRIANTAFYLLOU",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"VASILEIOS STAVROPOULOS"</v>
      </c>
      <c r="F14" s="46" t="str">
        <f t="shared" si="0"/>
        <v>"Shotclock" : "VASILEIOS STAVROPOULOS",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"ANASTASIOS KALESIORIS"</v>
      </c>
      <c r="F15" s="46" t="str">
        <f t="shared" si="0"/>
        <v>"IRS" : "ANASTASIOS KALESIORIS",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"ELOI VERGÉ"</v>
      </c>
      <c r="F16" s="46" t="str">
        <f t="shared" si="0"/>
        <v>"Live_Game_Manager" : "ELOI VERGÉ",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589</v>
      </c>
      <c r="F25" s="46" t="str">
        <f t="shared" ref="F25:F48" si="1">""""&amp;C25&amp;"""" &amp; " : " &amp;D25&amp;","</f>
        <v>"total_actions" : 589,</v>
      </c>
    </row>
    <row r="26" spans="2:6" x14ac:dyDescent="0.25">
      <c r="C26" s="44" t="s">
        <v>132</v>
      </c>
      <c r="D26" s="44">
        <f>'SCOUT &amp; LOGISTICS'!F3</f>
        <v>2</v>
      </c>
      <c r="F26" s="46" t="str">
        <f t="shared" si="1"/>
        <v>"total_correcions" : 2,</v>
      </c>
    </row>
    <row r="27" spans="2:6" x14ac:dyDescent="0.25">
      <c r="C27" s="44" t="s">
        <v>133</v>
      </c>
      <c r="D27" s="44" t="str">
        <f>""""&amp;IF(OR(D25="",D25=0),"",TEXT(D26/D25,"0,0%"))&amp;""""</f>
        <v>"00%"</v>
      </c>
      <c r="F27" s="46" t="str">
        <f t="shared" si="1"/>
        <v>"%_corrections" : "00%",</v>
      </c>
    </row>
    <row r="28" spans="2:6" x14ac:dyDescent="0.25">
      <c r="C28" s="44" t="s">
        <v>125</v>
      </c>
      <c r="D28" s="44">
        <f>IF('SCOUT &amp; LOGISTICS'!AA17="","",'SCOUT &amp; LOGISTICS'!AA17)</f>
        <v>1</v>
      </c>
      <c r="F28" s="46" t="str">
        <f t="shared" si="1"/>
        <v>"home_team" : 1,</v>
      </c>
    </row>
    <row r="29" spans="2:6" x14ac:dyDescent="0.25">
      <c r="C29" s="44" t="s">
        <v>134</v>
      </c>
      <c r="D29" s="44">
        <f>IF('SCOUT &amp; LOGISTICS'!AA18="","",'SCOUT &amp; LOGISTICS'!AA18)</f>
        <v>1</v>
      </c>
      <c r="F29" s="46" t="str">
        <f t="shared" si="1"/>
        <v>"no_team" : 1,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1</v>
      </c>
      <c r="F31" s="46" t="str">
        <f t="shared" si="1"/>
        <v>"q1" : 1,</v>
      </c>
    </row>
    <row r="32" spans="2:6" x14ac:dyDescent="0.25">
      <c r="C32" s="44" t="s">
        <v>136</v>
      </c>
      <c r="D32" s="44">
        <f>'SCOUT &amp; LOGISTICS'!AG18</f>
        <v>0</v>
      </c>
      <c r="F32" s="46" t="str">
        <f t="shared" si="1"/>
        <v>"q2" : 0,</v>
      </c>
    </row>
    <row r="33" spans="3:6" x14ac:dyDescent="0.25">
      <c r="C33" s="44" t="s">
        <v>137</v>
      </c>
      <c r="D33" s="44">
        <f>'SCOUT &amp; LOGISTICS'!AG19</f>
        <v>0</v>
      </c>
      <c r="F33" s="46" t="str">
        <f t="shared" si="1"/>
        <v>"q3" : 0,</v>
      </c>
    </row>
    <row r="34" spans="3:6" x14ac:dyDescent="0.25">
      <c r="C34" s="44" t="s">
        <v>138</v>
      </c>
      <c r="D34" s="44">
        <f>'SCOUT &amp; LOGISTICS'!AG20</f>
        <v>1</v>
      </c>
      <c r="F34" s="46" t="str">
        <f t="shared" si="1"/>
        <v>"q4" : 1,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2</v>
      </c>
      <c r="F37" s="46" t="str">
        <f t="shared" si="1"/>
        <v>"scoresheet_corrections" : 2,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1</v>
      </c>
      <c r="F39" s="46" t="str">
        <f t="shared" si="1"/>
        <v>"missidentity" : 1,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1</v>
      </c>
      <c r="F46" s="46" t="str">
        <f t="shared" si="1"/>
        <v>"part_of_a_sequence" : 1,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"Amazing job!! Keep it up!"</v>
      </c>
      <c r="F51" s="46" t="str">
        <f>""""&amp;B51&amp;"""" &amp; " : " &amp;C51&amp;","</f>
        <v>"comments" : "Amazing job!! Keep it up!",</v>
      </c>
    </row>
    <row r="52" spans="2:6" x14ac:dyDescent="0.25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45"/>
    <row r="2" spans="1:33" ht="42.65" customHeight="1" thickBot="1" x14ac:dyDescent="0.5">
      <c r="A2" s="49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49"/>
    </row>
    <row r="3" spans="1:33" ht="27" customHeight="1" thickBot="1" x14ac:dyDescent="0.5">
      <c r="A3" s="49"/>
      <c r="B3" s="166" t="str">
        <f>"GAME: "&amp; LEFT('SCOUT &amp; LOGISTICS'!B2,1) &amp; TEXT('SCOUT &amp; LOGISTICS'!C2,"000") &amp; " " &amp; IF(LEFT('SCOUT &amp; LOGISTICS'!B2,1)="U","(EUROCUP)","(EUROLEAGUE)")</f>
        <v>GAME: E006 (EUROLEAGUE)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49"/>
    </row>
    <row r="4" spans="1:33" ht="14.25" customHeight="1" thickBot="1" x14ac:dyDescent="0.5">
      <c r="A4" s="49"/>
      <c r="B4" s="164" t="str">
        <f>"DATE: " &amp; TEXT('SCOUT &amp; LOGISTICS'!B3,"dd/mm/aaaa")</f>
        <v xml:space="preserve">DATE: </v>
      </c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49"/>
    </row>
    <row r="5" spans="1:33" ht="20.149999999999999" customHeight="1" thickBot="1" x14ac:dyDescent="0.5">
      <c r="A5" s="49"/>
      <c r="B5" s="168" t="str">
        <f>'SCOUT &amp; LOGISTICS'!D4</f>
        <v>Panathinaikos AKTOR Athens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 t="str">
        <f>'SCOUT &amp; LOGISTICS'!D5</f>
        <v>FC Bayern Munich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49"/>
    </row>
    <row r="6" spans="1:33" ht="23.15" customHeight="1" thickBot="1" x14ac:dyDescent="0.5">
      <c r="A6" s="49"/>
      <c r="B6" s="161" t="str">
        <f>PROPER('SCOUT &amp; LOGISTICS'!D4)</f>
        <v>Panathinaikos Aktor Athens</v>
      </c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 t="str">
        <f>PROPER('SCOUT &amp; LOGISTICS'!D5)</f>
        <v>Fc Bayern Munich</v>
      </c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49"/>
    </row>
    <row r="7" spans="1:33" ht="19.5" customHeight="1" thickBot="1" x14ac:dyDescent="0.5">
      <c r="A7" s="49"/>
      <c r="B7" s="167" t="str">
        <f>'SCOUT &amp; LOGISTICS'!B6</f>
        <v>Data entry</v>
      </c>
      <c r="C7" s="167"/>
      <c r="D7" s="167"/>
      <c r="E7" s="167"/>
      <c r="F7" s="167"/>
      <c r="G7" s="167" t="str">
        <f>'SCOUT &amp; LOGISTICS'!B7</f>
        <v>Caller 1</v>
      </c>
      <c r="H7" s="167"/>
      <c r="I7" s="167"/>
      <c r="J7" s="167"/>
      <c r="K7" s="167"/>
      <c r="L7" s="167" t="str">
        <f>'SCOUT &amp; LOGISTICS'!B8</f>
        <v>Caller 2</v>
      </c>
      <c r="M7" s="167"/>
      <c r="N7" s="167"/>
      <c r="O7" s="167"/>
      <c r="P7" s="167"/>
      <c r="Q7" s="167" t="str">
        <f>'SCOUT &amp; LOGISTICS'!B9</f>
        <v>Timerkeeper</v>
      </c>
      <c r="R7" s="167"/>
      <c r="S7" s="167"/>
      <c r="T7" s="167"/>
      <c r="U7" s="167"/>
      <c r="V7" s="167" t="str">
        <f>'SCOUT &amp; LOGISTICS'!B10</f>
        <v>Shotclock</v>
      </c>
      <c r="W7" s="167"/>
      <c r="X7" s="167"/>
      <c r="Y7" s="167"/>
      <c r="Z7" s="167"/>
      <c r="AA7" s="167" t="str">
        <f>'SCOUT &amp; LOGISTICS'!B11</f>
        <v>IRS</v>
      </c>
      <c r="AB7" s="167"/>
      <c r="AC7" s="167"/>
      <c r="AD7" s="167"/>
      <c r="AE7" s="167"/>
      <c r="AF7" s="49"/>
    </row>
    <row r="8" spans="1:33" ht="36" customHeight="1" thickBot="1" x14ac:dyDescent="0.5">
      <c r="A8" s="49"/>
      <c r="B8" s="165" t="str">
        <f>IF('SCOUT &amp; LOGISTICS'!D6="","",'SCOUT &amp; LOGISTICS'!D6)</f>
        <v>EMMANOUIL SMPOKOS</v>
      </c>
      <c r="C8" s="165"/>
      <c r="D8" s="165"/>
      <c r="E8" s="165"/>
      <c r="F8" s="165"/>
      <c r="G8" s="165" t="str">
        <f>IF('SCOUT &amp; LOGISTICS'!D7="","",'SCOUT &amp; LOGISTICS'!D7)</f>
        <v>IOANNIS TRIANTAFYLLOU</v>
      </c>
      <c r="H8" s="165"/>
      <c r="I8" s="165"/>
      <c r="J8" s="165"/>
      <c r="K8" s="165"/>
      <c r="L8" s="165" t="str">
        <f>IF('SCOUT &amp; LOGISTICS'!D8="","",'SCOUT &amp; LOGISTICS'!D8)</f>
        <v>PANAGIOTIS MORAITIS</v>
      </c>
      <c r="M8" s="165"/>
      <c r="N8" s="165"/>
      <c r="O8" s="165"/>
      <c r="P8" s="165"/>
      <c r="Q8" s="165" t="str">
        <f>IF('SCOUT &amp; LOGISTICS'!D9="","",'SCOUT &amp; LOGISTICS'!D9)</f>
        <v>MARIA TRIANTAFYLLOU</v>
      </c>
      <c r="R8" s="165"/>
      <c r="S8" s="165"/>
      <c r="T8" s="165"/>
      <c r="U8" s="165"/>
      <c r="V8" s="165" t="str">
        <f>IF('SCOUT &amp; LOGISTICS'!D10="","",'SCOUT &amp; LOGISTICS'!D10)</f>
        <v>VASILEIOS STAVROPOULOS</v>
      </c>
      <c r="W8" s="165"/>
      <c r="X8" s="165"/>
      <c r="Y8" s="165"/>
      <c r="Z8" s="165"/>
      <c r="AA8" s="165" t="str">
        <f>IF('SCOUT &amp; LOGISTICS'!D11="","",'SCOUT &amp; LOGISTICS'!D11)</f>
        <v>ANASTASIOS KALESIORIS</v>
      </c>
      <c r="AB8" s="165"/>
      <c r="AC8" s="165"/>
      <c r="AD8" s="165"/>
      <c r="AE8" s="165"/>
      <c r="AF8" s="49"/>
    </row>
    <row r="9" spans="1:33" ht="16" thickBot="1" x14ac:dyDescent="0.5">
      <c r="A9" s="49"/>
      <c r="B9" s="173" t="str">
        <f>IF(OR('SCOUT &amp; LOGISTICS'!D14="",'SCOUT &amp; LOGISTICS'!D14=0),"",'SCOUT &amp; LOGISTICS'!B14 &amp; ": " &amp; 'SCOUT &amp; LOGISTICS'!D14) &amp; "     "</f>
        <v xml:space="preserve">L G M: : ELOI VERGÉ     </v>
      </c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49"/>
    </row>
    <row r="10" spans="1:33" s="49" customFormat="1" ht="16" thickBot="1" x14ac:dyDescent="0.5"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</row>
    <row r="11" spans="1:33" ht="20.149999999999999" customHeight="1" thickBot="1" x14ac:dyDescent="0.5">
      <c r="A11" s="49"/>
      <c r="B11" s="164" t="s">
        <v>13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49"/>
    </row>
    <row r="12" spans="1:33" ht="21" customHeight="1" thickBot="1" x14ac:dyDescent="0.5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5">
      <c r="A13" s="49"/>
      <c r="B13" s="169" t="str">
        <f>IF('SCOUT &amp; LOGISTICS'!I12="","",'SCOUT &amp; LOGISTICS'!I12)</f>
        <v>OK</v>
      </c>
      <c r="C13" s="169"/>
      <c r="D13" s="169"/>
      <c r="E13" s="169"/>
      <c r="F13" s="169"/>
      <c r="G13" s="169"/>
      <c r="H13" s="169" t="str">
        <f>IF('SCOUT &amp; LOGISTICS'!J12="","",'SCOUT &amp; LOGISTICS'!J12)</f>
        <v>YES</v>
      </c>
      <c r="I13" s="169"/>
      <c r="J13" s="169"/>
      <c r="K13" s="169"/>
      <c r="L13" s="169"/>
      <c r="M13" s="169"/>
      <c r="N13" s="169" t="str">
        <f>IF('SCOUT &amp; LOGISTICS'!K12="","",'SCOUT &amp; LOGISTICS'!K12)</f>
        <v>GOOD</v>
      </c>
      <c r="O13" s="169"/>
      <c r="P13" s="169"/>
      <c r="Q13" s="169"/>
      <c r="R13" s="169"/>
      <c r="S13" s="169"/>
      <c r="T13" s="169" t="str">
        <f>IF('SCOUT &amp; LOGISTICS'!L12="","",'SCOUT &amp; LOGISTICS'!L12)</f>
        <v>FAST</v>
      </c>
      <c r="U13" s="169"/>
      <c r="V13" s="169"/>
      <c r="W13" s="169"/>
      <c r="X13" s="169"/>
      <c r="Y13" s="169"/>
      <c r="Z13" s="169" t="str">
        <f>IF('SCOUT &amp; LOGISTICS'!M12="","",'SCOUT &amp; LOGISTICS'!M12)</f>
        <v>NO</v>
      </c>
      <c r="AA13" s="169"/>
      <c r="AB13" s="169"/>
      <c r="AC13" s="169"/>
      <c r="AD13" s="169"/>
      <c r="AE13" s="169"/>
      <c r="AF13" s="49"/>
    </row>
    <row r="14" spans="1:33" s="49" customFormat="1" ht="16" thickBot="1" x14ac:dyDescent="0.5"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</row>
    <row r="15" spans="1:33" ht="20.149999999999999" customHeight="1" thickBot="1" x14ac:dyDescent="0.5">
      <c r="A15" s="49"/>
      <c r="B15" s="164" t="s">
        <v>45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49"/>
    </row>
    <row r="16" spans="1:33" ht="21" customHeight="1" thickBot="1" x14ac:dyDescent="0.5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5">
      <c r="A17" s="49"/>
      <c r="B17" s="167">
        <f>'SCOUT &amp; LOGISTICS'!D3</f>
        <v>589</v>
      </c>
      <c r="C17" s="167"/>
      <c r="D17" s="167"/>
      <c r="E17" s="167"/>
      <c r="F17" s="167"/>
      <c r="G17" s="167"/>
      <c r="H17" s="167"/>
      <c r="I17" s="167"/>
      <c r="J17" s="167"/>
      <c r="K17" s="167"/>
      <c r="L17" s="167">
        <f>'SCOUT &amp; LOGISTICS'!F3</f>
        <v>2</v>
      </c>
      <c r="M17" s="167"/>
      <c r="N17" s="167"/>
      <c r="O17" s="167"/>
      <c r="P17" s="167"/>
      <c r="Q17" s="167"/>
      <c r="R17" s="167"/>
      <c r="S17" s="167"/>
      <c r="T17" s="167"/>
      <c r="U17" s="167"/>
      <c r="V17" s="170">
        <f>IF(OR(B17="",B17=0),"",L17/B17)</f>
        <v>3.3955857385398981E-3</v>
      </c>
      <c r="W17" s="170"/>
      <c r="X17" s="170"/>
      <c r="Y17" s="170"/>
      <c r="Z17" s="170"/>
      <c r="AA17" s="170"/>
      <c r="AB17" s="170"/>
      <c r="AC17" s="170"/>
      <c r="AD17" s="170"/>
      <c r="AE17" s="170"/>
      <c r="AF17" s="49"/>
    </row>
    <row r="18" spans="1:32" s="49" customFormat="1" ht="16" thickBot="1" x14ac:dyDescent="0.5"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</row>
    <row r="19" spans="1:32" ht="21" customHeight="1" thickBot="1" x14ac:dyDescent="0.5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5">
      <c r="A20" s="49"/>
      <c r="B20" s="163">
        <f>IF('SCOUT &amp; LOGISTICS'!AA17="","",'SCOUT &amp; LOGISTICS'!AA17)</f>
        <v>1</v>
      </c>
      <c r="C20" s="163"/>
      <c r="D20" s="163"/>
      <c r="E20" s="163"/>
      <c r="F20" s="163"/>
      <c r="G20" s="163"/>
      <c r="H20" s="163"/>
      <c r="I20" s="163"/>
      <c r="J20" s="163"/>
      <c r="K20" s="163"/>
      <c r="L20" s="163">
        <f>IF('SCOUT &amp; LOGISTICS'!AA18="","",'SCOUT &amp; LOGISTICS'!AA18)</f>
        <v>1</v>
      </c>
      <c r="M20" s="163"/>
      <c r="N20" s="163"/>
      <c r="O20" s="163"/>
      <c r="P20" s="163"/>
      <c r="Q20" s="163"/>
      <c r="R20" s="163"/>
      <c r="S20" s="163"/>
      <c r="T20" s="163"/>
      <c r="U20" s="163"/>
      <c r="V20" s="163">
        <f>IF('SCOUT &amp; LOGISTICS'!AA19="","",'SCOUT &amp; LOGISTICS'!AA19)</f>
        <v>0</v>
      </c>
      <c r="W20" s="163"/>
      <c r="X20" s="163"/>
      <c r="Y20" s="163"/>
      <c r="Z20" s="163"/>
      <c r="AA20" s="163"/>
      <c r="AB20" s="163"/>
      <c r="AC20" s="163"/>
      <c r="AD20" s="163"/>
      <c r="AE20" s="163"/>
      <c r="AF20" s="49"/>
    </row>
    <row r="21" spans="1:32" ht="21" customHeight="1" thickBot="1" x14ac:dyDescent="0.5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5">
      <c r="A22" s="49"/>
      <c r="B22" s="163">
        <f>'SCOUT &amp; LOGISTICS'!AG17</f>
        <v>1</v>
      </c>
      <c r="C22" s="163"/>
      <c r="D22" s="163"/>
      <c r="E22" s="163"/>
      <c r="F22" s="163"/>
      <c r="G22" s="163"/>
      <c r="H22" s="163">
        <f>'SCOUT &amp; LOGISTICS'!AG18</f>
        <v>0</v>
      </c>
      <c r="I22" s="163"/>
      <c r="J22" s="163"/>
      <c r="K22" s="163"/>
      <c r="L22" s="163"/>
      <c r="M22" s="163"/>
      <c r="N22" s="163">
        <f>'SCOUT &amp; LOGISTICS'!AG19</f>
        <v>0</v>
      </c>
      <c r="O22" s="163"/>
      <c r="P22" s="163"/>
      <c r="Q22" s="163"/>
      <c r="R22" s="163"/>
      <c r="S22" s="163"/>
      <c r="T22" s="163">
        <f>'SCOUT &amp; LOGISTICS'!AG20</f>
        <v>1</v>
      </c>
      <c r="U22" s="163"/>
      <c r="V22" s="163"/>
      <c r="W22" s="163"/>
      <c r="X22" s="163"/>
      <c r="Y22" s="163"/>
      <c r="Z22" s="163">
        <f>IF('SCOUT &amp; LOGISTICS'!AG21="","",'SCOUT &amp; LOGISTICS'!AG21)</f>
        <v>0</v>
      </c>
      <c r="AA22" s="163"/>
      <c r="AB22" s="163"/>
      <c r="AC22" s="163"/>
      <c r="AD22" s="163"/>
      <c r="AE22" s="163"/>
      <c r="AF22" s="49"/>
    </row>
    <row r="23" spans="1:32" s="49" customFormat="1" ht="16" thickBot="1" x14ac:dyDescent="0.5">
      <c r="B23" s="159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</row>
    <row r="24" spans="1:32" ht="21" customHeight="1" thickBot="1" x14ac:dyDescent="0.5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5">
      <c r="A25" s="49"/>
      <c r="B25" s="163">
        <f>'SCOUT &amp; LOGISTICS'!Y17</f>
        <v>2</v>
      </c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>
        <f>'SCOUT &amp; LOGISTICS'!Y18</f>
        <v>0</v>
      </c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49"/>
    </row>
    <row r="26" spans="1:32" ht="21" customHeight="1" thickBot="1" x14ac:dyDescent="0.5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71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5">
      <c r="A27" s="49"/>
      <c r="B27" s="163">
        <f>'SCOUT &amp; LOGISTICS'!AC18</f>
        <v>1</v>
      </c>
      <c r="C27" s="163"/>
      <c r="D27" s="163"/>
      <c r="E27" s="163"/>
      <c r="F27" s="163"/>
      <c r="G27" s="163">
        <f>'SCOUT &amp; LOGISTICS'!AC22</f>
        <v>0</v>
      </c>
      <c r="H27" s="163"/>
      <c r="I27" s="163"/>
      <c r="J27" s="163"/>
      <c r="K27" s="163"/>
      <c r="L27" s="163">
        <f>'SCOUT &amp; LOGISTICS'!AC23</f>
        <v>1</v>
      </c>
      <c r="M27" s="163"/>
      <c r="N27" s="163"/>
      <c r="O27" s="163"/>
      <c r="P27" s="163"/>
      <c r="Q27" s="163">
        <f>'SCOUT &amp; LOGISTICS'!AC21</f>
        <v>0</v>
      </c>
      <c r="R27" s="163"/>
      <c r="S27" s="163"/>
      <c r="T27" s="163"/>
      <c r="U27" s="163"/>
      <c r="V27" s="163">
        <f>'SCOUT &amp; LOGISTICS'!AC27</f>
        <v>0</v>
      </c>
      <c r="W27" s="163"/>
      <c r="X27" s="163"/>
      <c r="Y27" s="163"/>
      <c r="Z27" s="163"/>
      <c r="AA27" s="163">
        <f>'SCOUT &amp; LOGISTICS'!AC17+'SCOUT &amp; LOGISTICS'!AC20</f>
        <v>0</v>
      </c>
      <c r="AB27" s="163"/>
      <c r="AC27" s="163"/>
      <c r="AD27" s="163"/>
      <c r="AE27" s="163"/>
      <c r="AF27" s="49"/>
    </row>
    <row r="28" spans="1:32" ht="21" customHeight="1" thickBot="1" x14ac:dyDescent="0.5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71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5">
      <c r="A29" s="49"/>
      <c r="B29" s="163">
        <f>'SCOUT &amp; LOGISTICS'!AC25</f>
        <v>0</v>
      </c>
      <c r="C29" s="163"/>
      <c r="D29" s="163"/>
      <c r="E29" s="163"/>
      <c r="F29" s="163"/>
      <c r="G29" s="163">
        <f>'SCOUT &amp; LOGISTICS'!AC24</f>
        <v>0</v>
      </c>
      <c r="H29" s="163"/>
      <c r="I29" s="163"/>
      <c r="J29" s="163"/>
      <c r="K29" s="163"/>
      <c r="L29" s="163">
        <f>'SCOUT &amp; LOGISTICS'!$AC$29</f>
        <v>0</v>
      </c>
      <c r="M29" s="163"/>
      <c r="N29" s="163"/>
      <c r="O29" s="163"/>
      <c r="P29" s="163"/>
      <c r="Q29" s="163">
        <f>'SCOUT &amp; LOGISTICS'!AC28</f>
        <v>0</v>
      </c>
      <c r="R29" s="163"/>
      <c r="S29" s="163"/>
      <c r="T29" s="163"/>
      <c r="U29" s="163"/>
      <c r="V29" s="163">
        <f>'SCOUT &amp; LOGISTICS'!AC19</f>
        <v>0</v>
      </c>
      <c r="W29" s="163"/>
      <c r="X29" s="163"/>
      <c r="Y29" s="163"/>
      <c r="Z29" s="163"/>
      <c r="AA29" s="163">
        <f>'SCOUT &amp; LOGISTICS'!AC26</f>
        <v>0</v>
      </c>
      <c r="AB29" s="163"/>
      <c r="AC29" s="163"/>
      <c r="AD29" s="163"/>
      <c r="AE29" s="163"/>
      <c r="AF29" s="49"/>
    </row>
    <row r="30" spans="1:32" s="49" customFormat="1" ht="16" thickBot="1" x14ac:dyDescent="0.5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</row>
    <row r="31" spans="1:32" s="53" customFormat="1" ht="20.149999999999999" customHeight="1" thickBot="1" x14ac:dyDescent="0.5">
      <c r="A31" s="52"/>
      <c r="B31" s="164" t="s">
        <v>80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52"/>
    </row>
    <row r="32" spans="1:32" ht="87.65" customHeight="1" thickBot="1" x14ac:dyDescent="0.5">
      <c r="A32" s="49"/>
      <c r="B32" s="175" t="str">
        <f>IF('SCOUT &amp; LOGISTICS'!M4="","",'SCOUT &amp; LOGISTICS'!M4)</f>
        <v>Amazing job!! Keep it up!</v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49"/>
    </row>
    <row r="33" spans="1:32" ht="20.149999999999999" customHeight="1" thickBot="1" x14ac:dyDescent="0.5">
      <c r="A33" s="49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49"/>
    </row>
    <row r="34" spans="1:32" ht="20.149999999999999" customHeight="1" thickBot="1" x14ac:dyDescent="0.5">
      <c r="A34" s="49"/>
      <c r="B34" s="164" t="s">
        <v>81</v>
      </c>
      <c r="C34" s="164"/>
      <c r="D34" s="164"/>
      <c r="E34" s="164"/>
      <c r="F34" s="164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5">
      <c r="A35" s="49"/>
      <c r="B35" s="176">
        <f>'SCOUT &amp; LOGISTICS'!M7</f>
        <v>3.3395585738539899</v>
      </c>
      <c r="C35" s="176"/>
      <c r="D35" s="176"/>
      <c r="E35" s="176"/>
      <c r="F35" s="176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45">
      <c r="A36" s="49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94B102-7DC9-4A46-8ACE-E4CD5D334A2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ABCFEC9-2B70-402F-97C6-7F5F4BB6F720}"/>
</file>

<file path=customXml/itemProps3.xml><?xml version="1.0" encoding="utf-8"?>
<ds:datastoreItem xmlns:ds="http://schemas.openxmlformats.org/officeDocument/2006/customXml" ds:itemID="{52324022-03F5-4F39-9FB9-A051247771C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2025-10-01T14:13:52Z</cp:lastPrinted>
  <dcterms:created xsi:type="dcterms:W3CDTF">2023-09-19T19:50:35Z</dcterms:created>
  <dcterms:modified xsi:type="dcterms:W3CDTF">2025-10-01T14:13:55Z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