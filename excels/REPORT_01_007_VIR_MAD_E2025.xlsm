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92" documentId="8_{5A966CBB-3A2E-41F2-9E34-7A20F1A3DD68}" xr6:coauthVersionLast="47" xr6:coauthVersionMax="47" xr10:uidLastSave="{2820C21B-32C8-4978-86C4-D6090FEB401C}"/>
  <bookViews>
    <workbookView xWindow="-6345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<sst xmlns="http://schemas.openxmlformats.org/spreadsheetml/2006/main" count="325" uniqueCount="200">
  <si>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</si>
  <si>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</si>
  <si>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</si>
  <si>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</si>
  <si>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</si>
  <si>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</si>
  <si>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</si>
  <si>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</si>
  <si>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</si>
  <si>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</si>
  <si>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</si>
  <si>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</si>
  <si>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</si>
  <si>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</si>
  <si>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</si>
  <si>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</si>
  <si>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</si>
  <si>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</si>
  <si>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</si>
  <si>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</si>
  <si>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</si>
  <si>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</si>
  <si>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</si>
  <si>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</si>
  <si>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</si>
  <si>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</si>
  <si>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</si>
  <si>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</si>
  <si>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</si>
  <si>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</si>
  <si>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</si>
  <si>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</si>
  <si>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</si>
  <si>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</si>
  <si>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</si>
  <si>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</si>
  <si>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</si>
  <si>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</si>
  <si>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</si>
  <si>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</si>
  <si>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</si>
  <si>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</si>
  <si>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</si>
  <si>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</si>
  <si>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</si>
  <si>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</si>
  <si>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</si>
  <si>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</si>
  <si>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</si>
  <si>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</si>
  <si>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</si>
  <si>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</si>
  <si>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</si>
  <si>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</si>
  <si>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</si>
  <si>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</si>
  <si>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</si>
  <si>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</si>
  <si>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</si>
  <si>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</si>
  <si>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</si>
  <si>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</si>
  <si>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</si>
  <si>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</si>
  <si>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</si>
  <si>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</si>
  <si>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</si>
  <si>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</si>
  <si>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</si>
  <si>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</si>
  <si>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</si>
  <si>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</si>
  <si>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</si>
  <si>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</si>
  <si>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</si>
  <si>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</si>
  <si>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</si>
  <si>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</si>
  <si>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</si>
  <si>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</si>
  <si>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</si>
  <si>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</si>
  <si>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</si>
  <si>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</si>
  <si>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</si>
  <si>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</si>
  <si>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</si>
  <si>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</si>
  <si>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</si>
  <si>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</si>
  <si>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</si>
  <si>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</si>
  <si>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</si>
  <si>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</si>
  <si>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</si>
  <si>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</si>
  <si>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</si>
  <si>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</si>
  <si>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</si>
  <si>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</si>
  <si>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</si>
  <si>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</si>
  <si>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</si>
  <si>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</si>
  <si>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</si>
  <si>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</si>
  <si>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</si>
  <si>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</si>
  <si>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</si>
  <si>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</si>
  <si>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</si>
  <si>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</si>
  <si>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</si>
  <si>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</si>
  <si>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</si>
  <si>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</si>
  <si>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</si>
  <si>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</si>
  <si>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</si>
  <si>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</si>
  <si>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</si>
  <si>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</si>
  <si>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</si>
  <si>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</si>
  <si>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</si>
  <si>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</si>
  <si>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</si>
  <si>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</si>
  <si>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</si>
  <si>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</si>
  <si>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</si>
  <si>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</si>
  <si>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</si>
  <si>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</si>
  <si>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</si>
  <si>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</si>
  <si>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</si>
  <si>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</si>
  <si>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</si>
  <si>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</si>
  <si>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</si>
  <si>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</si>
  <si>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</si>
  <si>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</si>
  <si>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</si>
  <si>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</si>
  <si>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</si>
  <si>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</si>
  <si>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</si>
  <si>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</si>
  <si>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</si>
  <si>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</si>
  <si>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</si>
  <si>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</si>
  <si>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</si>
  <si>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</si>
  <si>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</si>
  <si>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</si>
  <si>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</si>
  <si>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</si>
  <si>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</si>
  <si>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</si>
  <si>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</si>
  <si>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</si>
  <si>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</si>
  <si>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</si>
  <si>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</si>
  <si>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</si>
  <si>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</si>
  <si>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</si>
  <si>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</si>
  <si>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</si>
  <si>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</si>
  <si>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</si>
  <si>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</si>
  <si>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</si>
  <si>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</si>
  <si>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</si>
  <si>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</si>
  <si>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</si>
  <si>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C:\Users\hector.guillen\EUROLEAGUE\EB STATS - Documents\General\SEASON 2025-26\Reports\Euroleague</t>
  </si>
  <si>
    <t>GABRIELE PAGLIARA</t>
  </si>
  <si>
    <t>SIMONE LICEN</t>
  </si>
  <si>
    <t>GIACOMO CAMPANELLA</t>
  </si>
  <si>
    <t>FRANCESCA DONNICI</t>
  </si>
  <si>
    <t>LAURA PIOMBONI</t>
  </si>
  <si>
    <t>FEDERICO GRAZI</t>
  </si>
  <si>
    <t>HECTOR GUILLEN</t>
  </si>
  <si>
    <t>5:12</t>
  </si>
  <si>
    <t>6:26</t>
  </si>
  <si>
    <t>3:21</t>
  </si>
  <si>
    <t>3:12</t>
  </si>
  <si>
    <t>9:00</t>
  </si>
  <si>
    <t>1:11</t>
  </si>
  <si>
    <t>7:27</t>
  </si>
  <si>
    <t>1:55</t>
  </si>
  <si>
    <t>Good game, remember that in case of doubt, give the assist. Keep it up!</t>
  </si>
  <si>
    <t>VIRTUS BOLOGNA</t>
  </si>
  <si>
    <t>REAL MADRID</t>
  </si>
  <si>
    <t>C:\Users\oriol.garcia\OneDrive - EUROLEAGUE\Documents\Season 25-26\Reports\Euroleague\Virtus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</si>
</sst>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88" activePane="bottomRight" state="frozen"/>
      <selection pane="topRight" activeCell="H1" sqref="H1"/>
      <selection pane="bottomLeft" activeCell="A17" sqref="A17"/>
      <selection pane="bottomRight" activeCell="N106" sqref="N10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>
        <v>0</v>
      </c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180</v>
      </c>
      <c r="L1" s="58"/>
      <c r="M1" s="63" t="s">
        <v>165</v>
      </c>
      <c r="N1" s="42" t="s">
        <v>199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178</v>
      </c>
      <c r="C2" s="55">
        <v>7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E2025007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15" t="str">
        <f>IF(ISERROR(VLOOKUP($B$2&amp;TEXT($C$2,"000"),#REF!,4,FALSE)),"",VLOOKUP($B$2&amp;TEXT($C$2,"000"),#REF!,4,FALSE))</f>
        <v/>
      </c>
      <c r="C3" s="116"/>
      <c r="D3" s="39">
        <v>541</v>
      </c>
      <c r="E3" s="29"/>
      <c r="F3" s="26">
        <f>SUBTOTAL(3,I17:I106)</f>
        <v>8</v>
      </c>
      <c r="G3" s="27">
        <f>IF(OR(D3="",D3=0),"",F3/D3)</f>
        <v>1.4787430683918669E-2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22" t="s">
        <v>86</v>
      </c>
      <c r="C4" s="123"/>
      <c r="D4" s="119" t="s">
        <v>197</v>
      </c>
      <c r="E4" s="120"/>
      <c r="F4" s="120"/>
      <c r="G4" s="121"/>
      <c r="H4" s="5"/>
      <c r="I4" s="5"/>
      <c r="J4" s="5"/>
      <c r="K4" s="5"/>
      <c r="L4" s="5"/>
      <c r="M4" s="126" t="s">
        <v>196</v>
      </c>
      <c r="N4" s="127"/>
      <c r="O4" s="2"/>
      <c r="P4" s="2"/>
      <c r="Q4" s="92" t="s">
        <v>177</v>
      </c>
      <c r="R4" s="102">
        <f>(IF(G3="",0,G3))</f>
        <v>1.4787430683918669E-2</v>
      </c>
      <c r="S4" s="69">
        <f>SUM(I13:M13)</f>
        <v>0</v>
      </c>
      <c r="T4" s="86"/>
      <c r="U4" s="69">
        <f>AC18</f>
        <v>7</v>
      </c>
      <c r="V4" s="69">
        <f>+AC22</f>
        <v>1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24" t="s">
        <v>87</v>
      </c>
      <c r="C5" s="125"/>
      <c r="D5" s="132" t="s">
        <v>198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1.478743068391867</v>
      </c>
      <c r="S5" s="78">
        <f t="shared" ref="S5" si="0">S4*S3</f>
        <v>0</v>
      </c>
      <c r="T5" s="100"/>
      <c r="U5" s="78">
        <f t="shared" ref="U5:AG5" si="1">U4*U3</f>
        <v>3.5</v>
      </c>
      <c r="V5" s="78">
        <f t="shared" si="1"/>
        <v>1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22" t="s">
        <v>95</v>
      </c>
      <c r="C6" s="123"/>
      <c r="D6" s="137" t="s">
        <v>181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52" t="s">
        <v>96</v>
      </c>
      <c r="C7" s="153"/>
      <c r="D7" s="140" t="s">
        <v>182</v>
      </c>
      <c r="E7" s="141"/>
      <c r="F7" s="141"/>
      <c r="G7" s="142"/>
      <c r="H7" s="5"/>
      <c r="I7" s="5"/>
      <c r="J7" s="5"/>
      <c r="K7" s="5"/>
      <c r="L7" s="5"/>
      <c r="M7" s="65">
        <f>Q7</f>
        <v>5.978743068391867</v>
      </c>
      <c r="N7" s="65"/>
      <c r="O7" s="2"/>
      <c r="P7" s="2"/>
      <c r="Q7" s="94">
        <f>SUM(R5,S5,AC16)</f>
        <v>5.978743068391867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24" t="s">
        <v>97</v>
      </c>
      <c r="C8" s="154"/>
      <c r="D8" s="143" t="s">
        <v>183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5.978743068391867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22" t="s">
        <v>98</v>
      </c>
      <c r="C9" s="155"/>
      <c r="D9" s="137" t="s">
        <v>184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56" t="s">
        <v>99</v>
      </c>
      <c r="C10" s="157"/>
      <c r="D10" s="146" t="s">
        <v>185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35" t="s">
        <v>108</v>
      </c>
      <c r="C11" s="136"/>
      <c r="D11" s="149" t="s">
        <v>186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35" t="s">
        <v>163</v>
      </c>
      <c r="C14" s="136"/>
      <c r="D14" s="149" t="s">
        <v>187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8</v>
      </c>
      <c r="Z16" s="98" t="s">
        <v>110</v>
      </c>
      <c r="AA16" s="83">
        <f>SUM(AA17:AA24)</f>
        <v>8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83">
        <f>SUM(AD17:AD24)</f>
        <v>45</v>
      </c>
      <c r="AE16" s="84" t="s">
        <v>42</v>
      </c>
      <c r="AF16" s="83">
        <f>SUM(AF17:AF24)</f>
        <v>7</v>
      </c>
      <c r="AG16" s="83">
        <f>SUM(AG17:AG21)</f>
        <v>8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</v>
      </c>
      <c r="D17" s="32" t="s">
        <v>188</v>
      </c>
      <c r="E17" s="33">
        <v>1</v>
      </c>
      <c r="F17" s="36">
        <v>5</v>
      </c>
      <c r="G17" s="36">
        <v>7</v>
      </c>
      <c r="H17" s="38" t="str">
        <f>IF(I17="","",$I$14)</f>
        <v>SCOUTING</v>
      </c>
      <c r="I17" s="34">
        <v>61</v>
      </c>
      <c r="J17" s="13" t="s">
        <v>4</v>
      </c>
      <c r="K17" s="13" t="s">
        <v>63</v>
      </c>
      <c r="L17" s="13" t="s">
        <v>6</v>
      </c>
      <c r="M17" s="13" t="s">
        <v>170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8</v>
      </c>
      <c r="Z17" s="113" t="s">
        <v>63</v>
      </c>
      <c r="AA17" s="70">
        <f>COUNTIF($K$17:$K$106,Z17)</f>
        <v>4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5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>E2025</v>
      </c>
      <c r="C18" s="31">
        <f t="shared" si="3"/>
        <v>7</v>
      </c>
      <c r="D18" s="32" t="s">
        <v>189</v>
      </c>
      <c r="E18" s="33">
        <v>2</v>
      </c>
      <c r="F18" s="36">
        <v>23</v>
      </c>
      <c r="G18" s="36">
        <v>23</v>
      </c>
      <c r="H18" s="38" t="str">
        <f t="shared" ref="H18:H81" si="8">IF(I18="","",$I$14)</f>
        <v>SCOUTING</v>
      </c>
      <c r="I18" s="34">
        <v>176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4</v>
      </c>
      <c r="AB18" s="74" t="s">
        <v>5</v>
      </c>
      <c r="AC18" s="69">
        <f t="shared" si="5"/>
        <v>7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3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>E2025</v>
      </c>
      <c r="C19" s="31">
        <f t="shared" si="3"/>
        <v>7</v>
      </c>
      <c r="D19" s="32" t="s">
        <v>190</v>
      </c>
      <c r="E19" s="33">
        <v>2</v>
      </c>
      <c r="F19" s="36">
        <v>32</v>
      </c>
      <c r="G19" s="36">
        <v>27</v>
      </c>
      <c r="H19" s="38" t="str">
        <f t="shared" si="8"/>
        <v>SCOUTING</v>
      </c>
      <c r="I19" s="34">
        <v>214</v>
      </c>
      <c r="J19" s="13" t="s">
        <v>4</v>
      </c>
      <c r="K19" s="13" t="s">
        <v>63</v>
      </c>
      <c r="L19" s="13" t="s">
        <v>5</v>
      </c>
      <c r="M19" s="13" t="s">
        <v>170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2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>E2025</v>
      </c>
      <c r="C20" s="31">
        <f t="shared" si="3"/>
        <v>7</v>
      </c>
      <c r="D20" s="32" t="s">
        <v>191</v>
      </c>
      <c r="E20" s="33">
        <v>2</v>
      </c>
      <c r="F20" s="36">
        <v>32</v>
      </c>
      <c r="G20" s="36">
        <v>27</v>
      </c>
      <c r="H20" s="38" t="str">
        <f t="shared" si="8"/>
        <v>SCOUTING</v>
      </c>
      <c r="I20" s="34">
        <v>218</v>
      </c>
      <c r="J20" s="13" t="s">
        <v>4</v>
      </c>
      <c r="K20" s="13" t="s">
        <v>62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2</v>
      </c>
      <c r="AG20" s="70">
        <f>COUNTIF($E$17:$E$106,$AK20)</f>
        <v>2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>E2025</v>
      </c>
      <c r="C21" s="31">
        <f t="shared" si="3"/>
        <v>7</v>
      </c>
      <c r="D21" s="32" t="s">
        <v>192</v>
      </c>
      <c r="E21" s="33">
        <v>3</v>
      </c>
      <c r="F21" s="36">
        <v>40</v>
      </c>
      <c r="G21" s="36">
        <v>35</v>
      </c>
      <c r="H21" s="38" t="str">
        <f t="shared" si="8"/>
        <v>SCOUTING</v>
      </c>
      <c r="I21" s="34">
        <v>277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>E2025</v>
      </c>
      <c r="C22" s="31">
        <f t="shared" si="3"/>
        <v>7</v>
      </c>
      <c r="D22" s="32" t="s">
        <v>193</v>
      </c>
      <c r="E22" s="33">
        <v>3</v>
      </c>
      <c r="F22" s="36">
        <v>53</v>
      </c>
      <c r="G22" s="36">
        <v>48</v>
      </c>
      <c r="H22" s="38" t="str">
        <f t="shared" si="8"/>
        <v>SCOUTING</v>
      </c>
      <c r="I22" s="34">
        <v>383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1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>E2025</v>
      </c>
      <c r="C23" s="31">
        <f t="shared" si="3"/>
        <v>7</v>
      </c>
      <c r="D23" s="32" t="s">
        <v>194</v>
      </c>
      <c r="E23" s="33">
        <v>4</v>
      </c>
      <c r="F23" s="36">
        <v>60</v>
      </c>
      <c r="G23" s="36">
        <v>54</v>
      </c>
      <c r="H23" s="38" t="str">
        <f t="shared" si="8"/>
        <v>SCOUTING</v>
      </c>
      <c r="I23" s="34">
        <v>433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>E2025</v>
      </c>
      <c r="C24" s="31">
        <f t="shared" si="3"/>
        <v>7</v>
      </c>
      <c r="D24" s="32" t="s">
        <v>195</v>
      </c>
      <c r="E24" s="33">
        <v>4</v>
      </c>
      <c r="F24" s="36">
        <v>68</v>
      </c>
      <c r="G24" s="36">
        <v>63</v>
      </c>
      <c r="H24" s="38" t="str">
        <f t="shared" si="8"/>
        <v>SCOUTING</v>
      </c>
      <c r="I24" s="34">
        <v>509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REPORT_E2025007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"E2025007"</v>
      </c>
      <c r="F3" s="46" t="str">
        <f t="shared" ref="F3:F16" si="0">""""&amp;B3&amp;"""" &amp; " : " &amp;C3&amp;","</f>
        <v>"name" : "E2025007",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"E007"</v>
      </c>
      <c r="F4" s="46" t="str">
        <f t="shared" si="0"/>
        <v>"cod" : "E007",</v>
      </c>
    </row>
    <row r="5" spans="2:6" x14ac:dyDescent="0.2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">
      <c r="B6" s="44" t="s">
        <v>118</v>
      </c>
      <c r="C6" s="44" t="str">
        <f>TEXT('SCOUT &amp; LOGISTICS'!C2,"000")</f>
        <v>007</v>
      </c>
      <c r="F6" s="46" t="str">
        <f t="shared" si="0"/>
        <v>"number" : 007,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"VIRTUS BOLOGNA"</v>
      </c>
      <c r="F8" s="46" t="str">
        <f t="shared" si="0"/>
        <v>"home_team" : "VIRTUS BOLOGNA",</v>
      </c>
    </row>
    <row r="9" spans="2:6" x14ac:dyDescent="0.2">
      <c r="B9" s="44" t="s">
        <v>126</v>
      </c>
      <c r="C9" s="44" t="str">
        <f>""""&amp;'SCOUT &amp; LOGISTICS'!D5&amp;""""</f>
        <v>"REAL MADRID"</v>
      </c>
      <c r="F9" s="46" t="str">
        <f t="shared" si="0"/>
        <v>"away_team" : "REAL MADRID",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"GABRIELE PAGLIARA"</v>
      </c>
      <c r="F10" s="46" t="str">
        <f t="shared" si="0"/>
        <v>"Data_entry" : "GABRIELE PAGLIARA",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"SIMONE LICEN"</v>
      </c>
      <c r="F11" s="46" t="str">
        <f t="shared" si="0"/>
        <v>"Caller_1" : "SIMONE LICEN",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"GIACOMO CAMPANELLA"</v>
      </c>
      <c r="F12" s="46" t="str">
        <f t="shared" si="0"/>
        <v>"Caller_2" : "GIACOMO CAMPANELLA",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"FRANCESCA DONNICI"</v>
      </c>
      <c r="F13" s="46" t="str">
        <f t="shared" si="0"/>
        <v>"Timerkeeper" : "FRANCESCA DONNICI",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"LAURA PIOMBONI"</v>
      </c>
      <c r="F14" s="46" t="str">
        <f t="shared" si="0"/>
        <v>"Shotclock" : "LAURA PIOMBONI",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"FEDERICO GRAZI"</v>
      </c>
      <c r="F15" s="46" t="str">
        <f t="shared" si="0"/>
        <v>"IRS" : "FEDERICO GRAZI",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541</v>
      </c>
      <c r="F25" s="46" t="str">
        <f t="shared" ref="F25:F48" si="1">""""&amp;C25&amp;"""" &amp; " : " &amp;D25&amp;","</f>
        <v>"total_actions" : 541,</v>
      </c>
    </row>
    <row r="26" spans="2:6" x14ac:dyDescent="0.2">
      <c r="C26" s="44" t="s">
        <v>132</v>
      </c>
      <c r="D26" s="44">
        <f>'SCOUT &amp; LOGISTICS'!F3</f>
        <v>8</v>
      </c>
      <c r="F26" s="46" t="str">
        <f t="shared" si="1"/>
        <v>"total_correcions" : 8,</v>
      </c>
    </row>
    <row r="27" spans="2:6" x14ac:dyDescent="0.2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">
      <c r="C28" s="44" t="s">
        <v>125</v>
      </c>
      <c r="D28" s="44">
        <f>IF('SCOUT &amp; LOGISTICS'!AA17="","",'SCOUT &amp; LOGISTICS'!AA17)</f>
        <v>4</v>
      </c>
      <c r="F28" s="46" t="str">
        <f t="shared" si="1"/>
        <v>"home_team" : 4,</v>
      </c>
    </row>
    <row r="29" spans="2:6" x14ac:dyDescent="0.2">
      <c r="C29" s="44" t="s">
        <v>134</v>
      </c>
      <c r="D29" s="44">
        <f>IF('SCOUT &amp; LOGISTICS'!AA18="","",'SCOUT &amp; LOGISTICS'!AA18)</f>
        <v>4</v>
      </c>
      <c r="F29" s="46" t="str">
        <f t="shared" si="1"/>
        <v>"no_team" : 4,</v>
      </c>
    </row>
    <row r="30" spans="2:6" x14ac:dyDescent="0.2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">
      <c r="C32" s="44" t="s">
        <v>136</v>
      </c>
      <c r="D32" s="44">
        <f>'SCOUT &amp; LOGISTICS'!AG18</f>
        <v>3</v>
      </c>
      <c r="F32" s="46" t="str">
        <f t="shared" si="1"/>
        <v>"q2" : 3,</v>
      </c>
    </row>
    <row r="33" spans="3:6" x14ac:dyDescent="0.2">
      <c r="C33" s="44" t="s">
        <v>137</v>
      </c>
      <c r="D33" s="44">
        <f>'SCOUT &amp; LOGISTICS'!AG19</f>
        <v>2</v>
      </c>
      <c r="F33" s="46" t="str">
        <f t="shared" si="1"/>
        <v>"q3" : 2,</v>
      </c>
    </row>
    <row r="34" spans="3:6" x14ac:dyDescent="0.2">
      <c r="C34" s="44" t="s">
        <v>138</v>
      </c>
      <c r="D34" s="44">
        <f>'SCOUT &amp; LOGISTICS'!AG20</f>
        <v>2</v>
      </c>
      <c r="F34" s="46" t="str">
        <f t="shared" si="1"/>
        <v>"q4" : 2,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8</v>
      </c>
      <c r="F37" s="46" t="str">
        <f t="shared" si="1"/>
        <v>"scoresheet_corrections" : 8,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7</v>
      </c>
      <c r="F39" s="46" t="str">
        <f t="shared" si="1"/>
        <v>"missidentity" : 7,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"Good game, remember that in case of doubt, give the assist. Keep it up!"</v>
      </c>
      <c r="F51" s="46" t="str">
        <f>""""&amp;B51&amp;"""" &amp; " : " &amp;C51&amp;","</f>
        <v>"comments" : "Good game, remember that in case of doubt, give the assist. Keep it up!",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35"/>
    <row r="2" spans="1:33" ht="42.6" customHeight="1" thickBot="1" x14ac:dyDescent="0.4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4">
      <c r="A3" s="49"/>
      <c r="B3" s="172" t="str">
        <f>"GAME: "&amp; LEFT('SCOUT &amp; LOGISTICS'!B2,1) &amp; TEXT('SCOUT &amp; LOGISTICS'!C2,"000") &amp; " " &amp; IF(LEFT('SCOUT &amp; LOGISTICS'!B2,1)="U","(EUROCUP)","(EUROLEAGUE)")</f>
        <v>GAME: E007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4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00000000000001" customHeight="1" thickBot="1" x14ac:dyDescent="0.4">
      <c r="A5" s="49"/>
      <c r="B5" s="173" t="str">
        <f>'SCOUT &amp; LOGISTICS'!D4</f>
        <v>VIRTUS BOLOGNA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REAL MADRID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" customHeight="1" thickBot="1" x14ac:dyDescent="0.4">
      <c r="A6" s="49"/>
      <c r="B6" s="176" t="str">
        <f>PROPER('SCOUT &amp; LOGISTICS'!D4)</f>
        <v>Virtus Bologna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Real Madrid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4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4">
      <c r="A8" s="49"/>
      <c r="B8" s="170" t="str">
        <f>IF('SCOUT &amp; LOGISTICS'!D6="","",'SCOUT &amp; LOGISTICS'!D6)</f>
        <v>GABRIELE PAGLIARA</v>
      </c>
      <c r="C8" s="170"/>
      <c r="D8" s="170"/>
      <c r="E8" s="170"/>
      <c r="F8" s="170"/>
      <c r="G8" s="170" t="str">
        <f>IF('SCOUT &amp; LOGISTICS'!D7="","",'SCOUT &amp; LOGISTICS'!D7)</f>
        <v>SIMONE LICEN</v>
      </c>
      <c r="H8" s="170"/>
      <c r="I8" s="170"/>
      <c r="J8" s="170"/>
      <c r="K8" s="170"/>
      <c r="L8" s="170" t="str">
        <f>IF('SCOUT &amp; LOGISTICS'!D8="","",'SCOUT &amp; LOGISTICS'!D8)</f>
        <v>GIACOMO CAMPANELLA</v>
      </c>
      <c r="M8" s="170"/>
      <c r="N8" s="170"/>
      <c r="O8" s="170"/>
      <c r="P8" s="170"/>
      <c r="Q8" s="170" t="str">
        <f>IF('SCOUT &amp; LOGISTICS'!D9="","",'SCOUT &amp; LOGISTICS'!D9)</f>
        <v>FRANCESCA DONNICI</v>
      </c>
      <c r="R8" s="170"/>
      <c r="S8" s="170"/>
      <c r="T8" s="170"/>
      <c r="U8" s="170"/>
      <c r="V8" s="170" t="str">
        <f>IF('SCOUT &amp; LOGISTICS'!D10="","",'SCOUT &amp; LOGISTICS'!D10)</f>
        <v>LAURA PIOMBONI</v>
      </c>
      <c r="W8" s="170"/>
      <c r="X8" s="170"/>
      <c r="Y8" s="170"/>
      <c r="Z8" s="170"/>
      <c r="AA8" s="170" t="str">
        <f>IF('SCOUT &amp; LOGISTICS'!D11="","",'SCOUT &amp; LOGISTICS'!D11)</f>
        <v>FEDERICO GRAZI</v>
      </c>
      <c r="AB8" s="170"/>
      <c r="AC8" s="170"/>
      <c r="AD8" s="170"/>
      <c r="AE8" s="170"/>
      <c r="AF8" s="49"/>
    </row>
    <row r="9" spans="1:33" ht="17.25" thickBot="1" x14ac:dyDescent="0.4">
      <c r="A9" s="49"/>
      <c r="B9" s="164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7.25" thickBot="1" x14ac:dyDescent="0.4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00000000000001" customHeight="1" thickBot="1" x14ac:dyDescent="0.4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4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4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7.25" thickBot="1" x14ac:dyDescent="0.4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00000000000001" customHeight="1" thickBot="1" x14ac:dyDescent="0.4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4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4">
      <c r="A17" s="49"/>
      <c r="B17" s="168">
        <f>'SCOUT &amp; LOGISTICS'!D3</f>
        <v>541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8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1.4787430683918669E-2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7.25" thickBot="1" x14ac:dyDescent="0.4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4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4">
      <c r="A20" s="49"/>
      <c r="B20" s="161">
        <f>IF('SCOUT &amp; LOGISTICS'!AA17="","",'SCOUT &amp; LOGISTICS'!AA17)</f>
        <v>4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4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4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4">
      <c r="A22" s="49"/>
      <c r="B22" s="161">
        <f>'SCOUT &amp; LOGISTICS'!AG17</f>
        <v>1</v>
      </c>
      <c r="C22" s="161"/>
      <c r="D22" s="161"/>
      <c r="E22" s="161"/>
      <c r="F22" s="161"/>
      <c r="G22" s="161"/>
      <c r="H22" s="161">
        <f>'SCOUT &amp; LOGISTICS'!AG18</f>
        <v>3</v>
      </c>
      <c r="I22" s="161"/>
      <c r="J22" s="161"/>
      <c r="K22" s="161"/>
      <c r="L22" s="161"/>
      <c r="M22" s="161"/>
      <c r="N22" s="161">
        <f>'SCOUT &amp; LOGISTICS'!AG19</f>
        <v>2</v>
      </c>
      <c r="O22" s="161"/>
      <c r="P22" s="161"/>
      <c r="Q22" s="161"/>
      <c r="R22" s="161"/>
      <c r="S22" s="161"/>
      <c r="T22" s="161">
        <f>'SCOUT &amp; LOGISTICS'!AG20</f>
        <v>2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7.25" thickBot="1" x14ac:dyDescent="0.4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4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4">
      <c r="A25" s="49"/>
      <c r="B25" s="161">
        <f>'SCOUT &amp; LOGISTICS'!Y17</f>
        <v>8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4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4">
      <c r="A27" s="49"/>
      <c r="B27" s="161">
        <f>'SCOUT &amp; LOGISTICS'!AC18</f>
        <v>7</v>
      </c>
      <c r="C27" s="161"/>
      <c r="D27" s="161"/>
      <c r="E27" s="161"/>
      <c r="F27" s="161"/>
      <c r="G27" s="161">
        <f>'SCOUT &amp; LOGISTICS'!AC22</f>
        <v>1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4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4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7.25" thickBot="1" x14ac:dyDescent="0.4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00000000000001" customHeight="1" thickBot="1" x14ac:dyDescent="0.4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" customHeight="1" thickBot="1" x14ac:dyDescent="0.4">
      <c r="A32" s="49"/>
      <c r="B32" s="159" t="str">
        <f>IF('SCOUT &amp; LOGISTICS'!M4="","",'SCOUT &amp; LOGISTICS'!M4)</f>
        <v>Good game, remember that in case of doubt, give the assist.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00000000000001" customHeight="1" thickBot="1" x14ac:dyDescent="0.4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00000000000001" customHeight="1" thickBot="1" x14ac:dyDescent="0.4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4">
      <c r="A35" s="49"/>
      <c r="B35" s="160">
        <f>'SCOUT &amp; LOGISTICS'!M7</f>
        <v>5.978743068391867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3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0EABB9-8C79-4531-A640-B54712E09A2D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E056EDFB-0CF5-4C70-A7FA-924B4DC264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FC494B-9D09-46FB-B461-422F790969A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2025-10-03T14:29:35Z</cp:lastPrinted>
  <dcterms:created xsi:type="dcterms:W3CDTF">2023-09-19T19:50:35Z</dcterms:created>
  <dcterms:modified xsi:type="dcterms:W3CDTF">2026-04-16T13:37:29Z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