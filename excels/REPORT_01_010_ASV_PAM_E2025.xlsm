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6" documentId="8_{3BF42263-3ABA-410F-AAB2-C3F077C379AE}" xr6:coauthVersionLast="47" xr6:coauthVersionMax="47" xr10:uidLastSave="{228CA84B-CDDA-4202-A782-47DC71665243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<sst xmlns="http://schemas.openxmlformats.org/spreadsheetml/2006/main" count="295" uniqueCount="193">
  <si>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</si>
  <si>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</si>
  <si>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</si>
  <si>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</si>
  <si>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</si>
  <si>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</si>
  <si>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</si>
  <si>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</si>
  <si>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</si>
  <si>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</si>
  <si>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</si>
  <si>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</si>
  <si>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</si>
  <si>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</si>
  <si>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</si>
  <si>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</si>
  <si>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</si>
  <si>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</si>
  <si>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</si>
  <si>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</si>
  <si>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</si>
  <si>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</si>
  <si>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</si>
  <si>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</si>
  <si>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</si>
  <si>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</si>
  <si>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</si>
  <si>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</si>
  <si>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</si>
  <si>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</si>
  <si>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</si>
  <si>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</si>
  <si>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</si>
  <si>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</si>
  <si>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</si>
  <si>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</si>
  <si>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</si>
  <si>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</si>
  <si>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</si>
  <si>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</si>
  <si>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</si>
  <si>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</si>
  <si>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</si>
  <si>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</si>
  <si>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</si>
  <si>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</si>
  <si>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</si>
  <si>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</si>
  <si>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</si>
  <si>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</si>
  <si>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</si>
  <si>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</si>
  <si>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</si>
  <si>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</si>
  <si>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</si>
  <si>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</si>
  <si>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</si>
  <si>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</si>
  <si>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</si>
  <si>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</si>
  <si>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</si>
  <si>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</si>
  <si>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</si>
  <si>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</si>
  <si>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</si>
  <si>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</si>
  <si>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</si>
  <si>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</si>
  <si>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</si>
  <si>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</si>
  <si>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</si>
  <si>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</si>
  <si>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</si>
  <si>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</si>
  <si>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</si>
  <si>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</si>
  <si>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</si>
  <si>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</si>
  <si>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</si>
  <si>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</si>
  <si>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</si>
  <si>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</si>
  <si>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</si>
  <si>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</si>
  <si>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</si>
  <si>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</si>
  <si>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</si>
  <si>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</si>
  <si>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</si>
  <si>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</si>
  <si>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</si>
  <si>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</si>
  <si>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</si>
  <si>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</si>
  <si>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</si>
  <si>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</si>
  <si>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</si>
  <si>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</si>
  <si>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</si>
  <si>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</si>
  <si>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</si>
  <si>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</si>
  <si>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</si>
  <si>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</si>
  <si>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</si>
  <si>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</si>
  <si>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</si>
  <si>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</si>
  <si>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</si>
  <si>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</si>
  <si>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</si>
  <si>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</si>
  <si>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</si>
  <si>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</si>
  <si>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</si>
  <si>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</si>
  <si>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</si>
  <si>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</si>
  <si>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</si>
  <si>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</si>
  <si>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</si>
  <si>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</si>
  <si>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</si>
  <si>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</si>
  <si>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</si>
  <si>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</si>
  <si>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</si>
  <si>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</si>
  <si>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</si>
  <si>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</si>
  <si>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</si>
  <si>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</si>
  <si>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</si>
  <si>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</si>
  <si>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</si>
  <si>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</si>
  <si>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</si>
  <si>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</si>
  <si>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</si>
  <si>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</si>
  <si>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</si>
  <si>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</si>
  <si>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</si>
  <si>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</si>
  <si>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</si>
  <si>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</si>
  <si>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</si>
  <si>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</si>
  <si>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</si>
  <si>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</si>
  <si>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</si>
  <si>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</si>
  <si>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</si>
  <si>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</si>
  <si>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</si>
  <si>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</si>
  <si>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</si>
  <si>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</si>
  <si>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</si>
  <si>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</si>
  <si>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</si>
  <si>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</si>
  <si>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</si>
  <si>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</si>
  <si>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</si>
  <si>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</si>
  <si>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</si>
  <si>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</si>
  <si>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</si>
  <si>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</si>
  <si>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</si>
  <si>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</si>
  <si>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</si>
  <si>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</si>
  <si>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</si>
  <si>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</si>
  <si>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</si>
  <si>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</si>
  <si>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</si>
  <si>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</si>
  <si>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OLIVIER JAUFFRES</t>
  </si>
  <si>
    <t>FLORENT BOITON</t>
  </si>
  <si>
    <t>STEPHANE DURIEUX</t>
  </si>
  <si>
    <t>ANGELINE BLOT</t>
  </si>
  <si>
    <t>HUGO MARTIN</t>
  </si>
  <si>
    <t>YOHAN STROBEL</t>
  </si>
  <si>
    <t>HECTOR GUILLEN</t>
  </si>
  <si>
    <t>4:37</t>
  </si>
  <si>
    <t>1:05</t>
  </si>
  <si>
    <t>Very good game. Keep it up!</t>
  </si>
  <si>
    <t>LDLC ASVEL Villerbaunne</t>
  </si>
  <si>
    <t>Valencia Basket</t>
  </si>
  <si>
    <t>C:\Users\hector.guillen\EUROLEAGUE\EB STATS - Documents\General\SEASON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</si>
</sst>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" sqref="N1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192</v>
      </c>
      <c r="L1" s="58"/>
      <c r="M1" s="63" t="s">
        <v>165</v>
      </c>
      <c r="N1" s="42" t="s">
        <v>192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10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E2025010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661</v>
      </c>
      <c r="E3" s="29"/>
      <c r="F3" s="26">
        <f>SUBTOTAL(3,I17:I106)</f>
        <v>2</v>
      </c>
      <c r="G3" s="27">
        <f>IF(OR(D3="",D3=0),"",F3/D3)</f>
        <v>3.0257186081694403E-3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190</v>
      </c>
      <c r="E4" s="120"/>
      <c r="F4" s="120"/>
      <c r="G4" s="121"/>
      <c r="H4" s="5"/>
      <c r="I4" s="5"/>
      <c r="J4" s="5"/>
      <c r="K4" s="5"/>
      <c r="L4" s="5"/>
      <c r="M4" s="126" t="s">
        <v>189</v>
      </c>
      <c r="N4" s="127"/>
      <c r="O4" s="2"/>
      <c r="P4" s="2"/>
      <c r="Q4" s="92" t="s">
        <v>177</v>
      </c>
      <c r="R4" s="102">
        <f>(IF(G3="",0,G3))</f>
        <v>3.0257186081694403E-3</v>
      </c>
      <c r="S4" s="69">
        <f>SUM(I13:M13)</f>
        <v>0</v>
      </c>
      <c r="T4" s="86"/>
      <c r="U4" s="69">
        <f>AC18</f>
        <v>2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191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0.30257186081694404</v>
      </c>
      <c r="S5" s="78">
        <f t="shared" ref="S5" si="0">S4*S3</f>
        <v>0</v>
      </c>
      <c r="T5" s="100"/>
      <c r="U5" s="78">
        <f t="shared" ref="U5:AG5" si="1">U4*U3</f>
        <v>1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180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181</v>
      </c>
      <c r="E7" s="141"/>
      <c r="F7" s="141"/>
      <c r="G7" s="142"/>
      <c r="H7" s="5"/>
      <c r="I7" s="5"/>
      <c r="J7" s="5"/>
      <c r="K7" s="5"/>
      <c r="L7" s="5"/>
      <c r="M7" s="65">
        <f>Q7</f>
        <v>1.3025718608169441</v>
      </c>
      <c r="N7" s="65"/>
      <c r="O7" s="2"/>
      <c r="P7" s="2"/>
      <c r="Q7" s="94">
        <f>SUM(R5,S5,AC16)</f>
        <v>1.3025718608169441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182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1.3025718608169441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183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184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 t="s">
        <v>185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10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186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2</v>
      </c>
      <c r="Z16" s="98" t="s">
        <v>110</v>
      </c>
      <c r="AA16" s="83">
        <f>SUM(AA17:AA24)</f>
        <v>2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83">
        <f>SUM(AD17:AD24)</f>
        <v>45</v>
      </c>
      <c r="AE16" s="84" t="s">
        <v>42</v>
      </c>
      <c r="AF16" s="83">
        <f>SUM(AF17:AF24)</f>
        <v>1</v>
      </c>
      <c r="AG16" s="83">
        <f>SUM(AG17:AG21)</f>
        <v>2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10</v>
      </c>
      <c r="D17" s="32" t="s">
        <v>187</v>
      </c>
      <c r="E17" s="33">
        <v>2</v>
      </c>
      <c r="F17" s="36">
        <v>24</v>
      </c>
      <c r="G17" s="36">
        <v>29</v>
      </c>
      <c r="H17" s="38" t="str">
        <f>IF(I17="","",$I$14)</f>
        <v>SCOUTING</v>
      </c>
      <c r="I17" s="34">
        <v>223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2</v>
      </c>
      <c r="Z17" s="113" t="s">
        <v>63</v>
      </c>
      <c r="AA17" s="70">
        <f>COUNTIF($K$17:$K$106,Z17)</f>
        <v>1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0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10</v>
      </c>
      <c r="D18" s="32" t="s">
        <v>188</v>
      </c>
      <c r="E18" s="33">
        <v>3</v>
      </c>
      <c r="F18" s="36">
        <v>56</v>
      </c>
      <c r="G18" s="36">
        <v>57</v>
      </c>
      <c r="H18" s="38" t="str">
        <f t="shared" ref="H18:H81" si="8">IF(I18="","",$I$14)</f>
        <v>SCOUTING</v>
      </c>
      <c r="I18" s="34">
        <v>460</v>
      </c>
      <c r="J18" s="13" t="s">
        <v>4</v>
      </c>
      <c r="K18" s="13" t="s">
        <v>63</v>
      </c>
      <c r="L18" s="13" t="s">
        <v>5</v>
      </c>
      <c r="M18" s="13" t="s">
        <v>170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1</v>
      </c>
      <c r="AB18" s="74" t="s">
        <v>5</v>
      </c>
      <c r="AC18" s="69">
        <f t="shared" si="5"/>
        <v>2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1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1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1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0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1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B6" sqref="B6:P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REPORT_E2025010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"E2025010"</v>
      </c>
      <c r="F3" s="46" t="str">
        <f t="shared" ref="F3:F16" si="0">""""&amp;B3&amp;"""" &amp; " : " &amp;C3&amp;","</f>
        <v>"name" : "E2025010",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"E010"</v>
      </c>
      <c r="F4" s="46" t="str">
        <f t="shared" si="0"/>
        <v>"cod" : "E010",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010</v>
      </c>
      <c r="F6" s="46" t="str">
        <f t="shared" si="0"/>
        <v>"number" : 010,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"LDLC ASVEL Villerbaunne"</v>
      </c>
      <c r="F8" s="46" t="str">
        <f t="shared" si="0"/>
        <v>"home_team" : "LDLC ASVEL Villerbaunne",</v>
      </c>
    </row>
    <row r="9" spans="2:6" x14ac:dyDescent="0.25">
      <c r="B9" s="44" t="s">
        <v>126</v>
      </c>
      <c r="C9" s="44" t="str">
        <f>""""&amp;'SCOUT &amp; LOGISTICS'!D5&amp;""""</f>
        <v>"Valencia Basket"</v>
      </c>
      <c r="F9" s="46" t="str">
        <f t="shared" si="0"/>
        <v>"away_team" : "Valencia Basket",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"OLIVIER JAUFFRES"</v>
      </c>
      <c r="F10" s="46" t="str">
        <f t="shared" si="0"/>
        <v>"Data_entry" : "OLIVIER JAUFFRES",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"FLORENT BOITON"</v>
      </c>
      <c r="F11" s="46" t="str">
        <f t="shared" si="0"/>
        <v>"Caller_1" : "FLORENT BOITON",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"STEPHANE DURIEUX"</v>
      </c>
      <c r="F12" s="46" t="str">
        <f t="shared" si="0"/>
        <v>"Caller_2" : "STEPHANE DURIEUX",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"ANGELINE BLOT"</v>
      </c>
      <c r="F13" s="46" t="str">
        <f t="shared" si="0"/>
        <v>"Timerkeeper" : "ANGELINE BLOT",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"HUGO MARTIN"</v>
      </c>
      <c r="F14" s="46" t="str">
        <f t="shared" si="0"/>
        <v>"Shotclock" : "HUGO MARTIN",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"YOHAN STROBEL"</v>
      </c>
      <c r="F15" s="46" t="str">
        <f t="shared" si="0"/>
        <v>"IRS" : "YOHAN STROBEL",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661</v>
      </c>
      <c r="F25" s="46" t="str">
        <f t="shared" ref="F25:F48" si="1">""""&amp;C25&amp;"""" &amp; " : " &amp;D25&amp;","</f>
        <v>"total_actions" : 661,</v>
      </c>
    </row>
    <row r="26" spans="2:6" x14ac:dyDescent="0.25">
      <c r="C26" s="44" t="s">
        <v>132</v>
      </c>
      <c r="D26" s="44">
        <f>'SCOUT &amp; LOGISTICS'!F3</f>
        <v>2</v>
      </c>
      <c r="F26" s="46" t="str">
        <f t="shared" si="1"/>
        <v>"total_correcions" : 2,</v>
      </c>
    </row>
    <row r="27" spans="2:6" x14ac:dyDescent="0.25">
      <c r="C27" s="44" t="s">
        <v>133</v>
      </c>
      <c r="D27" s="44" t="str">
        <f>""""&amp;IF(OR(D25="",D25=0),"",TEXT(D26/D25,"0,0%"))&amp;""""</f>
        <v>"00%"</v>
      </c>
      <c r="F27" s="46" t="str">
        <f t="shared" si="1"/>
        <v>"%_corrections" : "00%",</v>
      </c>
    </row>
    <row r="28" spans="2:6" x14ac:dyDescent="0.25">
      <c r="C28" s="44" t="s">
        <v>125</v>
      </c>
      <c r="D28" s="44">
        <f>IF('SCOUT &amp; LOGISTICS'!AA17="","",'SCOUT &amp; LOGISTICS'!AA17)</f>
        <v>1</v>
      </c>
      <c r="F28" s="46" t="str">
        <f t="shared" si="1"/>
        <v>"home_team" : 1,</v>
      </c>
    </row>
    <row r="29" spans="2:6" x14ac:dyDescent="0.25">
      <c r="C29" s="44" t="s">
        <v>134</v>
      </c>
      <c r="D29" s="44">
        <f>IF('SCOUT &amp; LOGISTICS'!AA18="","",'SCOUT &amp; LOGISTICS'!AA18)</f>
        <v>1</v>
      </c>
      <c r="F29" s="46" t="str">
        <f t="shared" si="1"/>
        <v>"no_team" : 1,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5">
      <c r="C32" s="44" t="s">
        <v>136</v>
      </c>
      <c r="D32" s="44">
        <f>'SCOUT &amp; LOGISTICS'!AG18</f>
        <v>1</v>
      </c>
      <c r="F32" s="46" t="str">
        <f t="shared" si="1"/>
        <v>"q2" : 1,</v>
      </c>
    </row>
    <row r="33" spans="3:6" x14ac:dyDescent="0.25">
      <c r="C33" s="44" t="s">
        <v>137</v>
      </c>
      <c r="D33" s="44">
        <f>'SCOUT &amp; LOGISTICS'!AG19</f>
        <v>1</v>
      </c>
      <c r="F33" s="46" t="str">
        <f t="shared" si="1"/>
        <v>"q3" : 1,</v>
      </c>
    </row>
    <row r="34" spans="3:6" x14ac:dyDescent="0.25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2</v>
      </c>
      <c r="F37" s="46" t="str">
        <f t="shared" si="1"/>
        <v>"scoresheet_corrections" : 2,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2</v>
      </c>
      <c r="F39" s="46" t="str">
        <f t="shared" si="1"/>
        <v>"missidentity" : 2,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game. Keep it up!"</v>
      </c>
      <c r="F51" s="46" t="str">
        <f>""""&amp;B51&amp;"""" &amp; " : " &amp;C51&amp;","</f>
        <v>"comments" : "Very good game. Keep it up!",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topLeftCell="A3" zoomScale="120" zoomScaleNormal="120" workbookViewId="0">
      <selection activeCell="B6" sqref="B6:P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3">
      <c r="A3" s="49"/>
      <c r="B3" s="172" t="str">
        <f>"GAME: "&amp; LEFT('SCOUT &amp; LOGISTICS'!B2,1) &amp; TEXT('SCOUT &amp; LOGISTICS'!C2,"000") &amp; " " &amp; IF(LEFT('SCOUT &amp; LOGISTICS'!B2,1)="U","(EUROCUP)","(EUROLEAGUE)")</f>
        <v>GAME: E010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3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3">
      <c r="A5" s="49"/>
      <c r="B5" s="173" t="str">
        <f>'SCOUT &amp; LOGISTICS'!D4</f>
        <v>LDLC ASVEL Villerbaunne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Valencia Basket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3">
      <c r="A6" s="49"/>
      <c r="B6" s="176" t="str">
        <f>PROPER('SCOUT &amp; LOGISTICS'!D4)</f>
        <v>Ldlc Asvel Villerbaunne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Valencia Basket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3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3">
      <c r="A8" s="49"/>
      <c r="B8" s="170" t="str">
        <f>IF('SCOUT &amp; LOGISTICS'!D6="","",'SCOUT &amp; LOGISTICS'!D6)</f>
        <v>OLIVIER JAUFFRES</v>
      </c>
      <c r="C8" s="170"/>
      <c r="D8" s="170"/>
      <c r="E8" s="170"/>
      <c r="F8" s="170"/>
      <c r="G8" s="170" t="str">
        <f>IF('SCOUT &amp; LOGISTICS'!D7="","",'SCOUT &amp; LOGISTICS'!D7)</f>
        <v>FLORENT BOITON</v>
      </c>
      <c r="H8" s="170"/>
      <c r="I8" s="170"/>
      <c r="J8" s="170"/>
      <c r="K8" s="170"/>
      <c r="L8" s="170" t="str">
        <f>IF('SCOUT &amp; LOGISTICS'!D8="","",'SCOUT &amp; LOGISTICS'!D8)</f>
        <v>STEPHANE DURIEUX</v>
      </c>
      <c r="M8" s="170"/>
      <c r="N8" s="170"/>
      <c r="O8" s="170"/>
      <c r="P8" s="170"/>
      <c r="Q8" s="170" t="str">
        <f>IF('SCOUT &amp; LOGISTICS'!D9="","",'SCOUT &amp; LOGISTICS'!D9)</f>
        <v>ANGELINE BLOT</v>
      </c>
      <c r="R8" s="170"/>
      <c r="S8" s="170"/>
      <c r="T8" s="170"/>
      <c r="U8" s="170"/>
      <c r="V8" s="170" t="str">
        <f>IF('SCOUT &amp; LOGISTICS'!D10="","",'SCOUT &amp; LOGISTICS'!D10)</f>
        <v>HUGO MARTIN</v>
      </c>
      <c r="W8" s="170"/>
      <c r="X8" s="170"/>
      <c r="Y8" s="170"/>
      <c r="Z8" s="170"/>
      <c r="AA8" s="170" t="str">
        <f>IF('SCOUT &amp; LOGISTICS'!D11="","",'SCOUT &amp; LOGISTICS'!D11)</f>
        <v>YOHAN STROBEL</v>
      </c>
      <c r="AB8" s="170"/>
      <c r="AC8" s="170"/>
      <c r="AD8" s="170"/>
      <c r="AE8" s="170"/>
      <c r="AF8" s="49"/>
    </row>
    <row r="9" spans="1:33" ht="13" thickBot="1" x14ac:dyDescent="0.3">
      <c r="A9" s="49"/>
      <c r="B9" s="164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" thickBot="1" x14ac:dyDescent="0.3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3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" thickBot="1" x14ac:dyDescent="0.3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3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8">
        <f>'SCOUT &amp; LOGISTICS'!D3</f>
        <v>661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2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3.0257186081694403E-3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" thickBot="1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1">
        <f>IF('SCOUT &amp; LOGISTICS'!AA17="","",'SCOUT &amp; LOGISTICS'!AA17)</f>
        <v>1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1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1">
        <f>'SCOUT &amp; LOGISTICS'!AG17</f>
        <v>0</v>
      </c>
      <c r="C22" s="161"/>
      <c r="D22" s="161"/>
      <c r="E22" s="161"/>
      <c r="F22" s="161"/>
      <c r="G22" s="161"/>
      <c r="H22" s="161">
        <f>'SCOUT &amp; LOGISTICS'!AG18</f>
        <v>1</v>
      </c>
      <c r="I22" s="161"/>
      <c r="J22" s="161"/>
      <c r="K22" s="161"/>
      <c r="L22" s="161"/>
      <c r="M22" s="161"/>
      <c r="N22" s="161">
        <f>'SCOUT &amp; LOGISTICS'!AG19</f>
        <v>1</v>
      </c>
      <c r="O22" s="161"/>
      <c r="P22" s="161"/>
      <c r="Q22" s="161"/>
      <c r="R22" s="161"/>
      <c r="S22" s="161"/>
      <c r="T22" s="161">
        <f>'SCOUT &amp; LOGISTICS'!AG20</f>
        <v>0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" thickBot="1" x14ac:dyDescent="0.3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1">
        <f>'SCOUT &amp; LOGISTICS'!Y17</f>
        <v>2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1">
        <f>'SCOUT &amp; LOGISTICS'!AC18</f>
        <v>2</v>
      </c>
      <c r="C27" s="161"/>
      <c r="D27" s="161"/>
      <c r="E27" s="161"/>
      <c r="F27" s="161"/>
      <c r="G27" s="161">
        <f>'SCOUT &amp; LOGISTICS'!AC22</f>
        <v>0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" thickBot="1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3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3">
      <c r="A32" s="49"/>
      <c r="B32" s="159" t="str">
        <f>IF('SCOUT &amp; LOGISTICS'!M4="","",'SCOUT &amp; LOGISTICS'!M4)</f>
        <v>Very good game.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3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3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60">
        <f>'SCOUT &amp; LOGISTICS'!M7</f>
        <v>1.3025718608169441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BD9EA82-1626-47AC-848A-985A2B7C0A5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E13EB27-F6D3-4EA0-931A-1A11F740B6E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88F85A-6525-4F28-9E28-A42AB5537C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2025-09-14T09:53:19Z</cp:lastPrinted>
  <dcterms:created xsi:type="dcterms:W3CDTF">2023-09-19T19:50:35Z</dcterms:created>
  <dcterms:modified xsi:type="dcterms:W3CDTF">2025-10-03T15:51:58Z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