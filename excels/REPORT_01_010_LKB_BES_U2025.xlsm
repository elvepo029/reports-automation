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88" documentId="8_{6BE7879E-46D2-4EF5-965A-C80EB6609BC1}" xr6:coauthVersionLast="47" xr6:coauthVersionMax="47" xr10:uidLastSave="{8CA75385-E457-4513-9F64-74C3A9B33FB2}"/>
  <bookViews>
    <workbookView xWindow="-60" yWindow="-16320" windowWidth="29040" windowHeight="15720" xr2:uid="{00000000-000D-0000-FFFF-FFFF00000000}"/>
  </bookViews>
  <sheets>
    <sheet name="SCOUT &amp; LOGISTICS" sheetId="1" r:id="rId1"/>
    <sheet name="json" sheetId="4" state="hidden" r:id="rId2"/>
    <sheet name="Report" sheetId="2" state="hidden" r:id="rId3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5" i="2" l="1"/>
  <c r="B5" i="2"/>
  <c r="V3" i="1"/>
  <c r="U3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AD18" i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V27" i="2" l="1"/>
  <c r="Q27" i="2"/>
  <c r="Q29" i="2"/>
  <c r="AA27" i="2"/>
  <c r="V29" i="2"/>
  <c r="AF5" i="1"/>
  <c r="AE5" i="1"/>
  <c r="AD5" i="1"/>
  <c r="K2" i="1" l="1"/>
  <c r="C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B3" i="1"/>
  <c r="C7" i="4" s="1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M2" i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B4" i="2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<sst xmlns="http://schemas.openxmlformats.org/spreadsheetml/2006/main" count="321" uniqueCount="198">
  <si>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</si>
  <si>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</si>
  <si>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</si>
  <si>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</si>
  <si>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</si>
  <si>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</si>
  <si>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</si>
  <si>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</si>
  <si>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</si>
  <si>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</si>
  <si>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</si>
  <si>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</si>
  <si>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</si>
  <si>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</si>
  <si>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</si>
  <si>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</si>
  <si>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</si>
  <si>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</si>
  <si>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</si>
  <si>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</si>
  <si>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</si>
  <si>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</si>
  <si>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</si>
  <si>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</si>
  <si>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</si>
  <si>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</si>
  <si>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</si>
  <si>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</si>
  <si>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</si>
  <si>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</si>
  <si>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</si>
  <si>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</si>
  <si>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</si>
  <si>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</si>
  <si>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</si>
  <si>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</si>
  <si>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</si>
  <si>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</si>
  <si>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</si>
  <si>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</si>
  <si>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</si>
  <si>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</si>
  <si>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</si>
  <si>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</si>
  <si>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</si>
  <si>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</si>
  <si>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</si>
  <si>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</si>
  <si>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</si>
  <si>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</si>
  <si>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</si>
  <si>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</si>
  <si>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</si>
  <si>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</si>
  <si>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</si>
  <si>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</si>
  <si>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</si>
  <si>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</si>
  <si>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</si>
  <si>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</si>
  <si>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</si>
  <si>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</si>
  <si>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</si>
  <si>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</si>
  <si>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</si>
  <si>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</si>
  <si>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</si>
  <si>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</si>
  <si>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</si>
  <si>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</si>
  <si>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</si>
  <si>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</si>
  <si>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</si>
  <si>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</si>
  <si>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</si>
  <si>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</si>
  <si>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</si>
  <si>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</si>
  <si>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</si>
  <si>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</si>
  <si>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</si>
  <si>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</si>
  <si>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</si>
  <si>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</si>
  <si>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</si>
  <si>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</si>
  <si>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</si>
  <si>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</si>
  <si>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</si>
  <si>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</si>
  <si>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</si>
  <si>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</si>
  <si>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</si>
  <si>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</si>
  <si>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</si>
  <si>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</si>
  <si>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</si>
  <si>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</si>
  <si>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</si>
  <si>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</si>
  <si>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</si>
  <si>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</si>
  <si>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</si>
  <si>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</si>
  <si>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</si>
  <si>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</si>
  <si>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</si>
  <si>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</si>
  <si>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</si>
  <si>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</si>
  <si>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</si>
  <si>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</si>
  <si>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</si>
  <si>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</si>
  <si>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</si>
  <si>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</si>
  <si>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</si>
  <si>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</si>
  <si>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</si>
  <si>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</si>
  <si>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</si>
  <si>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</si>
  <si>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</si>
  <si>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</si>
  <si>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</si>
  <si>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</si>
  <si>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</si>
  <si>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</si>
  <si>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</si>
  <si>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</si>
  <si>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</si>
  <si>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</si>
  <si>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</si>
  <si>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</si>
  <si>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</si>
  <si>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</si>
  <si>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</si>
  <si>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</si>
  <si>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</si>
  <si>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</si>
  <si>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</si>
  <si>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</si>
  <si>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</si>
  <si>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</si>
  <si>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</si>
  <si>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</si>
  <si>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</si>
  <si>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</si>
  <si>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</si>
  <si>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</si>
  <si>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</si>
  <si>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</si>
  <si>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</si>
  <si>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</si>
  <si>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</si>
  <si>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</si>
  <si>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</si>
  <si>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</si>
  <si>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</si>
  <si>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</si>
  <si>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</si>
  <si>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</si>
  <si>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>ROUTE FILE:</t>
  </si>
  <si>
    <t xml:space="preserve">L G M: </t>
  </si>
  <si>
    <t>COMMENTARY for the TEAM</t>
  </si>
  <si>
    <t>ROUTE DOCS: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</si>
  <si>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</si>
  <si>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</si>
  <si>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</si>
  <si>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</si>
  <si>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</si>
  <si>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</si>
  <si>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</si>
  <si>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</si>
  <si>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</si>
  <si>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</si>
  <si>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</si>
  <si>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</si>
  <si>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C:\Temp</t>
  </si>
  <si>
    <t>U2025</t>
  </si>
  <si>
    <t>ELOI VERGÉ</t>
  </si>
  <si>
    <t>C:\Users\eloi.verge\OneDrive - EUROLEAGUE\Desktop\GAME REPORT</t>
  </si>
  <si>
    <t>Lietkabelis Panevezys</t>
  </si>
  <si>
    <t>Besiktas GAIN Istanbul</t>
  </si>
  <si>
    <t>DOVILE RUSONYTE</t>
  </si>
  <si>
    <t>RASA KIZIKAITE</t>
  </si>
  <si>
    <t>AUKSE ZAKRIENE</t>
  </si>
  <si>
    <t>GINTARE BUKARTAITE</t>
  </si>
  <si>
    <t>VIDAS MACYS</t>
  </si>
  <si>
    <t xml:space="preserve">Very good job! Just a little reminder to wait for the green button to appear on the end screen before sending end game. </t>
  </si>
  <si>
    <t>09:34</t>
  </si>
  <si>
    <t>plus the posterior fould drawn</t>
  </si>
  <si>
    <t>plus the posterior steal</t>
  </si>
  <si>
    <t>08:07</t>
  </si>
  <si>
    <t>03:24</t>
  </si>
  <si>
    <t>08:33</t>
  </si>
  <si>
    <t>07:29</t>
  </si>
  <si>
    <t>06:05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</si>
</sst>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4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10"/>
      <color theme="5" tint="0.3999755851924192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</borders>
  <cellStyleXfs count="1">
    <xf numFmtId="0" fontId="0" fillId="0" borderId="0"/>
  </cellStyleXfs>
  <cellXfs count="177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8" borderId="10" xfId="0" applyNumberFormat="1" applyFont="1" applyFill="1" applyBorder="1" applyAlignment="1">
      <alignment horizontal="centerContinuous" vertical="center"/>
    </xf>
    <xf numFmtId="164" fontId="9" fillId="8" borderId="11" xfId="0" applyNumberFormat="1" applyFont="1" applyFill="1" applyBorder="1" applyAlignment="1">
      <alignment horizontal="centerContinuous" vertical="center"/>
    </xf>
    <xf numFmtId="164" fontId="9" fillId="8" borderId="9" xfId="0" applyNumberFormat="1" applyFont="1" applyFill="1" applyBorder="1" applyAlignment="1">
      <alignment horizontal="centerContinuous" vertical="center"/>
    </xf>
    <xf numFmtId="0" fontId="5" fillId="10" borderId="7" xfId="0" applyFont="1" applyFill="1" applyBorder="1" applyAlignment="1" applyProtection="1">
      <alignment horizontal="center" vertical="center"/>
      <protection locked="0"/>
    </xf>
    <xf numFmtId="0" fontId="5" fillId="12" borderId="12" xfId="0" applyFont="1" applyFill="1" applyBorder="1" applyAlignment="1" applyProtection="1">
      <alignment horizontal="center" vertical="center"/>
      <protection locked="0"/>
    </xf>
    <xf numFmtId="0" fontId="5" fillId="12" borderId="1" xfId="0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3" borderId="3" xfId="0" applyFont="1" applyFill="1" applyBorder="1" applyAlignment="1">
      <alignment horizontal="center" vertical="center"/>
    </xf>
    <xf numFmtId="165" fontId="6" fillId="13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3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10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9" borderId="7" xfId="0" applyFont="1" applyFill="1" applyBorder="1" applyAlignment="1">
      <alignment horizontal="center" vertical="center" wrapText="1"/>
    </xf>
    <xf numFmtId="0" fontId="9" fillId="14" borderId="10" xfId="0" applyFont="1" applyFill="1" applyBorder="1" applyAlignment="1" applyProtection="1">
      <alignment horizontal="center" vertical="center"/>
      <protection locked="0"/>
    </xf>
    <xf numFmtId="0" fontId="5" fillId="9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11" borderId="4" xfId="0" applyFont="1" applyFill="1" applyBorder="1" applyAlignment="1" applyProtection="1">
      <alignment horizontal="left" vertical="center"/>
      <protection locked="0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4" borderId="0" xfId="0" applyFont="1" applyFill="1" applyAlignment="1" applyProtection="1">
      <alignment horizontal="left" vertical="center"/>
      <protection hidden="1"/>
    </xf>
    <xf numFmtId="0" fontId="19" fillId="14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1" borderId="0" xfId="0" applyFont="1" applyFill="1" applyProtection="1">
      <protection hidden="1"/>
    </xf>
    <xf numFmtId="164" fontId="7" fillId="6" borderId="34" xfId="0" applyNumberFormat="1" applyFont="1" applyFill="1" applyBorder="1" applyAlignment="1">
      <alignment horizontal="center" vertical="center"/>
    </xf>
    <xf numFmtId="164" fontId="7" fillId="6" borderId="35" xfId="0" applyNumberFormat="1" applyFont="1" applyFill="1" applyBorder="1" applyAlignment="1">
      <alignment horizontal="center" vertical="center"/>
    </xf>
    <xf numFmtId="0" fontId="20" fillId="11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25" fillId="14" borderId="31" xfId="0" applyFont="1" applyFill="1" applyBorder="1" applyAlignment="1" applyProtection="1">
      <alignment horizontal="center" vertical="center"/>
      <protection locked="0"/>
    </xf>
    <xf numFmtId="164" fontId="25" fillId="14" borderId="32" xfId="0" applyNumberFormat="1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>
      <alignment horizontal="right" vertical="center"/>
    </xf>
    <xf numFmtId="0" fontId="5" fillId="11" borderId="10" xfId="0" applyFont="1" applyFill="1" applyBorder="1" applyAlignment="1" applyProtection="1">
      <alignment horizontal="left" vertical="center"/>
      <protection locked="0"/>
    </xf>
    <xf numFmtId="0" fontId="5" fillId="11" borderId="9" xfId="0" applyFont="1" applyFill="1" applyBorder="1" applyAlignment="1" applyProtection="1">
      <alignment horizontal="left" vertical="center"/>
      <protection locked="0"/>
    </xf>
    <xf numFmtId="0" fontId="35" fillId="3" borderId="0" xfId="0" applyFont="1" applyFill="1" applyAlignment="1">
      <alignment horizontal="left" vertical="center"/>
    </xf>
    <xf numFmtId="0" fontId="5" fillId="3" borderId="10" xfId="0" applyFont="1" applyFill="1" applyBorder="1" applyAlignment="1">
      <alignment horizontal="center" vertical="center" wrapText="1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right" vertical="center"/>
      <protection hidden="1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6" fillId="3" borderId="2" xfId="0" applyFont="1" applyFill="1" applyBorder="1" applyAlignment="1">
      <alignment horizontal="left" vertical="center"/>
    </xf>
    <xf numFmtId="0" fontId="36" fillId="14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8" fillId="0" borderId="0" xfId="0" applyFont="1"/>
    <xf numFmtId="0" fontId="39" fillId="0" borderId="0" xfId="0" applyFont="1"/>
    <xf numFmtId="0" fontId="40" fillId="5" borderId="0" xfId="0" applyFont="1" applyFill="1" applyAlignment="1">
      <alignment horizontal="center" vertical="center"/>
    </xf>
    <xf numFmtId="0" fontId="40" fillId="5" borderId="0" xfId="0" applyFont="1" applyFill="1" applyAlignment="1">
      <alignment horizontal="left" vertical="center"/>
    </xf>
    <xf numFmtId="0" fontId="14" fillId="11" borderId="0" xfId="0" applyFont="1" applyFill="1" applyAlignment="1">
      <alignment horizontal="center" vertical="center"/>
    </xf>
    <xf numFmtId="0" fontId="39" fillId="0" borderId="0" xfId="0" applyFont="1" applyAlignment="1">
      <alignment horizontal="left"/>
    </xf>
    <xf numFmtId="0" fontId="39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2" fillId="0" borderId="0" xfId="0" applyFont="1"/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43" fillId="5" borderId="0" xfId="0" applyFont="1" applyFill="1" applyAlignment="1">
      <alignment horizontal="center" vertical="center"/>
    </xf>
    <xf numFmtId="0" fontId="14" fillId="11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9" fillId="0" borderId="0" xfId="0" applyFont="1" applyAlignment="1">
      <alignment horizontal="center"/>
    </xf>
    <xf numFmtId="0" fontId="37" fillId="5" borderId="0" xfId="0" applyFont="1" applyFill="1" applyAlignment="1">
      <alignment horizontal="center" vertical="center"/>
    </xf>
    <xf numFmtId="0" fontId="37" fillId="0" borderId="0" xfId="0" applyFont="1" applyAlignment="1">
      <alignment horizontal="right" vertical="center"/>
    </xf>
    <xf numFmtId="0" fontId="40" fillId="0" borderId="0" xfId="0" applyFont="1" applyAlignment="1">
      <alignment horizontal="center" vertical="center"/>
    </xf>
    <xf numFmtId="0" fontId="37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17" fillId="19" borderId="0" xfId="0" applyFont="1" applyFill="1" applyAlignment="1">
      <alignment horizontal="center" vertical="center"/>
    </xf>
    <xf numFmtId="0" fontId="44" fillId="0" borderId="0" xfId="0" applyFont="1"/>
    <xf numFmtId="0" fontId="46" fillId="0" borderId="0" xfId="0" applyFont="1"/>
    <xf numFmtId="0" fontId="45" fillId="0" borderId="0" xfId="0" applyFont="1" applyAlignment="1">
      <alignment horizontal="center" vertical="center"/>
    </xf>
    <xf numFmtId="0" fontId="45" fillId="11" borderId="0" xfId="0" applyFont="1" applyFill="1" applyAlignment="1">
      <alignment horizontal="center" vertical="center"/>
    </xf>
    <xf numFmtId="0" fontId="24" fillId="0" borderId="0" xfId="0" applyFont="1"/>
    <xf numFmtId="0" fontId="41" fillId="0" borderId="0" xfId="0" applyFont="1" applyAlignment="1">
      <alignment horizontal="center"/>
    </xf>
    <xf numFmtId="0" fontId="47" fillId="20" borderId="0" xfId="0" applyFont="1" applyFill="1" applyAlignment="1">
      <alignment horizontal="center" vertical="center"/>
    </xf>
    <xf numFmtId="0" fontId="48" fillId="20" borderId="0" xfId="0" applyFont="1" applyFill="1" applyAlignment="1">
      <alignment horizontal="center" vertical="center"/>
    </xf>
    <xf numFmtId="0" fontId="49" fillId="20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50" fillId="0" borderId="0" xfId="0" applyFont="1"/>
    <xf numFmtId="0" fontId="24" fillId="0" borderId="0" xfId="0" applyFont="1" applyAlignment="1">
      <alignment horizontal="center" vertical="center"/>
    </xf>
    <xf numFmtId="0" fontId="51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2" fillId="5" borderId="0" xfId="0" applyFont="1" applyFill="1" applyAlignment="1">
      <alignment horizontal="center" vertical="center"/>
    </xf>
    <xf numFmtId="0" fontId="53" fillId="0" borderId="0" xfId="0" applyFont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7" fillId="11" borderId="16" xfId="0" applyFont="1" applyFill="1" applyBorder="1" applyAlignment="1" applyProtection="1">
      <alignment horizontal="center" vertical="center"/>
      <protection locked="0"/>
    </xf>
    <xf numFmtId="0" fontId="28" fillId="11" borderId="16" xfId="0" applyFont="1" applyFill="1" applyBorder="1" applyAlignment="1" applyProtection="1">
      <alignment horizontal="center" vertical="center"/>
      <protection locked="0"/>
    </xf>
    <xf numFmtId="0" fontId="28" fillId="11" borderId="17" xfId="0" applyFont="1" applyFill="1" applyBorder="1" applyAlignment="1" applyProtection="1">
      <alignment horizontal="center" vertical="center"/>
      <protection locked="0"/>
    </xf>
    <xf numFmtId="0" fontId="27" fillId="11" borderId="6" xfId="0" applyFont="1" applyFill="1" applyBorder="1" applyAlignment="1" applyProtection="1">
      <alignment horizontal="center" vertical="center"/>
      <protection locked="0"/>
    </xf>
    <xf numFmtId="0" fontId="28" fillId="11" borderId="6" xfId="0" applyFont="1" applyFill="1" applyBorder="1" applyAlignment="1" applyProtection="1">
      <alignment horizontal="center" vertical="center"/>
      <protection locked="0"/>
    </xf>
    <xf numFmtId="0" fontId="28" fillId="11" borderId="30" xfId="0" applyFont="1" applyFill="1" applyBorder="1" applyAlignment="1" applyProtection="1">
      <alignment horizontal="center" vertical="center"/>
      <protection locked="0"/>
    </xf>
    <xf numFmtId="0" fontId="27" fillId="11" borderId="19" xfId="0" applyFont="1" applyFill="1" applyBorder="1" applyAlignment="1" applyProtection="1">
      <alignment horizontal="center" vertical="center"/>
      <protection locked="0"/>
    </xf>
    <xf numFmtId="0" fontId="28" fillId="11" borderId="19" xfId="0" applyFont="1" applyFill="1" applyBorder="1" applyAlignment="1" applyProtection="1">
      <alignment horizontal="center" vertical="center"/>
      <protection locked="0"/>
    </xf>
    <xf numFmtId="0" fontId="28" fillId="11" borderId="20" xfId="0" applyFont="1" applyFill="1" applyBorder="1" applyAlignment="1" applyProtection="1">
      <alignment horizontal="center" vertical="center"/>
      <protection locked="0"/>
    </xf>
    <xf numFmtId="0" fontId="27" fillId="11" borderId="33" xfId="0" applyFont="1" applyFill="1" applyBorder="1" applyAlignment="1" applyProtection="1">
      <alignment horizontal="center" vertical="center"/>
      <protection locked="0"/>
    </xf>
    <xf numFmtId="0" fontId="28" fillId="11" borderId="33" xfId="0" applyFont="1" applyFill="1" applyBorder="1" applyAlignment="1" applyProtection="1">
      <alignment horizontal="center" vertical="center"/>
      <protection locked="0"/>
    </xf>
    <xf numFmtId="0" fontId="28" fillId="11" borderId="27" xfId="0" applyFont="1" applyFill="1" applyBorder="1" applyAlignment="1" applyProtection="1">
      <alignment horizontal="center" vertical="center"/>
      <protection locked="0"/>
    </xf>
    <xf numFmtId="0" fontId="27" fillId="11" borderId="1" xfId="0" applyFont="1" applyFill="1" applyBorder="1" applyAlignment="1" applyProtection="1">
      <alignment horizontal="center" vertical="center"/>
      <protection locked="0"/>
    </xf>
    <xf numFmtId="0" fontId="28" fillId="11" borderId="1" xfId="0" applyFont="1" applyFill="1" applyBorder="1" applyAlignment="1" applyProtection="1">
      <alignment horizontal="center" vertical="center"/>
      <protection locked="0"/>
    </xf>
    <xf numFmtId="0" fontId="28" fillId="11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5" fillId="3" borderId="26" xfId="0" applyFont="1" applyFill="1" applyBorder="1" applyAlignment="1">
      <alignment horizontal="right" vertical="center"/>
    </xf>
    <xf numFmtId="0" fontId="4" fillId="0" borderId="33" xfId="0" applyFont="1" applyBorder="1" applyAlignment="1">
      <alignment horizontal="right"/>
    </xf>
    <xf numFmtId="166" fontId="26" fillId="7" borderId="26" xfId="0" applyNumberFormat="1" applyFont="1" applyFill="1" applyBorder="1" applyAlignment="1">
      <alignment horizontal="center" vertical="center"/>
    </xf>
    <xf numFmtId="166" fontId="26" fillId="7" borderId="27" xfId="0" applyNumberFormat="1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7" fillId="14" borderId="16" xfId="0" applyFont="1" applyFill="1" applyBorder="1" applyAlignment="1" applyProtection="1">
      <alignment horizontal="center" vertical="center"/>
      <protection locked="0"/>
    </xf>
    <xf numFmtId="0" fontId="28" fillId="14" borderId="16" xfId="0" applyFont="1" applyFill="1" applyBorder="1" applyAlignment="1" applyProtection="1">
      <alignment horizontal="center" vertical="center"/>
      <protection locked="0"/>
    </xf>
    <xf numFmtId="0" fontId="28" fillId="14" borderId="17" xfId="0" applyFont="1" applyFill="1" applyBorder="1" applyAlignment="1" applyProtection="1">
      <alignment horizontal="center" vertical="center"/>
      <protection locked="0"/>
    </xf>
    <xf numFmtId="0" fontId="5" fillId="3" borderId="19" xfId="0" applyFont="1" applyFill="1" applyBorder="1" applyAlignment="1">
      <alignment horizontal="right" vertical="center"/>
    </xf>
    <xf numFmtId="0" fontId="13" fillId="14" borderId="25" xfId="0" applyFont="1" applyFill="1" applyBorder="1" applyAlignment="1" applyProtection="1">
      <alignment vertical="top" wrapText="1"/>
      <protection locked="0"/>
    </xf>
    <xf numFmtId="0" fontId="0" fillId="14" borderId="28" xfId="0" applyFill="1" applyBorder="1" applyAlignment="1" applyProtection="1">
      <alignment vertical="top" wrapText="1"/>
      <protection locked="0"/>
    </xf>
    <xf numFmtId="0" fontId="0" fillId="14" borderId="21" xfId="0" applyFill="1" applyBorder="1" applyAlignment="1" applyProtection="1">
      <alignment vertical="top" wrapText="1"/>
      <protection locked="0"/>
    </xf>
    <xf numFmtId="0" fontId="0" fillId="14" borderId="22" xfId="0" applyFill="1" applyBorder="1" applyAlignment="1" applyProtection="1">
      <alignment vertical="top" wrapText="1"/>
      <protection locked="0"/>
    </xf>
    <xf numFmtId="0" fontId="0" fillId="14" borderId="23" xfId="0" applyFill="1" applyBorder="1" applyAlignment="1" applyProtection="1">
      <alignment vertical="top" wrapText="1"/>
      <protection locked="0"/>
    </xf>
    <xf numFmtId="0" fontId="0" fillId="14" borderId="24" xfId="0" applyFill="1" applyBorder="1" applyAlignment="1" applyProtection="1">
      <alignment vertical="top" wrapText="1"/>
      <protection locked="0"/>
    </xf>
    <xf numFmtId="0" fontId="27" fillId="14" borderId="19" xfId="0" applyFont="1" applyFill="1" applyBorder="1" applyAlignment="1" applyProtection="1">
      <alignment horizontal="center" vertical="center"/>
      <protection locked="0"/>
    </xf>
    <xf numFmtId="0" fontId="28" fillId="14" borderId="19" xfId="0" applyFont="1" applyFill="1" applyBorder="1" applyAlignment="1" applyProtection="1">
      <alignment horizontal="center" vertical="center"/>
      <protection locked="0"/>
    </xf>
    <xf numFmtId="0" fontId="28" fillId="14" borderId="20" xfId="0" applyFont="1" applyFill="1" applyBorder="1" applyAlignment="1" applyProtection="1">
      <alignment horizontal="center" vertical="center"/>
      <protection locked="0"/>
    </xf>
    <xf numFmtId="0" fontId="18" fillId="11" borderId="0" xfId="0" applyFont="1" applyFill="1" applyProtection="1">
      <protection hidden="1"/>
    </xf>
    <xf numFmtId="0" fontId="19" fillId="11" borderId="36" xfId="0" applyFont="1" applyFill="1" applyBorder="1" applyProtection="1">
      <protection hidden="1"/>
    </xf>
    <xf numFmtId="0" fontId="19" fillId="11" borderId="0" xfId="0" applyFont="1" applyFill="1" applyProtection="1">
      <protection hidden="1"/>
    </xf>
    <xf numFmtId="0" fontId="21" fillId="15" borderId="36" xfId="0" applyFont="1" applyFill="1" applyBorder="1" applyAlignment="1" applyProtection="1">
      <alignment horizontal="center" vertical="center"/>
      <protection hidden="1"/>
    </xf>
    <xf numFmtId="0" fontId="32" fillId="17" borderId="36" xfId="0" applyFont="1" applyFill="1" applyBorder="1" applyAlignment="1" applyProtection="1">
      <alignment horizontal="center" vertical="center"/>
      <protection hidden="1"/>
    </xf>
    <xf numFmtId="0" fontId="19" fillId="0" borderId="36" xfId="0" applyFont="1" applyBorder="1" applyAlignment="1" applyProtection="1">
      <alignment horizontal="center" vertical="center"/>
      <protection hidden="1"/>
    </xf>
    <xf numFmtId="0" fontId="33" fillId="16" borderId="36" xfId="0" applyFont="1" applyFill="1" applyBorder="1" applyAlignment="1" applyProtection="1">
      <alignment horizontal="center" vertical="center"/>
      <protection hidden="1"/>
    </xf>
    <xf numFmtId="0" fontId="32" fillId="0" borderId="36" xfId="0" applyFont="1" applyBorder="1" applyAlignment="1" applyProtection="1">
      <alignment horizontal="center" vertical="center" wrapText="1"/>
      <protection hidden="1"/>
    </xf>
    <xf numFmtId="0" fontId="22" fillId="15" borderId="36" xfId="0" applyFont="1" applyFill="1" applyBorder="1" applyAlignment="1" applyProtection="1">
      <alignment horizontal="center" vertical="center"/>
      <protection hidden="1"/>
    </xf>
    <xf numFmtId="0" fontId="32" fillId="0" borderId="36" xfId="0" applyFont="1" applyBorder="1" applyAlignment="1" applyProtection="1">
      <alignment horizontal="center" vertical="center"/>
      <protection hidden="1"/>
    </xf>
    <xf numFmtId="0" fontId="31" fillId="0" borderId="36" xfId="0" applyFont="1" applyBorder="1" applyAlignment="1" applyProtection="1">
      <alignment horizontal="center" vertical="center"/>
      <protection hidden="1"/>
    </xf>
    <xf numFmtId="0" fontId="34" fillId="0" borderId="36" xfId="0" applyFont="1" applyBorder="1" applyAlignment="1" applyProtection="1">
      <alignment horizontal="center" vertical="center"/>
      <protection hidden="1"/>
    </xf>
    <xf numFmtId="165" fontId="32" fillId="0" borderId="36" xfId="0" applyNumberFormat="1" applyFont="1" applyBorder="1" applyAlignment="1" applyProtection="1">
      <alignment horizontal="center" vertical="center"/>
      <protection hidden="1"/>
    </xf>
    <xf numFmtId="0" fontId="32" fillId="17" borderId="36" xfId="0" applyFont="1" applyFill="1" applyBorder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left" vertical="center"/>
      <protection hidden="1"/>
    </xf>
    <xf numFmtId="0" fontId="32" fillId="0" borderId="36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30" fillId="0" borderId="36" xfId="0" applyFont="1" applyBorder="1" applyAlignment="1" applyProtection="1">
      <alignment horizontal="left" vertical="top" wrapText="1"/>
      <protection hidden="1"/>
    </xf>
    <xf numFmtId="168" fontId="29" fillId="0" borderId="36" xfId="0" applyNumberFormat="1" applyFont="1" applyBorder="1" applyAlignment="1" applyProtection="1">
      <alignment horizontal="center" vertical="center"/>
      <protection hidden="1"/>
    </xf>
  </cellXfs>
  <cellStyles count="1">
    <cellStyle name="Normal" xfId="0" builtinId="0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0</xdr:row>
      <xdr:rowOff>85725</xdr:rowOff>
    </xdr:from>
    <xdr:to>
      <xdr:col>8</xdr:col>
      <xdr:colOff>762000</xdr:colOff>
      <xdr:row>1</xdr:row>
      <xdr:rowOff>63501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4124325" y="85725"/>
          <a:ext cx="714375" cy="120651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8</xdr:col>
      <xdr:colOff>57150</xdr:colOff>
      <xdr:row>1</xdr:row>
      <xdr:rowOff>114299</xdr:rowOff>
    </xdr:from>
    <xdr:to>
      <xdr:col>8</xdr:col>
      <xdr:colOff>762000</xdr:colOff>
      <xdr:row>1</xdr:row>
      <xdr:rowOff>238124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4133850" y="2571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7</xdr:col>
      <xdr:colOff>82550</xdr:colOff>
      <xdr:row>0</xdr:row>
      <xdr:rowOff>82551</xdr:rowOff>
    </xdr:from>
    <xdr:to>
      <xdr:col>7</xdr:col>
      <xdr:colOff>800100</xdr:colOff>
      <xdr:row>1</xdr:row>
      <xdr:rowOff>254001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3197225" y="82551"/>
          <a:ext cx="717550" cy="342900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2136" y="70754"/>
          <a:ext cx="1618116" cy="702355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95" hidden="1" customWidth="1"/>
    <col min="18" max="18" width="2.7265625" hidden="1" customWidth="1"/>
    <col min="19" max="20" width="2.7265625" style="99" hidden="1" customWidth="1"/>
    <col min="21" max="21" width="2.7265625" style="105" hidden="1" customWidth="1"/>
    <col min="22" max="24" width="2.7265625" style="99" hidden="1" customWidth="1"/>
    <col min="25" max="25" width="2.7265625" style="106" hidden="1" customWidth="1"/>
    <col min="26" max="26" width="9.54296875" style="95" hidden="1" customWidth="1"/>
    <col min="27" max="27" width="2.7265625" style="99" hidden="1" customWidth="1"/>
    <col min="28" max="28" width="2.7265625" style="105" hidden="1" customWidth="1"/>
    <col min="29" max="29" width="2.7265625" style="107" hidden="1" customWidth="1"/>
    <col min="30" max="30" width="2.7265625" style="99" hidden="1" customWidth="1"/>
    <col min="31" max="31" width="2.7265625" style="105" hidden="1" customWidth="1"/>
    <col min="32" max="46" width="2.7265625" style="99" hidden="1" customWidth="1"/>
    <col min="47" max="47" width="2.7265625" style="107" hidden="1" customWidth="1"/>
    <col min="48" max="48" width="2.7265625" style="99" hidden="1" customWidth="1"/>
    <col min="49" max="52" width="2.7265625" style="107" hidden="1" customWidth="1"/>
    <col min="53" max="53" width="2.7265625" style="99" hidden="1" customWidth="1"/>
    <col min="54" max="54" width="2.7265625" style="107" hidden="1" customWidth="1"/>
    <col min="55" max="71" width="2.7265625" style="99" hidden="1" customWidth="1"/>
    <col min="72" max="16384" width="2.7265625" style="72" hidden="1"/>
  </cols>
  <sheetData>
    <row r="1" spans="1:108" s="71" customFormat="1" ht="11" thickBot="1" x14ac:dyDescent="0.3">
      <c r="A1" s="43"/>
      <c r="B1" s="56" t="s">
        <v>160</v>
      </c>
      <c r="C1" s="66" t="str">
        <f>TEXT(IF(LEFT(B2,1)="E",IF(C2/9=INT(C2/9),INT(C2/9),INT(C2/9)+1),IF(LEFT(B2,1)="U",IF(C2/10=INT(C2/10),INT(C2/10),INT(C2/10)+1),0)),"00")</f>
        <v>01</v>
      </c>
      <c r="D1" s="5"/>
      <c r="E1" s="5"/>
      <c r="F1" s="5"/>
      <c r="G1" s="5"/>
      <c r="H1" s="5"/>
      <c r="I1" s="5"/>
      <c r="J1" s="8" t="s">
        <v>162</v>
      </c>
      <c r="K1" s="57" t="s">
        <v>178</v>
      </c>
      <c r="L1" s="58"/>
      <c r="M1" s="63" t="s">
        <v>165</v>
      </c>
      <c r="N1" s="42" t="s">
        <v>181</v>
      </c>
      <c r="O1" s="5"/>
      <c r="P1" s="5"/>
      <c r="Q1" s="92" t="s">
        <v>171</v>
      </c>
      <c r="R1" s="101"/>
      <c r="S1" s="69"/>
      <c r="T1" s="69"/>
      <c r="U1" s="70"/>
      <c r="V1" s="69"/>
      <c r="W1" s="69"/>
      <c r="X1" s="69"/>
      <c r="Y1" s="69"/>
      <c r="Z1" s="92"/>
      <c r="AA1" s="69"/>
      <c r="AB1" s="70"/>
      <c r="AC1" s="69"/>
      <c r="AD1" s="69"/>
      <c r="AE1" s="70"/>
      <c r="AF1" s="69"/>
      <c r="AG1" s="69"/>
      <c r="AH1" s="69"/>
      <c r="AI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69"/>
    </row>
    <row r="2" spans="1:108" ht="21.5" thickBot="1" x14ac:dyDescent="0.35">
      <c r="A2" s="1"/>
      <c r="B2" s="54" t="s">
        <v>179</v>
      </c>
      <c r="C2" s="55">
        <v>10</v>
      </c>
      <c r="D2" s="60" t="s">
        <v>73</v>
      </c>
      <c r="E2" s="61"/>
      <c r="F2" s="61" t="s">
        <v>112</v>
      </c>
      <c r="G2" s="62" t="s">
        <v>72</v>
      </c>
      <c r="H2" s="5"/>
      <c r="I2" s="5"/>
      <c r="J2" s="2"/>
      <c r="K2" s="59" t="str">
        <f>"N:\2024-2025 Season\Stats &amp; Systems\Stats\Estadisticas\Jornadas" &amp; "\EuroCup\Jornada01"</f>
        <v>N:\2024-2025 Season\Stats &amp; Systems\Stats\Estadisticas\Jornadas\EuroCup\Jornada01</v>
      </c>
      <c r="L2" s="2"/>
      <c r="M2" s="64" t="str">
        <f>B2 &amp; TEXT(C2,"000")</f>
        <v>U2025010</v>
      </c>
      <c r="N2" s="42" t="s">
        <v>178</v>
      </c>
      <c r="O2" s="2"/>
      <c r="P2" s="2"/>
      <c r="Q2" s="92"/>
      <c r="R2" s="102" t="s">
        <v>72</v>
      </c>
      <c r="S2" s="69" t="s">
        <v>13</v>
      </c>
      <c r="T2" s="72"/>
      <c r="U2" s="69" t="s">
        <v>5</v>
      </c>
      <c r="V2" s="69" t="s">
        <v>6</v>
      </c>
      <c r="W2" s="69" t="s">
        <v>47</v>
      </c>
      <c r="X2" s="69" t="s">
        <v>75</v>
      </c>
      <c r="Y2" s="73" t="s">
        <v>48</v>
      </c>
      <c r="Z2" s="113" t="s">
        <v>7</v>
      </c>
      <c r="AA2" s="73" t="s">
        <v>46</v>
      </c>
      <c r="AB2" s="73" t="s">
        <v>78</v>
      </c>
      <c r="AC2" s="73" t="s">
        <v>19</v>
      </c>
      <c r="AD2" s="73" t="s">
        <v>24</v>
      </c>
      <c r="AE2" s="73" t="s">
        <v>36</v>
      </c>
      <c r="AF2" s="75" t="s">
        <v>76</v>
      </c>
      <c r="AG2" s="75" t="s">
        <v>114</v>
      </c>
      <c r="AH2" s="69"/>
      <c r="AI2" s="69"/>
      <c r="AJ2" s="72"/>
      <c r="AK2" s="72"/>
      <c r="AL2" s="72"/>
      <c r="AM2" s="69"/>
      <c r="AN2" s="69"/>
      <c r="AO2" s="69"/>
      <c r="AP2" s="69"/>
      <c r="AQ2" s="69"/>
      <c r="AR2" s="69"/>
      <c r="AS2" s="69"/>
      <c r="AT2" s="69"/>
      <c r="AU2" s="69"/>
      <c r="AV2" s="69"/>
      <c r="AW2" s="69"/>
      <c r="AX2" s="69"/>
      <c r="AY2" s="69"/>
      <c r="AZ2" s="69"/>
      <c r="BA2" s="69"/>
      <c r="BB2" s="69"/>
      <c r="BC2" s="69"/>
      <c r="BD2" s="69"/>
      <c r="BE2" s="69"/>
      <c r="BF2" s="69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9"/>
      <c r="BU2" s="69"/>
      <c r="BV2" s="69"/>
      <c r="BW2" s="69"/>
      <c r="BX2" s="69"/>
      <c r="BY2" s="69"/>
      <c r="BZ2" s="69"/>
      <c r="CA2" s="69"/>
      <c r="CB2" s="69"/>
      <c r="CC2" s="69"/>
      <c r="CD2" s="69"/>
      <c r="CE2" s="69"/>
      <c r="CF2" s="69"/>
      <c r="CG2" s="69"/>
      <c r="CH2" s="69"/>
      <c r="CI2" s="69"/>
      <c r="CJ2" s="69"/>
      <c r="CK2" s="69"/>
      <c r="CL2" s="69"/>
      <c r="CM2" s="69"/>
      <c r="CN2" s="69"/>
      <c r="CO2" s="69"/>
      <c r="CP2" s="69"/>
      <c r="CQ2" s="69"/>
      <c r="CR2" s="69"/>
      <c r="CS2" s="69"/>
      <c r="CT2" s="69"/>
      <c r="CU2" s="69"/>
      <c r="CV2" s="69"/>
      <c r="CW2" s="69"/>
      <c r="CX2" s="69"/>
      <c r="CY2" s="69"/>
      <c r="CZ2" s="69"/>
      <c r="DA2" s="69"/>
      <c r="DB2" s="69"/>
      <c r="DC2" s="69"/>
      <c r="DD2" s="69"/>
    </row>
    <row r="3" spans="1:108" ht="13.5" thickBot="1" x14ac:dyDescent="0.35">
      <c r="A3" s="1"/>
      <c r="B3" s="141" t="str">
        <f>IF(ISERROR(VLOOKUP($B$2&amp;TEXT($C$2,"000"),#REF!,4,FALSE)),"",VLOOKUP($B$2&amp;TEXT($C$2,"000"),#REF!,4,FALSE))</f>
        <v/>
      </c>
      <c r="C3" s="142"/>
      <c r="D3" s="39">
        <v>557</v>
      </c>
      <c r="E3" s="29"/>
      <c r="F3" s="26">
        <f>SUBTOTAL(3,I17:I106)</f>
        <v>7</v>
      </c>
      <c r="G3" s="27">
        <f>IF(OR(D3="",D3=0),"",F3/D3)</f>
        <v>1.2567324955116697E-2</v>
      </c>
      <c r="H3" s="5"/>
      <c r="I3" s="5"/>
      <c r="J3" s="5"/>
      <c r="K3" s="5"/>
      <c r="L3" s="5"/>
      <c r="M3" s="143" t="s">
        <v>164</v>
      </c>
      <c r="N3" s="144"/>
      <c r="O3" s="2"/>
      <c r="P3" s="2"/>
      <c r="Q3" s="92" t="s">
        <v>175</v>
      </c>
      <c r="R3" s="102">
        <v>100</v>
      </c>
      <c r="S3" s="69">
        <f>1</f>
        <v>1</v>
      </c>
      <c r="T3" s="86"/>
      <c r="U3" s="69">
        <f>AD18</f>
        <v>0.5</v>
      </c>
      <c r="V3" s="69">
        <f>AD22</f>
        <v>1</v>
      </c>
      <c r="W3" s="69">
        <v>1</v>
      </c>
      <c r="X3" s="69">
        <v>1</v>
      </c>
      <c r="Y3" s="69">
        <v>2</v>
      </c>
      <c r="Z3" s="92">
        <v>2.5</v>
      </c>
      <c r="AA3" s="69">
        <v>5</v>
      </c>
      <c r="AB3" s="69">
        <v>5</v>
      </c>
      <c r="AC3" s="69">
        <v>10</v>
      </c>
      <c r="AD3" s="69">
        <v>10</v>
      </c>
      <c r="AE3" s="69">
        <v>10</v>
      </c>
      <c r="AF3" s="69">
        <v>15</v>
      </c>
      <c r="AG3" s="69">
        <v>20</v>
      </c>
      <c r="AH3" s="69"/>
      <c r="AI3" s="69"/>
      <c r="AJ3" s="72"/>
      <c r="AK3" s="72"/>
      <c r="AL3" s="72"/>
      <c r="AM3" s="69"/>
      <c r="AN3" s="69"/>
      <c r="AO3" s="69"/>
      <c r="AP3" s="69"/>
      <c r="AQ3" s="69"/>
      <c r="AR3" s="69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69"/>
      <c r="BF3" s="69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9"/>
      <c r="BU3" s="69"/>
      <c r="BV3" s="69"/>
      <c r="BW3" s="69"/>
      <c r="BX3" s="69"/>
      <c r="BY3" s="69"/>
      <c r="BZ3" s="69"/>
      <c r="CA3" s="69"/>
      <c r="CB3" s="69"/>
      <c r="CC3" s="69"/>
      <c r="CD3" s="69"/>
      <c r="CE3" s="69"/>
      <c r="CF3" s="69"/>
      <c r="CG3" s="69"/>
      <c r="CH3" s="69"/>
      <c r="CI3" s="69"/>
      <c r="CJ3" s="69"/>
      <c r="CK3" s="69"/>
      <c r="CL3" s="69"/>
      <c r="CM3" s="69"/>
      <c r="CN3" s="69"/>
      <c r="CO3" s="69"/>
      <c r="CP3" s="69"/>
      <c r="CQ3" s="69"/>
      <c r="CR3" s="69"/>
      <c r="CS3" s="69"/>
      <c r="CT3" s="69"/>
      <c r="CU3" s="69"/>
      <c r="CV3" s="69"/>
      <c r="CW3" s="69"/>
      <c r="CX3" s="69"/>
      <c r="CY3" s="69"/>
      <c r="CZ3" s="69"/>
      <c r="DA3" s="69"/>
      <c r="DB3" s="69"/>
      <c r="DC3" s="69"/>
      <c r="DD3" s="69"/>
    </row>
    <row r="4" spans="1:108" ht="13" x14ac:dyDescent="0.25">
      <c r="A4" s="2"/>
      <c r="B4" s="132" t="s">
        <v>86</v>
      </c>
      <c r="C4" s="133"/>
      <c r="D4" s="145" t="s">
        <v>182</v>
      </c>
      <c r="E4" s="146"/>
      <c r="F4" s="146"/>
      <c r="G4" s="147"/>
      <c r="H4" s="5"/>
      <c r="I4" s="5"/>
      <c r="J4" s="5"/>
      <c r="K4" s="5"/>
      <c r="L4" s="5"/>
      <c r="M4" s="149" t="s">
        <v>189</v>
      </c>
      <c r="N4" s="150"/>
      <c r="O4" s="2"/>
      <c r="P4" s="2"/>
      <c r="Q4" s="92" t="s">
        <v>177</v>
      </c>
      <c r="R4" s="102">
        <f>(IF(G3="",0,G3))</f>
        <v>1.2567324955116697E-2</v>
      </c>
      <c r="S4" s="69">
        <f>SUM(I13:M13)</f>
        <v>0</v>
      </c>
      <c r="T4" s="86"/>
      <c r="U4" s="69">
        <f>AC18</f>
        <v>2</v>
      </c>
      <c r="V4" s="69">
        <f>+AC22</f>
        <v>3</v>
      </c>
      <c r="W4" s="69">
        <f>AC24</f>
        <v>0</v>
      </c>
      <c r="X4" s="69">
        <f>AC29</f>
        <v>2</v>
      </c>
      <c r="Y4" s="69">
        <f>AC25</f>
        <v>0</v>
      </c>
      <c r="Z4" s="92">
        <f>AC23</f>
        <v>0</v>
      </c>
      <c r="AA4" s="69">
        <f>AC21</f>
        <v>0</v>
      </c>
      <c r="AB4" s="69">
        <f>AC27</f>
        <v>0</v>
      </c>
      <c r="AC4" s="69">
        <f>AC17</f>
        <v>0</v>
      </c>
      <c r="AD4" s="69">
        <f>AC20</f>
        <v>0</v>
      </c>
      <c r="AE4" s="69">
        <f>AC28</f>
        <v>0</v>
      </c>
      <c r="AF4" s="69">
        <f>AC19</f>
        <v>0</v>
      </c>
      <c r="AG4" s="69">
        <f>AC37</f>
        <v>0</v>
      </c>
      <c r="AH4" s="69"/>
      <c r="AI4" s="69"/>
      <c r="AJ4" s="72"/>
      <c r="AK4" s="72"/>
      <c r="AL4" s="72"/>
      <c r="AM4" s="69"/>
      <c r="AN4" s="69"/>
      <c r="AO4" s="69"/>
      <c r="AP4" s="69"/>
      <c r="AQ4" s="69"/>
      <c r="AR4" s="69"/>
      <c r="AS4" s="69"/>
      <c r="AT4" s="69"/>
      <c r="AU4" s="69"/>
      <c r="AV4" s="69"/>
      <c r="AW4" s="69"/>
      <c r="AX4" s="69"/>
      <c r="AY4" s="69"/>
      <c r="AZ4" s="69"/>
      <c r="BA4" s="69"/>
      <c r="BB4" s="69"/>
      <c r="BC4" s="69"/>
      <c r="BD4" s="69"/>
      <c r="BE4" s="69"/>
      <c r="BF4" s="69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9"/>
      <c r="BU4" s="69"/>
      <c r="BV4" s="69"/>
      <c r="BW4" s="69"/>
      <c r="BX4" s="69"/>
      <c r="BY4" s="69"/>
      <c r="BZ4" s="69"/>
      <c r="CA4" s="69"/>
      <c r="CB4" s="69"/>
      <c r="CC4" s="69"/>
      <c r="CD4" s="69"/>
      <c r="CE4" s="69"/>
      <c r="CF4" s="69"/>
      <c r="CG4" s="69"/>
      <c r="CH4" s="69"/>
      <c r="CI4" s="69"/>
      <c r="CJ4" s="69"/>
      <c r="CK4" s="69"/>
      <c r="CL4" s="69"/>
      <c r="CM4" s="69"/>
      <c r="CN4" s="69"/>
      <c r="CO4" s="69"/>
      <c r="CP4" s="69"/>
      <c r="CQ4" s="69"/>
      <c r="CR4" s="69"/>
      <c r="CS4" s="69"/>
      <c r="CT4" s="69"/>
      <c r="CU4" s="69"/>
      <c r="CV4" s="69"/>
      <c r="CW4" s="69"/>
      <c r="CX4" s="69"/>
      <c r="CY4" s="69"/>
      <c r="CZ4" s="69"/>
      <c r="DA4" s="69"/>
      <c r="DB4" s="69"/>
      <c r="DC4" s="69"/>
      <c r="DD4" s="69"/>
    </row>
    <row r="5" spans="1:108" ht="13.5" thickBot="1" x14ac:dyDescent="0.35">
      <c r="A5" s="2"/>
      <c r="B5" s="136" t="s">
        <v>87</v>
      </c>
      <c r="C5" s="148"/>
      <c r="D5" s="155" t="s">
        <v>183</v>
      </c>
      <c r="E5" s="156"/>
      <c r="F5" s="156"/>
      <c r="G5" s="157"/>
      <c r="H5" s="5"/>
      <c r="I5" s="5"/>
      <c r="J5" s="5"/>
      <c r="K5" s="5"/>
      <c r="L5" s="5"/>
      <c r="M5" s="151"/>
      <c r="N5" s="152"/>
      <c r="O5" s="2"/>
      <c r="P5" s="2"/>
      <c r="Q5" s="97" t="s">
        <v>176</v>
      </c>
      <c r="R5" s="102">
        <f>R4*R3</f>
        <v>1.2567324955116697</v>
      </c>
      <c r="S5" s="78">
        <f t="shared" ref="S5" si="0">S4*S3</f>
        <v>0</v>
      </c>
      <c r="T5" s="100"/>
      <c r="U5" s="78">
        <f t="shared" ref="U5:AG5" si="1">U4*U3</f>
        <v>1</v>
      </c>
      <c r="V5" s="78">
        <f t="shared" si="1"/>
        <v>3</v>
      </c>
      <c r="W5" s="78">
        <f t="shared" si="1"/>
        <v>0</v>
      </c>
      <c r="X5" s="78">
        <f t="shared" si="1"/>
        <v>2</v>
      </c>
      <c r="Y5" s="78">
        <f t="shared" si="1"/>
        <v>0</v>
      </c>
      <c r="Z5" s="97">
        <f t="shared" si="1"/>
        <v>0</v>
      </c>
      <c r="AA5" s="78">
        <f t="shared" si="1"/>
        <v>0</v>
      </c>
      <c r="AB5" s="78">
        <f t="shared" si="1"/>
        <v>0</v>
      </c>
      <c r="AC5" s="78">
        <f t="shared" si="1"/>
        <v>0</v>
      </c>
      <c r="AD5" s="78">
        <f t="shared" si="1"/>
        <v>0</v>
      </c>
      <c r="AE5" s="78">
        <f t="shared" si="1"/>
        <v>0</v>
      </c>
      <c r="AF5" s="78">
        <f t="shared" si="1"/>
        <v>0</v>
      </c>
      <c r="AG5" s="78">
        <f t="shared" si="1"/>
        <v>0</v>
      </c>
      <c r="AH5" s="69"/>
      <c r="AI5" s="69"/>
      <c r="AJ5" s="72"/>
      <c r="AK5" s="72"/>
      <c r="AL5" s="72"/>
      <c r="AM5" s="69"/>
      <c r="AN5" s="69"/>
      <c r="AO5" s="69"/>
      <c r="AP5" s="69"/>
      <c r="AQ5" s="69"/>
      <c r="AR5" s="69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  <c r="CH5" s="69"/>
      <c r="CI5" s="69"/>
      <c r="CJ5" s="69"/>
      <c r="CK5" s="69"/>
      <c r="CL5" s="69"/>
      <c r="CM5" s="69"/>
      <c r="CN5" s="69"/>
      <c r="CO5" s="69"/>
      <c r="CP5" s="69"/>
      <c r="CQ5" s="69"/>
      <c r="CR5" s="69"/>
      <c r="CS5" s="69"/>
      <c r="CT5" s="69"/>
      <c r="CU5" s="69"/>
      <c r="CV5" s="69"/>
      <c r="CW5" s="69"/>
      <c r="CX5" s="69"/>
      <c r="CY5" s="69"/>
      <c r="CZ5" s="69"/>
      <c r="DA5" s="69"/>
      <c r="DB5" s="69"/>
      <c r="DC5" s="69"/>
      <c r="DD5" s="69"/>
    </row>
    <row r="6" spans="1:108" ht="13.5" thickBot="1" x14ac:dyDescent="0.35">
      <c r="A6" s="2"/>
      <c r="B6" s="132" t="s">
        <v>95</v>
      </c>
      <c r="C6" s="133"/>
      <c r="D6" s="117" t="s">
        <v>184</v>
      </c>
      <c r="E6" s="118"/>
      <c r="F6" s="118"/>
      <c r="G6" s="119"/>
      <c r="H6" s="5"/>
      <c r="I6" s="5"/>
      <c r="J6" s="5"/>
      <c r="K6" s="5"/>
      <c r="L6" s="5"/>
      <c r="M6" s="153"/>
      <c r="N6" s="154"/>
      <c r="O6" s="2"/>
      <c r="P6" s="2"/>
      <c r="Q6" s="99"/>
      <c r="R6" s="103"/>
      <c r="S6" s="72"/>
      <c r="T6" s="72"/>
      <c r="U6" s="76"/>
      <c r="V6" s="72"/>
      <c r="W6" s="72"/>
      <c r="X6" s="72"/>
      <c r="Y6" s="72"/>
      <c r="Z6" s="114"/>
      <c r="AA6" s="72"/>
      <c r="AB6" s="76"/>
      <c r="AC6" s="72"/>
      <c r="AD6" s="77"/>
      <c r="AE6" s="76"/>
      <c r="AF6" s="72"/>
      <c r="AG6" s="72"/>
      <c r="AH6" s="69"/>
      <c r="AI6" s="69"/>
      <c r="AJ6" s="72"/>
      <c r="AK6" s="72"/>
      <c r="AL6" s="72"/>
      <c r="AM6" s="69"/>
      <c r="AN6" s="69"/>
      <c r="AO6" s="69"/>
      <c r="AP6" s="69"/>
      <c r="AQ6" s="69"/>
      <c r="AR6" s="69"/>
      <c r="AS6" s="69"/>
      <c r="AT6" s="69"/>
      <c r="AU6" s="69"/>
      <c r="AV6" s="69"/>
      <c r="AW6" s="69"/>
      <c r="AX6" s="69"/>
      <c r="AY6" s="69"/>
      <c r="AZ6" s="69"/>
      <c r="BA6" s="69"/>
      <c r="BB6" s="69"/>
      <c r="BC6" s="69"/>
      <c r="BD6" s="69"/>
      <c r="BE6" s="69"/>
      <c r="BF6" s="69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9"/>
      <c r="BU6" s="69"/>
      <c r="BV6" s="69"/>
      <c r="BW6" s="69"/>
      <c r="BX6" s="69"/>
      <c r="BY6" s="69"/>
      <c r="BZ6" s="69"/>
      <c r="CA6" s="69"/>
      <c r="CB6" s="69"/>
      <c r="CC6" s="69"/>
      <c r="CD6" s="69"/>
      <c r="CE6" s="69"/>
      <c r="CF6" s="69"/>
      <c r="CG6" s="69"/>
      <c r="CH6" s="69"/>
      <c r="CI6" s="69"/>
      <c r="CJ6" s="69"/>
      <c r="CK6" s="69"/>
      <c r="CL6" s="69"/>
      <c r="CM6" s="69"/>
      <c r="CN6" s="69"/>
      <c r="CO6" s="69"/>
      <c r="CP6" s="69"/>
      <c r="CQ6" s="69"/>
      <c r="CR6" s="69"/>
      <c r="CS6" s="69"/>
      <c r="CT6" s="69"/>
      <c r="CU6" s="69"/>
      <c r="CV6" s="69"/>
      <c r="CW6" s="69"/>
      <c r="CX6" s="69"/>
      <c r="CY6" s="69"/>
      <c r="CZ6" s="69"/>
      <c r="DA6" s="69"/>
      <c r="DB6" s="69"/>
      <c r="DC6" s="69"/>
      <c r="DD6" s="69"/>
    </row>
    <row r="7" spans="1:108" ht="13" x14ac:dyDescent="0.25">
      <c r="A7" s="2"/>
      <c r="B7" s="134" t="s">
        <v>96</v>
      </c>
      <c r="C7" s="135"/>
      <c r="D7" s="120" t="s">
        <v>185</v>
      </c>
      <c r="E7" s="121"/>
      <c r="F7" s="121"/>
      <c r="G7" s="122"/>
      <c r="H7" s="5"/>
      <c r="I7" s="5"/>
      <c r="J7" s="5"/>
      <c r="K7" s="5"/>
      <c r="L7" s="5"/>
      <c r="M7" s="65">
        <f>Q7</f>
        <v>7.2567324955116694</v>
      </c>
      <c r="N7" s="65"/>
      <c r="O7" s="2"/>
      <c r="P7" s="2"/>
      <c r="Q7" s="94">
        <f>SUM(R5,S5,AC16)</f>
        <v>7.2567324955116694</v>
      </c>
      <c r="R7" s="102"/>
      <c r="S7" s="69"/>
      <c r="T7" s="72"/>
      <c r="U7" s="70"/>
      <c r="V7" s="69"/>
      <c r="W7" s="69"/>
      <c r="X7" s="69"/>
      <c r="Y7" s="69"/>
      <c r="Z7" s="92"/>
      <c r="AA7" s="69"/>
      <c r="AB7" s="70"/>
      <c r="AC7" s="69"/>
      <c r="AD7" s="69"/>
      <c r="AE7" s="70"/>
      <c r="AF7" s="69"/>
      <c r="AG7" s="69"/>
      <c r="AH7" s="69"/>
      <c r="AI7" s="69"/>
      <c r="AJ7" s="72"/>
      <c r="AK7" s="72"/>
      <c r="AL7" s="72"/>
      <c r="AM7" s="69"/>
      <c r="AN7" s="69"/>
      <c r="AO7" s="69"/>
      <c r="AP7" s="69"/>
      <c r="AQ7" s="69"/>
      <c r="AR7" s="69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69"/>
      <c r="BF7" s="69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9"/>
      <c r="BU7" s="69"/>
      <c r="BV7" s="69"/>
      <c r="BW7" s="69"/>
      <c r="BX7" s="69"/>
      <c r="BY7" s="69"/>
      <c r="BZ7" s="69"/>
      <c r="CA7" s="69"/>
      <c r="CB7" s="69"/>
      <c r="CC7" s="69"/>
      <c r="CD7" s="69"/>
      <c r="CE7" s="69"/>
      <c r="CF7" s="69"/>
      <c r="CG7" s="69"/>
      <c r="CH7" s="69"/>
      <c r="CI7" s="69"/>
      <c r="CJ7" s="69"/>
      <c r="CK7" s="69"/>
      <c r="CL7" s="69"/>
      <c r="CM7" s="69"/>
      <c r="CN7" s="69"/>
      <c r="CO7" s="69"/>
      <c r="CP7" s="69"/>
      <c r="CQ7" s="69"/>
      <c r="CR7" s="69"/>
      <c r="CS7" s="69"/>
      <c r="CT7" s="69"/>
      <c r="CU7" s="69"/>
      <c r="CV7" s="69"/>
      <c r="CW7" s="69"/>
      <c r="CX7" s="69"/>
      <c r="CY7" s="69"/>
      <c r="CZ7" s="69"/>
      <c r="DA7" s="69"/>
      <c r="DB7" s="69"/>
      <c r="DC7" s="69"/>
      <c r="DD7" s="69"/>
    </row>
    <row r="8" spans="1:108" ht="13.5" thickBot="1" x14ac:dyDescent="0.3">
      <c r="A8" s="2"/>
      <c r="B8" s="136" t="s">
        <v>97</v>
      </c>
      <c r="C8" s="137"/>
      <c r="D8" s="123" t="s">
        <v>186</v>
      </c>
      <c r="E8" s="124"/>
      <c r="F8" s="124"/>
      <c r="G8" s="125"/>
      <c r="H8" s="5"/>
      <c r="I8" s="5"/>
      <c r="J8" s="5"/>
      <c r="K8" s="5"/>
      <c r="L8" s="2"/>
      <c r="M8" s="5"/>
      <c r="N8" s="2"/>
      <c r="O8" s="2"/>
      <c r="P8" s="2"/>
      <c r="Q8" s="93">
        <f>SUM(R5:BA5)</f>
        <v>7.2567324955116694</v>
      </c>
      <c r="R8" s="102"/>
      <c r="S8" s="69"/>
      <c r="T8" s="69"/>
      <c r="U8" s="70"/>
      <c r="V8" s="69"/>
      <c r="W8" s="69"/>
      <c r="X8" s="69"/>
      <c r="Y8" s="69"/>
      <c r="Z8" s="92"/>
      <c r="AA8" s="69"/>
      <c r="AB8" s="70"/>
      <c r="AC8" s="69"/>
      <c r="AD8" s="69"/>
      <c r="AE8" s="70"/>
      <c r="AF8" s="69"/>
      <c r="AG8" s="69"/>
      <c r="AH8" s="69"/>
      <c r="AI8" s="69"/>
      <c r="AJ8" s="72"/>
      <c r="AK8" s="72"/>
      <c r="AL8" s="72"/>
      <c r="AM8" s="69"/>
      <c r="AN8" s="69"/>
      <c r="AO8" s="69"/>
      <c r="AP8" s="69"/>
      <c r="AQ8" s="69"/>
      <c r="AR8" s="69"/>
      <c r="AS8" s="69"/>
      <c r="AT8" s="69"/>
      <c r="AU8" s="69"/>
      <c r="AV8" s="69"/>
      <c r="AW8" s="69"/>
      <c r="AX8" s="69"/>
      <c r="AY8" s="69"/>
      <c r="AZ8" s="69"/>
      <c r="BA8" s="69"/>
      <c r="BB8" s="69"/>
      <c r="BC8" s="69"/>
      <c r="BD8" s="69"/>
      <c r="BE8" s="69"/>
      <c r="BF8" s="69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9"/>
      <c r="BU8" s="69"/>
      <c r="BV8" s="69"/>
      <c r="BW8" s="69"/>
      <c r="BX8" s="69"/>
      <c r="BY8" s="69"/>
      <c r="BZ8" s="69"/>
      <c r="CA8" s="69"/>
      <c r="CB8" s="69"/>
      <c r="CC8" s="69"/>
      <c r="CD8" s="69"/>
      <c r="CE8" s="69"/>
      <c r="CF8" s="69"/>
      <c r="CG8" s="69"/>
      <c r="CH8" s="69"/>
      <c r="CI8" s="69"/>
      <c r="CJ8" s="69"/>
      <c r="CK8" s="69"/>
      <c r="CL8" s="69"/>
      <c r="CM8" s="69"/>
      <c r="CN8" s="69"/>
      <c r="CO8" s="69"/>
      <c r="CP8" s="69"/>
      <c r="CQ8" s="69"/>
      <c r="CR8" s="69"/>
      <c r="CS8" s="69"/>
      <c r="CT8" s="69"/>
      <c r="CU8" s="69"/>
      <c r="CV8" s="69"/>
      <c r="CW8" s="69"/>
      <c r="CX8" s="69"/>
      <c r="CY8" s="69"/>
      <c r="CZ8" s="69"/>
      <c r="DA8" s="69"/>
      <c r="DB8" s="69"/>
      <c r="DC8" s="69"/>
      <c r="DD8" s="69"/>
    </row>
    <row r="9" spans="1:108" ht="13.5" thickBot="1" x14ac:dyDescent="0.3">
      <c r="A9" s="2"/>
      <c r="B9" s="132" t="s">
        <v>98</v>
      </c>
      <c r="C9" s="138"/>
      <c r="D9" s="117" t="s">
        <v>187</v>
      </c>
      <c r="E9" s="118"/>
      <c r="F9" s="118"/>
      <c r="G9" s="119"/>
      <c r="H9" s="5"/>
      <c r="I9" s="5"/>
      <c r="J9" s="5"/>
      <c r="K9" s="5"/>
      <c r="L9" s="2"/>
      <c r="M9" s="5"/>
      <c r="N9" s="2"/>
      <c r="O9" s="2"/>
      <c r="P9" s="2"/>
      <c r="Q9" s="99"/>
      <c r="R9" s="102"/>
      <c r="S9" s="69"/>
      <c r="T9" s="69"/>
      <c r="U9" s="70"/>
      <c r="V9" s="69"/>
      <c r="W9" s="69"/>
      <c r="X9" s="69"/>
      <c r="Y9" s="69"/>
      <c r="Z9" s="92"/>
      <c r="AA9" s="69"/>
      <c r="AB9" s="70"/>
      <c r="AC9" s="69"/>
      <c r="AD9" s="69"/>
      <c r="AE9" s="70"/>
      <c r="AF9" s="69"/>
      <c r="AG9" s="69"/>
      <c r="AH9" s="69"/>
      <c r="AI9" s="69"/>
      <c r="AJ9" s="72"/>
      <c r="AK9" s="72"/>
      <c r="AL9" s="72"/>
      <c r="AM9" s="69"/>
      <c r="AN9" s="69"/>
      <c r="AO9" s="69"/>
      <c r="AP9" s="69"/>
      <c r="AQ9" s="69"/>
      <c r="AR9" s="69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69"/>
      <c r="BF9" s="69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9"/>
      <c r="BU9" s="69"/>
      <c r="BV9" s="69"/>
      <c r="BW9" s="69"/>
      <c r="BX9" s="69"/>
      <c r="BY9" s="69"/>
      <c r="BZ9" s="69"/>
      <c r="CA9" s="69"/>
      <c r="CB9" s="69"/>
      <c r="CC9" s="69"/>
      <c r="CD9" s="69"/>
      <c r="CE9" s="69"/>
      <c r="CF9" s="69"/>
      <c r="CG9" s="69"/>
      <c r="CH9" s="69"/>
      <c r="CI9" s="69"/>
      <c r="CJ9" s="69"/>
      <c r="CK9" s="69"/>
      <c r="CL9" s="69"/>
      <c r="CM9" s="69"/>
      <c r="CN9" s="69"/>
      <c r="CO9" s="69"/>
      <c r="CP9" s="69"/>
      <c r="CQ9" s="69"/>
      <c r="CR9" s="69"/>
      <c r="CS9" s="69"/>
      <c r="CT9" s="69"/>
      <c r="CU9" s="69"/>
      <c r="CV9" s="69"/>
      <c r="CW9" s="69"/>
      <c r="CX9" s="69"/>
      <c r="CY9" s="69"/>
      <c r="CZ9" s="69"/>
      <c r="DA9" s="69"/>
      <c r="DB9" s="69"/>
      <c r="DC9" s="69"/>
      <c r="DD9" s="69"/>
    </row>
    <row r="10" spans="1:108" ht="13.5" thickBot="1" x14ac:dyDescent="0.35">
      <c r="A10" s="1"/>
      <c r="B10" s="139" t="s">
        <v>99</v>
      </c>
      <c r="C10" s="140"/>
      <c r="D10" s="126" t="s">
        <v>188</v>
      </c>
      <c r="E10" s="127"/>
      <c r="F10" s="127"/>
      <c r="G10" s="128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9"/>
      <c r="R10" s="102"/>
      <c r="S10" s="69"/>
      <c r="T10" s="69"/>
      <c r="U10" s="70"/>
      <c r="V10" s="69"/>
      <c r="W10" s="69"/>
      <c r="X10" s="69"/>
      <c r="Y10" s="69"/>
      <c r="Z10" s="92"/>
      <c r="AA10" s="69"/>
      <c r="AB10" s="70"/>
      <c r="AC10" s="69"/>
      <c r="AD10" s="69"/>
      <c r="AE10" s="70"/>
      <c r="AF10" s="69"/>
      <c r="AG10" s="69"/>
      <c r="AH10" s="69"/>
      <c r="AI10" s="69"/>
      <c r="AJ10" s="72"/>
      <c r="AK10" s="72"/>
      <c r="AL10" s="72"/>
      <c r="AM10" s="69"/>
      <c r="AN10" s="69"/>
      <c r="AO10" s="69"/>
      <c r="AP10" s="69"/>
      <c r="AQ10" s="69"/>
      <c r="AR10" s="69"/>
      <c r="AS10" s="69"/>
      <c r="AT10" s="69"/>
      <c r="AU10" s="69"/>
      <c r="AV10" s="69"/>
      <c r="AW10" s="69"/>
      <c r="AX10" s="69"/>
      <c r="AY10" s="69"/>
      <c r="AZ10" s="69"/>
      <c r="BA10" s="69"/>
      <c r="BB10" s="69"/>
      <c r="BC10" s="69"/>
      <c r="BD10" s="69"/>
      <c r="BE10" s="69"/>
      <c r="BF10" s="69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9"/>
      <c r="BU10" s="69"/>
      <c r="BV10" s="69"/>
      <c r="BW10" s="69"/>
      <c r="BX10" s="69"/>
      <c r="BY10" s="69"/>
      <c r="BZ10" s="69"/>
      <c r="CA10" s="69"/>
      <c r="CB10" s="69"/>
      <c r="CC10" s="69"/>
      <c r="CD10" s="69"/>
      <c r="CE10" s="69"/>
      <c r="CF10" s="69"/>
      <c r="CG10" s="69"/>
      <c r="CH10" s="69"/>
      <c r="CI10" s="69"/>
      <c r="CJ10" s="69"/>
      <c r="CK10" s="69"/>
      <c r="CL10" s="69"/>
      <c r="CM10" s="69"/>
      <c r="CN10" s="69"/>
      <c r="CO10" s="69"/>
      <c r="CP10" s="69"/>
      <c r="CQ10" s="69"/>
      <c r="CR10" s="69"/>
      <c r="CS10" s="69"/>
      <c r="CT10" s="69"/>
      <c r="CU10" s="69"/>
      <c r="CV10" s="69"/>
      <c r="CW10" s="69"/>
      <c r="CX10" s="69"/>
      <c r="CY10" s="69"/>
      <c r="CZ10" s="69"/>
      <c r="DA10" s="69"/>
      <c r="DB10" s="69"/>
      <c r="DC10" s="69"/>
      <c r="DD10" s="69"/>
    </row>
    <row r="11" spans="1:108" s="71" customFormat="1" ht="11" thickBot="1" x14ac:dyDescent="0.3">
      <c r="A11" s="17"/>
      <c r="B11" s="115" t="s">
        <v>108</v>
      </c>
      <c r="C11" s="116"/>
      <c r="D11" s="129"/>
      <c r="E11" s="130"/>
      <c r="F11" s="130"/>
      <c r="G11" s="131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92"/>
      <c r="R11" s="101"/>
      <c r="S11" s="69"/>
      <c r="T11" s="69"/>
      <c r="U11" s="70"/>
      <c r="V11" s="69"/>
      <c r="W11" s="69"/>
      <c r="X11" s="69"/>
      <c r="Y11" s="69"/>
      <c r="Z11" s="92"/>
      <c r="AA11" s="69"/>
      <c r="AB11" s="70"/>
      <c r="AC11" s="69"/>
      <c r="AD11" s="69"/>
      <c r="AE11" s="70"/>
      <c r="AF11" s="69"/>
      <c r="AG11" s="69"/>
      <c r="AH11" s="69"/>
      <c r="AI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69"/>
      <c r="BF11" s="69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9"/>
      <c r="BU11" s="69"/>
      <c r="BV11" s="69"/>
      <c r="BW11" s="69"/>
      <c r="BX11" s="69"/>
      <c r="BY11" s="69"/>
      <c r="BZ11" s="69"/>
      <c r="CA11" s="69"/>
      <c r="CB11" s="69"/>
      <c r="CC11" s="69"/>
      <c r="CD11" s="69"/>
      <c r="CE11" s="69"/>
      <c r="CF11" s="69"/>
      <c r="CG11" s="69"/>
      <c r="CH11" s="69"/>
      <c r="CI11" s="69"/>
      <c r="CJ11" s="69"/>
      <c r="CK11" s="69"/>
      <c r="CL11" s="69"/>
      <c r="CM11" s="69"/>
      <c r="CN11" s="69"/>
      <c r="CO11" s="69"/>
      <c r="CP11" s="69"/>
      <c r="CQ11" s="69"/>
      <c r="CR11" s="69"/>
      <c r="CS11" s="69"/>
      <c r="CT11" s="69"/>
      <c r="CU11" s="69"/>
      <c r="CV11" s="69"/>
      <c r="CW11" s="69"/>
      <c r="CX11" s="69"/>
      <c r="CY11" s="69"/>
      <c r="CZ11" s="69"/>
      <c r="DA11" s="69"/>
      <c r="DB11" s="69"/>
      <c r="DC11" s="69"/>
      <c r="DD11" s="69"/>
    </row>
    <row r="12" spans="1:108" ht="13.5" thickBot="1" x14ac:dyDescent="0.35">
      <c r="A12" s="1"/>
      <c r="B12" s="2"/>
      <c r="C12" s="2"/>
      <c r="D12" s="2"/>
      <c r="E12" s="2"/>
      <c r="F12" s="50" t="str">
        <f>IF(G12="","",$B$2)</f>
        <v>U2025</v>
      </c>
      <c r="G12" s="51">
        <f>IF(I12="","",$C$2)</f>
        <v>10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67"/>
      <c r="O12" s="2"/>
      <c r="P12" s="2"/>
      <c r="Q12" s="92"/>
      <c r="R12" s="102"/>
      <c r="S12" s="69"/>
      <c r="T12" s="69"/>
      <c r="U12" s="70"/>
      <c r="V12" s="69"/>
      <c r="W12" s="69"/>
      <c r="X12" s="69"/>
      <c r="Y12" s="69"/>
      <c r="Z12" s="92"/>
      <c r="AA12" s="69"/>
      <c r="AB12" s="70"/>
      <c r="AC12" s="69"/>
      <c r="AD12" s="69"/>
      <c r="AE12" s="70"/>
      <c r="AF12" s="69"/>
      <c r="AG12" s="69"/>
      <c r="AH12" s="69"/>
      <c r="AI12" s="69"/>
      <c r="AJ12" s="72"/>
      <c r="AK12" s="72"/>
      <c r="AL12" s="72"/>
      <c r="AM12" s="69"/>
      <c r="AN12" s="69"/>
      <c r="AO12" s="69"/>
      <c r="AP12" s="69"/>
      <c r="AQ12" s="69"/>
      <c r="AR12" s="69"/>
      <c r="AS12" s="69"/>
      <c r="AT12" s="69"/>
      <c r="AU12" s="69"/>
      <c r="AV12" s="69"/>
      <c r="AW12" s="69"/>
      <c r="AX12" s="69"/>
      <c r="AY12" s="69"/>
      <c r="AZ12" s="69"/>
      <c r="BA12" s="69"/>
      <c r="BB12" s="69"/>
      <c r="BC12" s="69"/>
      <c r="BD12" s="69"/>
      <c r="BE12" s="69"/>
      <c r="BF12" s="69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9"/>
      <c r="BU12" s="69"/>
      <c r="BV12" s="69"/>
      <c r="BW12" s="69"/>
      <c r="BX12" s="69"/>
      <c r="BY12" s="69"/>
      <c r="BZ12" s="69"/>
      <c r="CA12" s="69"/>
      <c r="CB12" s="69"/>
      <c r="CC12" s="69"/>
      <c r="CD12" s="69"/>
      <c r="CE12" s="69"/>
      <c r="CF12" s="69"/>
      <c r="CG12" s="69"/>
      <c r="CH12" s="69"/>
      <c r="CI12" s="69"/>
      <c r="CJ12" s="69"/>
      <c r="CK12" s="69"/>
      <c r="CL12" s="69"/>
      <c r="CM12" s="69"/>
      <c r="CN12" s="69"/>
      <c r="CO12" s="69"/>
      <c r="CP12" s="69"/>
      <c r="CQ12" s="69"/>
      <c r="CR12" s="69"/>
      <c r="CS12" s="69"/>
      <c r="CT12" s="69"/>
      <c r="CU12" s="69"/>
      <c r="CV12" s="69"/>
      <c r="CW12" s="69"/>
      <c r="CX12" s="69"/>
      <c r="CY12" s="69"/>
      <c r="CZ12" s="69"/>
      <c r="DA12" s="69"/>
      <c r="DB12" s="69"/>
      <c r="DC12" s="69"/>
      <c r="DD12" s="69"/>
    </row>
    <row r="13" spans="1:108" s="71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92"/>
      <c r="R13" s="102"/>
      <c r="S13" s="69"/>
      <c r="T13" s="69"/>
      <c r="U13" s="70"/>
      <c r="V13" s="69"/>
      <c r="W13" s="69"/>
      <c r="X13" s="69"/>
      <c r="Y13" s="69"/>
      <c r="Z13" s="92"/>
      <c r="AA13" s="69"/>
      <c r="AB13" s="70"/>
      <c r="AC13" s="69"/>
      <c r="AD13" s="69"/>
      <c r="AE13" s="70"/>
      <c r="AF13" s="69"/>
      <c r="AG13" s="69"/>
      <c r="AH13" s="69"/>
      <c r="AI13" s="69"/>
      <c r="AM13" s="69"/>
      <c r="AN13" s="69"/>
      <c r="AO13" s="69"/>
      <c r="AP13" s="69"/>
      <c r="AQ13" s="69"/>
      <c r="AR13" s="69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69"/>
      <c r="BF13" s="69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9"/>
      <c r="BU13" s="69"/>
      <c r="BV13" s="69"/>
      <c r="BW13" s="69"/>
      <c r="BX13" s="69"/>
      <c r="BY13" s="69"/>
      <c r="BZ13" s="69"/>
      <c r="CA13" s="69"/>
      <c r="CB13" s="69"/>
      <c r="CC13" s="69"/>
      <c r="CD13" s="69"/>
      <c r="CE13" s="69"/>
      <c r="CF13" s="69"/>
      <c r="CG13" s="69"/>
      <c r="CH13" s="69"/>
      <c r="CI13" s="69"/>
      <c r="CJ13" s="69"/>
      <c r="CK13" s="69"/>
      <c r="CL13" s="69"/>
      <c r="CM13" s="69"/>
      <c r="CN13" s="69"/>
      <c r="CO13" s="69"/>
      <c r="CP13" s="69"/>
      <c r="CQ13" s="69"/>
      <c r="CR13" s="69"/>
      <c r="CS13" s="69"/>
      <c r="CT13" s="69"/>
      <c r="CU13" s="69"/>
      <c r="CV13" s="69"/>
      <c r="CW13" s="69"/>
      <c r="CX13" s="69"/>
      <c r="CY13" s="69"/>
      <c r="CZ13" s="69"/>
      <c r="DA13" s="69"/>
      <c r="DB13" s="69"/>
      <c r="DC13" s="69"/>
      <c r="DD13" s="69"/>
    </row>
    <row r="14" spans="1:108" ht="13.5" thickBot="1" x14ac:dyDescent="0.35">
      <c r="A14" s="1"/>
      <c r="B14" s="115" t="s">
        <v>163</v>
      </c>
      <c r="C14" s="116"/>
      <c r="D14" s="129" t="s">
        <v>180</v>
      </c>
      <c r="E14" s="130"/>
      <c r="F14" s="130"/>
      <c r="G14" s="131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92"/>
      <c r="R14" s="102"/>
      <c r="S14" s="69"/>
      <c r="T14" s="69"/>
      <c r="U14" s="70"/>
      <c r="V14" s="69"/>
      <c r="W14" s="69"/>
      <c r="X14" s="69"/>
      <c r="Y14" s="69"/>
      <c r="Z14" s="92"/>
      <c r="AA14" s="69"/>
      <c r="AB14" s="70"/>
      <c r="AC14" s="69"/>
      <c r="AD14" s="69"/>
      <c r="AE14" s="70"/>
      <c r="AF14" s="69"/>
      <c r="AG14" s="69"/>
      <c r="AH14" s="69"/>
      <c r="AI14" s="69"/>
      <c r="AJ14" s="72"/>
      <c r="AK14" s="72"/>
      <c r="AL14" s="72"/>
      <c r="AM14" s="69"/>
      <c r="AN14" s="69"/>
      <c r="AO14" s="69"/>
      <c r="AP14" s="69"/>
      <c r="AQ14" s="69"/>
      <c r="AR14" s="69"/>
      <c r="AS14" s="69"/>
      <c r="AT14" s="69"/>
      <c r="AU14" s="69"/>
      <c r="AV14" s="69"/>
      <c r="AW14" s="69"/>
      <c r="AX14" s="69"/>
      <c r="AY14" s="69"/>
      <c r="AZ14" s="69"/>
      <c r="BA14" s="69"/>
      <c r="BB14" s="69"/>
      <c r="BC14" s="69"/>
      <c r="BD14" s="69"/>
      <c r="BE14" s="69"/>
      <c r="BF14" s="69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9"/>
      <c r="BU14" s="69"/>
      <c r="BV14" s="69"/>
      <c r="BW14" s="69"/>
      <c r="BX14" s="69"/>
      <c r="BY14" s="69"/>
      <c r="BZ14" s="69"/>
      <c r="CA14" s="69"/>
      <c r="CB14" s="69"/>
      <c r="CC14" s="69"/>
      <c r="CD14" s="69"/>
      <c r="CE14" s="69"/>
      <c r="CF14" s="69"/>
      <c r="CG14" s="69"/>
      <c r="CH14" s="69"/>
      <c r="CI14" s="69"/>
      <c r="CJ14" s="69"/>
      <c r="CK14" s="69"/>
      <c r="CL14" s="69"/>
      <c r="CM14" s="69"/>
      <c r="CN14" s="69"/>
      <c r="CO14" s="69"/>
      <c r="CP14" s="69"/>
      <c r="CQ14" s="69"/>
      <c r="CR14" s="69"/>
      <c r="CS14" s="69"/>
      <c r="CT14" s="69"/>
      <c r="CU14" s="69"/>
      <c r="CV14" s="69"/>
      <c r="CW14" s="69"/>
      <c r="CX14" s="69"/>
      <c r="CY14" s="69"/>
      <c r="CZ14" s="69"/>
      <c r="DA14" s="69"/>
      <c r="DB14" s="69"/>
      <c r="DC14" s="69"/>
      <c r="DD14" s="69"/>
    </row>
    <row r="15" spans="1:108" s="71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7</v>
      </c>
      <c r="J15" s="24">
        <f>SUBTOTAL(3,J17:J106)</f>
        <v>7</v>
      </c>
      <c r="K15" s="24">
        <f>SUBTOTAL(3,K17:K106)</f>
        <v>7</v>
      </c>
      <c r="L15" s="24">
        <f>SUBTOTAL(3,L17:L106)</f>
        <v>7</v>
      </c>
      <c r="M15" s="5"/>
      <c r="N15" s="5"/>
      <c r="O15" s="5"/>
      <c r="P15" s="5"/>
      <c r="Q15" s="96"/>
      <c r="R15" s="101"/>
      <c r="S15" s="78"/>
      <c r="T15" s="78"/>
      <c r="U15" s="79"/>
      <c r="V15" s="78"/>
      <c r="Y15" s="80"/>
      <c r="Z15" s="96"/>
      <c r="AB15" s="81"/>
      <c r="AC15" s="82"/>
      <c r="AE15" s="81"/>
      <c r="AU15" s="82"/>
      <c r="AW15" s="82"/>
      <c r="AX15" s="82"/>
      <c r="AY15" s="82"/>
      <c r="AZ15" s="82"/>
      <c r="BB15" s="82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71" customFormat="1" ht="74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172</v>
      </c>
      <c r="K16" s="9" t="s">
        <v>60</v>
      </c>
      <c r="L16" s="9" t="s">
        <v>41</v>
      </c>
      <c r="M16" s="9" t="s">
        <v>42</v>
      </c>
      <c r="N16" s="6" t="s">
        <v>1</v>
      </c>
      <c r="O16" s="68" t="s">
        <v>167</v>
      </c>
      <c r="P16" s="68" t="s">
        <v>168</v>
      </c>
      <c r="Q16" s="98" t="s">
        <v>114</v>
      </c>
      <c r="R16" s="101">
        <f>SUM(Q17:Q106)</f>
        <v>0</v>
      </c>
      <c r="S16" s="75"/>
      <c r="T16" s="78">
        <f>AF26+AF29</f>
        <v>0</v>
      </c>
      <c r="U16" s="84" t="s">
        <v>76</v>
      </c>
      <c r="V16" s="83">
        <f>SUM(V17:V24)</f>
        <v>1</v>
      </c>
      <c r="X16" s="75" t="s">
        <v>58</v>
      </c>
      <c r="Y16" s="83">
        <f>SUM(Y17:Y24)</f>
        <v>7</v>
      </c>
      <c r="Z16" s="98" t="s">
        <v>110</v>
      </c>
      <c r="AA16" s="83">
        <f>SUM(AA17:AA24)</f>
        <v>7</v>
      </c>
      <c r="AB16" s="84" t="s">
        <v>54</v>
      </c>
      <c r="AC16" s="83">
        <f>SUM(AC17*AD17,AC18*AD18,AC19*AD19,AC20*AD20,AC21*AD21,AC22*AD22,AC23*AD23,AC24*AD24,AC25*AD25,AC26*AD26,AC27*AD27,AC28*AD28,AC29*AD29,AC30*AD30,AC30*AD30,AC31*AD31,AC32*AD32,AC33*AD33,AC34*AD34,AC35*AD35,AC36*AD36)</f>
        <v>6</v>
      </c>
      <c r="AD16" s="83">
        <f>SUM(AD17:AD24)</f>
        <v>45</v>
      </c>
      <c r="AE16" s="84" t="s">
        <v>42</v>
      </c>
      <c r="AF16" s="83">
        <f>SUM(AF17:AF24)</f>
        <v>4</v>
      </c>
      <c r="AG16" s="83">
        <f>SUM(AG17:AG21)</f>
        <v>7</v>
      </c>
      <c r="AH16" s="75"/>
      <c r="AI16" s="75"/>
      <c r="AK16" s="85" t="s">
        <v>74</v>
      </c>
      <c r="AM16" s="75" t="s">
        <v>57</v>
      </c>
      <c r="AN16" s="75" t="s">
        <v>51</v>
      </c>
      <c r="AO16" s="75"/>
      <c r="AP16" s="75" t="s">
        <v>65</v>
      </c>
      <c r="AQ16" s="75"/>
      <c r="AR16" s="75" t="s">
        <v>115</v>
      </c>
      <c r="AS16" s="75"/>
      <c r="AT16" s="75" t="s">
        <v>68</v>
      </c>
      <c r="AU16" s="75"/>
      <c r="AV16" s="75" t="s">
        <v>79</v>
      </c>
      <c r="AW16" s="75"/>
      <c r="AX16" s="75"/>
      <c r="AY16" s="75"/>
      <c r="AZ16" s="75"/>
      <c r="BA16" s="85" t="s">
        <v>100</v>
      </c>
      <c r="BB16" s="75"/>
      <c r="BC16" s="75" t="s">
        <v>111</v>
      </c>
      <c r="BE16" s="86" t="s">
        <v>77</v>
      </c>
      <c r="BF16" s="73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71" customFormat="1" ht="10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10</v>
      </c>
      <c r="D17" s="32" t="s">
        <v>190</v>
      </c>
      <c r="E17" s="33">
        <v>2</v>
      </c>
      <c r="F17" s="36">
        <v>22</v>
      </c>
      <c r="G17" s="36">
        <v>21</v>
      </c>
      <c r="H17" s="38" t="str">
        <f>IF(I17="","",$I$14)</f>
        <v>SCOUTING</v>
      </c>
      <c r="I17" s="34">
        <v>146</v>
      </c>
      <c r="J17" s="13" t="s">
        <v>4</v>
      </c>
      <c r="K17" s="13" t="s">
        <v>62</v>
      </c>
      <c r="L17" s="13" t="s">
        <v>75</v>
      </c>
      <c r="M17" s="13" t="s">
        <v>9</v>
      </c>
      <c r="N17" s="35" t="s">
        <v>192</v>
      </c>
      <c r="O17" s="5" t="s">
        <v>19</v>
      </c>
      <c r="P17" s="5">
        <v>10</v>
      </c>
      <c r="Q17" s="92">
        <f t="shared" ref="Q17:Q48" si="4">IF(AND(OR(L17="MISSING",L17="PART OF A SEQUENCE",L17="NOT HAPPENED"),OR(M17=$AE$37,M17=$AE$38,M17=$AE$43,M17=$AE$40,M17=$AE$25)),1,0)</f>
        <v>0</v>
      </c>
      <c r="R17" s="5" t="s">
        <v>174</v>
      </c>
      <c r="U17" s="74" t="s">
        <v>20</v>
      </c>
      <c r="V17" s="73">
        <f>COUNTIF($M$17:$M$106,U17)</f>
        <v>0</v>
      </c>
      <c r="X17" s="87" t="s">
        <v>4</v>
      </c>
      <c r="Y17" s="70">
        <f>COUNTIF($J$17:$J$106,X17)</f>
        <v>7</v>
      </c>
      <c r="Z17" s="113" t="s">
        <v>63</v>
      </c>
      <c r="AA17" s="70">
        <f>COUNTIF($K$17:$K$106,Z17)</f>
        <v>3</v>
      </c>
      <c r="AB17" s="74" t="s">
        <v>19</v>
      </c>
      <c r="AC17" s="69">
        <f t="shared" ref="AC17:AC29" si="5">COUNTIF($L$17:$L$106,AB17)</f>
        <v>0</v>
      </c>
      <c r="AD17" s="69">
        <f t="shared" ref="AD17:AD25" si="6">P17</f>
        <v>10</v>
      </c>
      <c r="AE17" s="74" t="s">
        <v>11</v>
      </c>
      <c r="AF17" s="73">
        <f t="shared" ref="AF17:AF48" si="7">COUNTIF($M$17:$M$106,AE17)</f>
        <v>3</v>
      </c>
      <c r="AG17" s="70">
        <f>COUNTIF($E$17:$E$106,$AK17)</f>
        <v>0</v>
      </c>
      <c r="AH17" s="73"/>
      <c r="AI17" s="73"/>
      <c r="AK17" s="88">
        <v>1</v>
      </c>
      <c r="AM17" s="73" t="s">
        <v>55</v>
      </c>
      <c r="AN17" s="73">
        <v>1</v>
      </c>
      <c r="AO17" s="73"/>
      <c r="AP17" s="73" t="s">
        <v>17</v>
      </c>
      <c r="AQ17" s="73">
        <v>0</v>
      </c>
      <c r="AR17" s="73" t="s">
        <v>14</v>
      </c>
      <c r="AS17" s="73">
        <v>0</v>
      </c>
      <c r="AT17" s="73" t="s">
        <v>70</v>
      </c>
      <c r="AU17" s="73">
        <v>0</v>
      </c>
      <c r="AV17" s="73" t="s">
        <v>18</v>
      </c>
      <c r="AW17" s="73">
        <v>0</v>
      </c>
      <c r="AX17" s="73"/>
      <c r="AY17" s="73"/>
      <c r="AZ17" s="73"/>
      <c r="BA17" s="89" t="s">
        <v>101</v>
      </c>
      <c r="BB17" s="73"/>
      <c r="BC17" s="87">
        <v>0</v>
      </c>
      <c r="BE17" s="73" t="s">
        <v>34</v>
      </c>
      <c r="BF17" s="73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71" customFormat="1" ht="10.5" x14ac:dyDescent="0.25">
      <c r="A18" s="20"/>
      <c r="B18" s="31" t="str">
        <f t="shared" si="2"/>
        <v>U2025</v>
      </c>
      <c r="C18" s="31">
        <f t="shared" si="3"/>
        <v>10</v>
      </c>
      <c r="D18" s="32" t="s">
        <v>190</v>
      </c>
      <c r="E18" s="33">
        <v>2</v>
      </c>
      <c r="F18" s="36">
        <v>22</v>
      </c>
      <c r="G18" s="36">
        <v>21</v>
      </c>
      <c r="H18" s="38" t="str">
        <f t="shared" ref="H18:H81" si="8">IF(I18="","",$I$14)</f>
        <v>SCOUTING</v>
      </c>
      <c r="I18" s="34">
        <v>148</v>
      </c>
      <c r="J18" s="13" t="s">
        <v>4</v>
      </c>
      <c r="K18" s="13" t="s">
        <v>62</v>
      </c>
      <c r="L18" s="13" t="s">
        <v>75</v>
      </c>
      <c r="M18" s="13" t="s">
        <v>8</v>
      </c>
      <c r="N18" s="35" t="s">
        <v>191</v>
      </c>
      <c r="O18" s="5" t="s">
        <v>5</v>
      </c>
      <c r="P18" s="5">
        <v>0.5</v>
      </c>
      <c r="Q18" s="92">
        <f t="shared" si="4"/>
        <v>0</v>
      </c>
      <c r="R18" s="5" t="s">
        <v>173</v>
      </c>
      <c r="U18" s="74" t="s">
        <v>21</v>
      </c>
      <c r="V18" s="73">
        <f t="shared" ref="V18:V24" si="9">COUNTIF($M$17:$M$106,$U18)</f>
        <v>0</v>
      </c>
      <c r="W18" s="78"/>
      <c r="X18" s="87" t="s">
        <v>3</v>
      </c>
      <c r="Y18" s="70">
        <f>COUNTIF($J$17:$J$106,X18)</f>
        <v>0</v>
      </c>
      <c r="Z18" s="113" t="s">
        <v>62</v>
      </c>
      <c r="AA18" s="70">
        <f>COUNTIF($K$17:$K$106,Z18)</f>
        <v>4</v>
      </c>
      <c r="AB18" s="74" t="s">
        <v>5</v>
      </c>
      <c r="AC18" s="69">
        <f t="shared" si="5"/>
        <v>2</v>
      </c>
      <c r="AD18" s="69">
        <f t="shared" si="6"/>
        <v>0.5</v>
      </c>
      <c r="AE18" s="74" t="s">
        <v>12</v>
      </c>
      <c r="AF18" s="73">
        <f t="shared" si="7"/>
        <v>0</v>
      </c>
      <c r="AG18" s="70">
        <f>COUNTIF($E$17:$E$106,$AK18)</f>
        <v>5</v>
      </c>
      <c r="AH18" s="73"/>
      <c r="AI18" s="73"/>
      <c r="AK18" s="88">
        <v>2</v>
      </c>
      <c r="AM18" s="73" t="s">
        <v>56</v>
      </c>
      <c r="AN18" s="73">
        <v>2</v>
      </c>
      <c r="AO18" s="73"/>
      <c r="AP18" s="73" t="s">
        <v>66</v>
      </c>
      <c r="AQ18" s="73">
        <v>2</v>
      </c>
      <c r="AR18" s="73" t="s">
        <v>15</v>
      </c>
      <c r="AS18" s="73">
        <v>5</v>
      </c>
      <c r="AT18" s="73" t="s">
        <v>17</v>
      </c>
      <c r="AU18" s="73">
        <v>1</v>
      </c>
      <c r="AV18" s="73" t="s">
        <v>17</v>
      </c>
      <c r="AW18" s="73">
        <v>1</v>
      </c>
      <c r="AX18" s="73"/>
      <c r="AY18" s="73"/>
      <c r="AZ18" s="73"/>
      <c r="BA18" s="89" t="s">
        <v>102</v>
      </c>
      <c r="BB18" s="73"/>
      <c r="BC18" s="87">
        <v>1</v>
      </c>
      <c r="BE18" s="73" t="s">
        <v>35</v>
      </c>
      <c r="BF18" s="73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71" customFormat="1" ht="10.5" x14ac:dyDescent="0.25">
      <c r="A19" s="20"/>
      <c r="B19" s="31" t="str">
        <f t="shared" si="2"/>
        <v>U2025</v>
      </c>
      <c r="C19" s="31">
        <f t="shared" si="3"/>
        <v>10</v>
      </c>
      <c r="D19" s="32" t="s">
        <v>193</v>
      </c>
      <c r="E19" s="33">
        <v>2</v>
      </c>
      <c r="F19" s="36">
        <v>22</v>
      </c>
      <c r="G19" s="36">
        <v>23</v>
      </c>
      <c r="H19" s="38" t="str">
        <f t="shared" si="8"/>
        <v>SCOUTING</v>
      </c>
      <c r="I19" s="34">
        <v>166</v>
      </c>
      <c r="J19" s="13" t="s">
        <v>4</v>
      </c>
      <c r="K19" s="13" t="s">
        <v>63</v>
      </c>
      <c r="L19" s="13" t="s">
        <v>6</v>
      </c>
      <c r="M19" s="13" t="s">
        <v>9</v>
      </c>
      <c r="N19" s="35"/>
      <c r="O19" s="5" t="s">
        <v>76</v>
      </c>
      <c r="P19" s="5">
        <v>15</v>
      </c>
      <c r="Q19" s="92">
        <f t="shared" si="4"/>
        <v>0</v>
      </c>
      <c r="R19" s="5" t="s">
        <v>174</v>
      </c>
      <c r="U19" s="74" t="s">
        <v>8</v>
      </c>
      <c r="V19" s="73">
        <f t="shared" si="9"/>
        <v>1</v>
      </c>
      <c r="W19" s="83"/>
      <c r="X19" s="90"/>
      <c r="Y19" s="91"/>
      <c r="Z19" s="113" t="s">
        <v>61</v>
      </c>
      <c r="AA19" s="70">
        <f>COUNTIF($K$17:$K$106,Z19)</f>
        <v>0</v>
      </c>
      <c r="AB19" s="74" t="s">
        <v>76</v>
      </c>
      <c r="AC19" s="69">
        <f t="shared" si="5"/>
        <v>0</v>
      </c>
      <c r="AD19" s="69">
        <f t="shared" si="6"/>
        <v>15</v>
      </c>
      <c r="AE19" s="74" t="s">
        <v>19</v>
      </c>
      <c r="AF19" s="73">
        <f t="shared" si="7"/>
        <v>0</v>
      </c>
      <c r="AG19" s="70">
        <f>COUNTIF($E$17:$E$106,$AK19)</f>
        <v>1</v>
      </c>
      <c r="AH19" s="73"/>
      <c r="AI19" s="73"/>
      <c r="AK19" s="88">
        <v>3</v>
      </c>
      <c r="AN19" s="73">
        <v>3</v>
      </c>
      <c r="AO19" s="73"/>
      <c r="AR19" s="73"/>
      <c r="AS19" s="73"/>
      <c r="AT19" s="73" t="s">
        <v>71</v>
      </c>
      <c r="AU19" s="82">
        <v>2</v>
      </c>
      <c r="AV19" s="73" t="s">
        <v>16</v>
      </c>
      <c r="AW19" s="82">
        <v>2</v>
      </c>
      <c r="AX19" s="82"/>
      <c r="AY19" s="82"/>
      <c r="AZ19" s="82"/>
      <c r="BA19" s="89" t="s">
        <v>103</v>
      </c>
      <c r="BB19" s="82"/>
      <c r="BC19" s="87">
        <v>2</v>
      </c>
      <c r="BE19" s="73" t="s">
        <v>39</v>
      </c>
      <c r="BF19" s="73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71" customFormat="1" ht="10.5" x14ac:dyDescent="0.25">
      <c r="A20" s="20"/>
      <c r="B20" s="31" t="str">
        <f t="shared" si="2"/>
        <v>U2025</v>
      </c>
      <c r="C20" s="31">
        <f t="shared" si="3"/>
        <v>10</v>
      </c>
      <c r="D20" s="32" t="s">
        <v>194</v>
      </c>
      <c r="E20" s="33">
        <v>2</v>
      </c>
      <c r="F20" s="36">
        <v>29</v>
      </c>
      <c r="G20" s="36">
        <v>36</v>
      </c>
      <c r="H20" s="38" t="str">
        <f t="shared" si="8"/>
        <v>SCOUTING</v>
      </c>
      <c r="I20" s="34">
        <v>239</v>
      </c>
      <c r="J20" s="13" t="s">
        <v>4</v>
      </c>
      <c r="K20" s="13" t="s">
        <v>62</v>
      </c>
      <c r="L20" s="13" t="s">
        <v>5</v>
      </c>
      <c r="M20" s="13" t="s">
        <v>11</v>
      </c>
      <c r="N20" s="35"/>
      <c r="O20" s="5" t="s">
        <v>24</v>
      </c>
      <c r="P20" s="5">
        <v>10</v>
      </c>
      <c r="Q20" s="92">
        <f t="shared" si="4"/>
        <v>0</v>
      </c>
      <c r="R20" s="5" t="s">
        <v>173</v>
      </c>
      <c r="U20" s="74" t="s">
        <v>29</v>
      </c>
      <c r="V20" s="73">
        <f t="shared" si="9"/>
        <v>0</v>
      </c>
      <c r="X20" s="90"/>
      <c r="Y20" s="91"/>
      <c r="Z20" s="96"/>
      <c r="AA20" s="73"/>
      <c r="AB20" s="74" t="s">
        <v>24</v>
      </c>
      <c r="AC20" s="69">
        <f t="shared" si="5"/>
        <v>0</v>
      </c>
      <c r="AD20" s="69">
        <f t="shared" si="6"/>
        <v>10</v>
      </c>
      <c r="AE20" s="74" t="s">
        <v>170</v>
      </c>
      <c r="AF20" s="73">
        <f t="shared" si="7"/>
        <v>0</v>
      </c>
      <c r="AG20" s="70">
        <f>COUNTIF($E$17:$E$106,$AK20)</f>
        <v>1</v>
      </c>
      <c r="AH20" s="73"/>
      <c r="AI20" s="73"/>
      <c r="AK20" s="88">
        <v>4</v>
      </c>
      <c r="AM20" s="73"/>
      <c r="AN20" s="73">
        <v>4</v>
      </c>
      <c r="AO20" s="73"/>
      <c r="AT20" s="73"/>
      <c r="AU20" s="82"/>
      <c r="AV20" s="73"/>
      <c r="AW20" s="82"/>
      <c r="AX20" s="82"/>
      <c r="AY20" s="82"/>
      <c r="AZ20" s="82"/>
      <c r="BA20" s="89" t="s">
        <v>107</v>
      </c>
      <c r="BB20" s="82"/>
      <c r="BC20" s="87">
        <v>3</v>
      </c>
      <c r="BE20" s="73" t="s">
        <v>37</v>
      </c>
      <c r="BF20" s="73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71" customFormat="1" ht="10.5" x14ac:dyDescent="0.25">
      <c r="A21" s="20"/>
      <c r="B21" s="31" t="str">
        <f t="shared" si="2"/>
        <v>U2025</v>
      </c>
      <c r="C21" s="31">
        <f t="shared" si="3"/>
        <v>10</v>
      </c>
      <c r="D21" s="32" t="s">
        <v>195</v>
      </c>
      <c r="E21" s="33">
        <v>2</v>
      </c>
      <c r="F21" s="36">
        <v>22</v>
      </c>
      <c r="G21" s="36">
        <v>23</v>
      </c>
      <c r="H21" s="38" t="str">
        <f t="shared" si="8"/>
        <v>SCOUTING</v>
      </c>
      <c r="I21" s="34">
        <v>161</v>
      </c>
      <c r="J21" s="13" t="s">
        <v>4</v>
      </c>
      <c r="K21" s="13" t="s">
        <v>63</v>
      </c>
      <c r="L21" s="13" t="s">
        <v>6</v>
      </c>
      <c r="M21" s="13" t="s">
        <v>22</v>
      </c>
      <c r="N21" s="35"/>
      <c r="O21" s="5" t="s">
        <v>46</v>
      </c>
      <c r="P21" s="5">
        <v>5</v>
      </c>
      <c r="Q21" s="92">
        <f t="shared" si="4"/>
        <v>0</v>
      </c>
      <c r="R21" s="5" t="s">
        <v>174</v>
      </c>
      <c r="U21" s="74" t="s">
        <v>31</v>
      </c>
      <c r="V21" s="73">
        <f t="shared" si="9"/>
        <v>0</v>
      </c>
      <c r="X21" s="90"/>
      <c r="Y21" s="91"/>
      <c r="Z21" s="113"/>
      <c r="AA21" s="73"/>
      <c r="AB21" s="74" t="s">
        <v>46</v>
      </c>
      <c r="AC21" s="69">
        <f t="shared" si="5"/>
        <v>0</v>
      </c>
      <c r="AD21" s="69">
        <f t="shared" si="6"/>
        <v>5</v>
      </c>
      <c r="AE21" s="74" t="s">
        <v>20</v>
      </c>
      <c r="AF21" s="73">
        <f t="shared" si="7"/>
        <v>0</v>
      </c>
      <c r="AG21" s="70">
        <f>COUNTIF($E$17:$E$106,$AK21)</f>
        <v>0</v>
      </c>
      <c r="AH21" s="73"/>
      <c r="AI21" s="73"/>
      <c r="AK21" s="88" t="s">
        <v>59</v>
      </c>
      <c r="AM21" s="73"/>
      <c r="AN21" s="73" t="s">
        <v>59</v>
      </c>
      <c r="AO21" s="73"/>
      <c r="AT21" s="73"/>
      <c r="AU21" s="82"/>
      <c r="AV21" s="73"/>
      <c r="AW21" s="82"/>
      <c r="AX21" s="82"/>
      <c r="AY21" s="82"/>
      <c r="AZ21" s="82"/>
      <c r="BA21" s="89" t="s">
        <v>104</v>
      </c>
      <c r="BB21" s="82"/>
      <c r="BC21" s="87">
        <v>4</v>
      </c>
      <c r="BE21" s="73" t="s">
        <v>23</v>
      </c>
      <c r="BF21" s="73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71" customFormat="1" ht="10.5" x14ac:dyDescent="0.25">
      <c r="A22" s="20"/>
      <c r="B22" s="31" t="str">
        <f t="shared" si="2"/>
        <v>U2025</v>
      </c>
      <c r="C22" s="31">
        <f t="shared" si="3"/>
        <v>10</v>
      </c>
      <c r="D22" s="32" t="s">
        <v>196</v>
      </c>
      <c r="E22" s="33">
        <v>3</v>
      </c>
      <c r="F22" s="36">
        <v>42</v>
      </c>
      <c r="G22" s="36">
        <v>45</v>
      </c>
      <c r="H22" s="38" t="str">
        <f t="shared" si="8"/>
        <v>SCOUTING</v>
      </c>
      <c r="I22" s="34">
        <v>317</v>
      </c>
      <c r="J22" s="13" t="s">
        <v>4</v>
      </c>
      <c r="K22" s="13" t="s">
        <v>62</v>
      </c>
      <c r="L22" s="13" t="s">
        <v>5</v>
      </c>
      <c r="M22" s="13" t="s">
        <v>11</v>
      </c>
      <c r="N22" s="35"/>
      <c r="O22" s="5" t="s">
        <v>6</v>
      </c>
      <c r="P22" s="5">
        <v>1</v>
      </c>
      <c r="Q22" s="92">
        <f t="shared" si="4"/>
        <v>0</v>
      </c>
      <c r="R22" s="5"/>
      <c r="U22" s="74" t="s">
        <v>32</v>
      </c>
      <c r="V22" s="73">
        <f t="shared" si="9"/>
        <v>0</v>
      </c>
      <c r="X22" s="90"/>
      <c r="Y22" s="91"/>
      <c r="Z22" s="113"/>
      <c r="AA22" s="73"/>
      <c r="AB22" s="74" t="s">
        <v>6</v>
      </c>
      <c r="AC22" s="69">
        <f t="shared" si="5"/>
        <v>3</v>
      </c>
      <c r="AD22" s="69">
        <f t="shared" si="6"/>
        <v>1</v>
      </c>
      <c r="AE22" s="74" t="s">
        <v>169</v>
      </c>
      <c r="AF22" s="73">
        <f t="shared" si="7"/>
        <v>0</v>
      </c>
      <c r="AG22" s="73"/>
      <c r="AH22" s="73"/>
      <c r="AI22" s="73"/>
      <c r="AM22" s="73"/>
      <c r="AU22" s="82"/>
      <c r="AV22" s="73"/>
      <c r="AW22" s="82"/>
      <c r="AX22" s="82"/>
      <c r="AY22" s="82"/>
      <c r="AZ22" s="82"/>
      <c r="BA22" s="89" t="s">
        <v>105</v>
      </c>
      <c r="BB22" s="82"/>
      <c r="BC22" s="87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71" customFormat="1" ht="10.5" x14ac:dyDescent="0.25">
      <c r="A23" s="20"/>
      <c r="B23" s="31" t="str">
        <f t="shared" si="2"/>
        <v>U2025</v>
      </c>
      <c r="C23" s="31">
        <f t="shared" si="3"/>
        <v>10</v>
      </c>
      <c r="D23" s="32" t="s">
        <v>197</v>
      </c>
      <c r="E23" s="33">
        <v>4</v>
      </c>
      <c r="F23" s="36">
        <v>66</v>
      </c>
      <c r="G23" s="36">
        <v>65</v>
      </c>
      <c r="H23" s="38" t="str">
        <f t="shared" si="8"/>
        <v>SCOUTING</v>
      </c>
      <c r="I23" s="34">
        <v>473</v>
      </c>
      <c r="J23" s="13" t="s">
        <v>4</v>
      </c>
      <c r="K23" s="13" t="s">
        <v>63</v>
      </c>
      <c r="L23" s="13" t="s">
        <v>6</v>
      </c>
      <c r="M23" s="13" t="s">
        <v>11</v>
      </c>
      <c r="N23" s="35"/>
      <c r="O23" s="5" t="s">
        <v>7</v>
      </c>
      <c r="P23" s="5">
        <v>2.5</v>
      </c>
      <c r="Q23" s="92">
        <f t="shared" si="4"/>
        <v>0</v>
      </c>
      <c r="R23" s="5"/>
      <c r="U23" s="74" t="s">
        <v>33</v>
      </c>
      <c r="V23" s="73">
        <f t="shared" si="9"/>
        <v>0</v>
      </c>
      <c r="X23" s="90"/>
      <c r="Y23" s="91"/>
      <c r="Z23" s="113"/>
      <c r="AA23" s="73"/>
      <c r="AB23" s="74" t="s">
        <v>7</v>
      </c>
      <c r="AC23" s="69">
        <f t="shared" si="5"/>
        <v>0</v>
      </c>
      <c r="AD23" s="69">
        <f t="shared" si="6"/>
        <v>2.5</v>
      </c>
      <c r="AE23" s="74" t="s">
        <v>21</v>
      </c>
      <c r="AF23" s="73">
        <f t="shared" si="7"/>
        <v>0</v>
      </c>
      <c r="AG23" s="73"/>
      <c r="AH23" s="73"/>
      <c r="AI23" s="73"/>
      <c r="AM23" s="73"/>
      <c r="AU23" s="82"/>
      <c r="AV23" s="73"/>
      <c r="AW23" s="82"/>
      <c r="AX23" s="82"/>
      <c r="AY23" s="82"/>
      <c r="AZ23" s="82"/>
      <c r="BA23" s="89" t="s">
        <v>106</v>
      </c>
      <c r="BB23" s="82"/>
      <c r="BC23" s="87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71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92">
        <f t="shared" si="4"/>
        <v>0</v>
      </c>
      <c r="R24" s="5" t="s">
        <v>173</v>
      </c>
      <c r="U24" s="74" t="s">
        <v>40</v>
      </c>
      <c r="V24" s="73">
        <f t="shared" si="9"/>
        <v>0</v>
      </c>
      <c r="X24" s="90"/>
      <c r="Y24" s="91"/>
      <c r="Z24" s="113"/>
      <c r="AA24" s="73"/>
      <c r="AB24" s="74" t="s">
        <v>47</v>
      </c>
      <c r="AC24" s="69">
        <f t="shared" si="5"/>
        <v>0</v>
      </c>
      <c r="AD24" s="69">
        <f t="shared" si="6"/>
        <v>1</v>
      </c>
      <c r="AE24" s="74" t="s">
        <v>8</v>
      </c>
      <c r="AF24" s="73">
        <f t="shared" si="7"/>
        <v>1</v>
      </c>
      <c r="AG24" s="73"/>
      <c r="AH24" s="73"/>
      <c r="AI24" s="73"/>
      <c r="AM24" s="73"/>
      <c r="AU24" s="82"/>
      <c r="AV24" s="73"/>
      <c r="AW24" s="82"/>
      <c r="AX24" s="82"/>
      <c r="AY24" s="82"/>
      <c r="AZ24" s="82"/>
      <c r="BB24" s="82"/>
      <c r="BC24" s="87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71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92">
        <f t="shared" si="4"/>
        <v>0</v>
      </c>
      <c r="R25" s="5"/>
      <c r="U25" s="81"/>
      <c r="X25" s="90"/>
      <c r="Y25" s="91"/>
      <c r="Z25" s="113"/>
      <c r="AA25" s="73"/>
      <c r="AB25" s="74" t="s">
        <v>48</v>
      </c>
      <c r="AC25" s="69">
        <f t="shared" si="5"/>
        <v>0</v>
      </c>
      <c r="AD25" s="69">
        <f t="shared" si="6"/>
        <v>2</v>
      </c>
      <c r="AE25" s="74" t="s">
        <v>22</v>
      </c>
      <c r="AF25" s="73">
        <f t="shared" si="7"/>
        <v>1</v>
      </c>
      <c r="AG25" s="73"/>
      <c r="AH25" s="73"/>
      <c r="AI25" s="73"/>
      <c r="AM25" s="73"/>
      <c r="AU25" s="82"/>
      <c r="AV25" s="73"/>
      <c r="AW25" s="82"/>
      <c r="AX25" s="82"/>
      <c r="AY25" s="82"/>
      <c r="AZ25" s="82"/>
      <c r="BB25" s="82"/>
      <c r="BC25" s="87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71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92">
        <f t="shared" si="4"/>
        <v>0</v>
      </c>
      <c r="R26" s="5" t="s">
        <v>174</v>
      </c>
      <c r="U26" s="81"/>
      <c r="X26" s="90"/>
      <c r="Y26" s="91"/>
      <c r="Z26" s="113"/>
      <c r="AA26" s="73"/>
      <c r="AB26" s="74" t="s">
        <v>77</v>
      </c>
      <c r="AC26" s="69">
        <f t="shared" si="5"/>
        <v>0</v>
      </c>
      <c r="AD26" s="69">
        <v>20</v>
      </c>
      <c r="AE26" s="74" t="s">
        <v>23</v>
      </c>
      <c r="AF26" s="73">
        <f t="shared" si="7"/>
        <v>0</v>
      </c>
      <c r="AG26" s="73"/>
      <c r="AH26" s="73"/>
      <c r="AI26" s="73"/>
      <c r="AM26" s="73"/>
      <c r="AU26" s="82"/>
      <c r="AV26" s="73"/>
      <c r="AW26" s="82"/>
      <c r="AX26" s="82"/>
      <c r="AY26" s="82"/>
      <c r="AZ26" s="82"/>
      <c r="BB26" s="82"/>
      <c r="BC26" s="87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71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92">
        <f t="shared" si="4"/>
        <v>0</v>
      </c>
      <c r="R27" s="5" t="s">
        <v>174</v>
      </c>
      <c r="U27" s="81"/>
      <c r="X27" s="90"/>
      <c r="Y27" s="91"/>
      <c r="Z27" s="113"/>
      <c r="AA27" s="73"/>
      <c r="AB27" s="74" t="s">
        <v>78</v>
      </c>
      <c r="AC27" s="69">
        <f t="shared" si="5"/>
        <v>0</v>
      </c>
      <c r="AD27" s="69">
        <f>P27</f>
        <v>5</v>
      </c>
      <c r="AE27" s="74" t="s">
        <v>24</v>
      </c>
      <c r="AF27" s="73">
        <f t="shared" si="7"/>
        <v>0</v>
      </c>
      <c r="AG27" s="73"/>
      <c r="AH27" s="73"/>
      <c r="AI27" s="73"/>
      <c r="AM27" s="73"/>
      <c r="AU27" s="82"/>
      <c r="AV27" s="73"/>
      <c r="AW27" s="82"/>
      <c r="AX27" s="82"/>
      <c r="AY27" s="82"/>
      <c r="AZ27" s="82"/>
      <c r="BB27" s="82"/>
      <c r="BC27" s="87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71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92">
        <f t="shared" si="4"/>
        <v>0</v>
      </c>
      <c r="R28" s="5" t="s">
        <v>174</v>
      </c>
      <c r="U28" s="81"/>
      <c r="X28" s="90"/>
      <c r="Y28" s="91"/>
      <c r="Z28" s="113"/>
      <c r="AA28" s="73"/>
      <c r="AB28" s="74" t="s">
        <v>36</v>
      </c>
      <c r="AC28" s="69">
        <f t="shared" si="5"/>
        <v>0</v>
      </c>
      <c r="AD28" s="69">
        <f>P28</f>
        <v>10</v>
      </c>
      <c r="AE28" s="74" t="s">
        <v>46</v>
      </c>
      <c r="AF28" s="73">
        <f t="shared" si="7"/>
        <v>0</v>
      </c>
      <c r="AG28" s="73"/>
      <c r="AH28" s="73"/>
      <c r="AI28" s="73"/>
      <c r="AM28" s="73"/>
      <c r="AU28" s="82"/>
      <c r="AV28" s="73"/>
      <c r="AW28" s="82"/>
      <c r="AX28" s="82"/>
      <c r="AY28" s="82"/>
      <c r="AZ28" s="82"/>
      <c r="BB28" s="82"/>
      <c r="BC28" s="87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71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92">
        <f t="shared" si="4"/>
        <v>0</v>
      </c>
      <c r="R29" s="5" t="s">
        <v>173</v>
      </c>
      <c r="U29" s="81"/>
      <c r="X29" s="90"/>
      <c r="Y29" s="91"/>
      <c r="Z29" s="113"/>
      <c r="AA29" s="73"/>
      <c r="AB29" s="74" t="s">
        <v>75</v>
      </c>
      <c r="AC29" s="69">
        <f t="shared" si="5"/>
        <v>2</v>
      </c>
      <c r="AD29" s="69">
        <f>P29</f>
        <v>1</v>
      </c>
      <c r="AE29" s="74" t="s">
        <v>25</v>
      </c>
      <c r="AF29" s="73">
        <f t="shared" si="7"/>
        <v>0</v>
      </c>
      <c r="AG29" s="73"/>
      <c r="AH29" s="73"/>
      <c r="AI29" s="73"/>
      <c r="AM29" s="73"/>
      <c r="AU29" s="82"/>
      <c r="AV29" s="73"/>
      <c r="AW29" s="82"/>
      <c r="AX29" s="82"/>
      <c r="AY29" s="82"/>
      <c r="AZ29" s="82"/>
      <c r="BB29" s="82"/>
      <c r="BC29" s="87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71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92">
        <f t="shared" si="4"/>
        <v>0</v>
      </c>
      <c r="R30" s="5"/>
      <c r="U30" s="81"/>
      <c r="X30" s="90"/>
      <c r="Y30" s="91"/>
      <c r="Z30" s="113"/>
      <c r="AA30" s="73"/>
      <c r="AB30" s="74"/>
      <c r="AC30" s="82"/>
      <c r="AD30" s="69"/>
      <c r="AE30" s="74" t="s">
        <v>26</v>
      </c>
      <c r="AF30" s="73">
        <f t="shared" si="7"/>
        <v>0</v>
      </c>
      <c r="AG30" s="73"/>
      <c r="AH30" s="73"/>
      <c r="AI30" s="73"/>
      <c r="AM30" s="73"/>
      <c r="AU30" s="82"/>
      <c r="AV30" s="73"/>
      <c r="AW30" s="82"/>
      <c r="AX30" s="82"/>
      <c r="AY30" s="82"/>
      <c r="AZ30" s="82"/>
      <c r="BB30" s="82"/>
      <c r="BC30" s="87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71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92">
        <f t="shared" si="4"/>
        <v>0</v>
      </c>
      <c r="R31" s="5"/>
      <c r="U31" s="81"/>
      <c r="X31" s="90"/>
      <c r="Y31" s="91"/>
      <c r="Z31" s="113"/>
      <c r="AA31" s="73"/>
      <c r="AB31" s="74"/>
      <c r="AC31" s="82"/>
      <c r="AD31" s="69"/>
      <c r="AE31" s="74" t="s">
        <v>27</v>
      </c>
      <c r="AF31" s="73">
        <f t="shared" si="7"/>
        <v>0</v>
      </c>
      <c r="AG31" s="73"/>
      <c r="AH31" s="73"/>
      <c r="AI31" s="73"/>
      <c r="AM31" s="73"/>
      <c r="AU31" s="82"/>
      <c r="AV31" s="73"/>
      <c r="AW31" s="82"/>
      <c r="AX31" s="82"/>
      <c r="AY31" s="82"/>
      <c r="AZ31" s="82"/>
      <c r="BB31" s="82"/>
      <c r="BC31" s="87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71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92">
        <f t="shared" si="4"/>
        <v>0</v>
      </c>
      <c r="R32" s="5"/>
      <c r="U32" s="81"/>
      <c r="X32" s="90"/>
      <c r="Y32" s="91"/>
      <c r="Z32" s="113"/>
      <c r="AA32" s="73"/>
      <c r="AB32" s="74"/>
      <c r="AC32" s="82"/>
      <c r="AD32" s="69"/>
      <c r="AE32" s="74" t="s">
        <v>29</v>
      </c>
      <c r="AF32" s="73">
        <f t="shared" si="7"/>
        <v>0</v>
      </c>
      <c r="AG32" s="73"/>
      <c r="AH32" s="73"/>
      <c r="AI32" s="73"/>
      <c r="AM32" s="73"/>
      <c r="AU32" s="82"/>
      <c r="AV32" s="73"/>
      <c r="AW32" s="82"/>
      <c r="AX32" s="82"/>
      <c r="AY32" s="82"/>
      <c r="AZ32" s="82"/>
      <c r="BB32" s="82"/>
      <c r="BC32" s="87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71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92">
        <f t="shared" si="4"/>
        <v>0</v>
      </c>
      <c r="R33" s="5"/>
      <c r="U33" s="81"/>
      <c r="X33" s="90"/>
      <c r="Y33" s="91"/>
      <c r="Z33" s="113"/>
      <c r="AA33" s="73"/>
      <c r="AB33" s="74"/>
      <c r="AC33" s="82"/>
      <c r="AE33" s="74" t="s">
        <v>28</v>
      </c>
      <c r="AF33" s="73">
        <f t="shared" si="7"/>
        <v>0</v>
      </c>
      <c r="AG33" s="73"/>
      <c r="AH33" s="73"/>
      <c r="AI33" s="73"/>
      <c r="AM33" s="73"/>
      <c r="AU33" s="82"/>
      <c r="AV33" s="73"/>
      <c r="AW33" s="82"/>
      <c r="AX33" s="82"/>
      <c r="AY33" s="82"/>
      <c r="AZ33" s="82"/>
      <c r="BB33" s="82"/>
      <c r="BC33" s="87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71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92">
        <f t="shared" si="4"/>
        <v>0</v>
      </c>
      <c r="R34" s="5"/>
      <c r="U34" s="81"/>
      <c r="X34" s="90"/>
      <c r="Y34" s="91"/>
      <c r="Z34" s="113"/>
      <c r="AA34" s="73"/>
      <c r="AB34" s="74"/>
      <c r="AC34" s="82"/>
      <c r="AE34" s="74" t="s">
        <v>30</v>
      </c>
      <c r="AF34" s="73">
        <f t="shared" si="7"/>
        <v>0</v>
      </c>
      <c r="AG34" s="73"/>
      <c r="AH34" s="73"/>
      <c r="AI34" s="73"/>
      <c r="AM34" s="73"/>
      <c r="AU34" s="82"/>
      <c r="AV34" s="73"/>
      <c r="AW34" s="82"/>
      <c r="AX34" s="82"/>
      <c r="AY34" s="82"/>
      <c r="AZ34" s="82"/>
      <c r="BB34" s="82"/>
      <c r="BC34" s="87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71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92">
        <f t="shared" si="4"/>
        <v>0</v>
      </c>
      <c r="R35" s="5"/>
      <c r="U35" s="81"/>
      <c r="X35" s="90"/>
      <c r="Y35" s="91"/>
      <c r="Z35" s="113"/>
      <c r="AA35" s="73"/>
      <c r="AB35" s="74"/>
      <c r="AC35" s="82"/>
      <c r="AE35" s="74" t="s">
        <v>10</v>
      </c>
      <c r="AF35" s="73">
        <f t="shared" si="7"/>
        <v>0</v>
      </c>
      <c r="AG35" s="73"/>
      <c r="AH35" s="73"/>
      <c r="AI35" s="73"/>
      <c r="AM35" s="73"/>
      <c r="AU35" s="82"/>
      <c r="AV35" s="73"/>
      <c r="AW35" s="82"/>
      <c r="AX35" s="82"/>
      <c r="AY35" s="82"/>
      <c r="AZ35" s="82"/>
      <c r="BB35" s="82"/>
      <c r="BC35" s="87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71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92">
        <f t="shared" si="4"/>
        <v>0</v>
      </c>
      <c r="R36" s="5"/>
      <c r="U36" s="81"/>
      <c r="X36" s="90"/>
      <c r="Y36" s="91"/>
      <c r="Z36" s="113"/>
      <c r="AA36" s="73"/>
      <c r="AB36" s="74"/>
      <c r="AC36" s="82"/>
      <c r="AE36" s="74" t="s">
        <v>78</v>
      </c>
      <c r="AF36" s="73">
        <f t="shared" si="7"/>
        <v>0</v>
      </c>
      <c r="AG36" s="73"/>
      <c r="AH36" s="73"/>
      <c r="AI36" s="73"/>
      <c r="AM36" s="73"/>
      <c r="AU36" s="82"/>
      <c r="AV36" s="73"/>
      <c r="AW36" s="82"/>
      <c r="AX36" s="82"/>
      <c r="AY36" s="82"/>
      <c r="AZ36" s="82"/>
      <c r="BB36" s="82"/>
      <c r="BC36" s="87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71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92">
        <f t="shared" si="4"/>
        <v>0</v>
      </c>
      <c r="R37" s="5"/>
      <c r="U37" s="81"/>
      <c r="X37" s="90"/>
      <c r="Y37" s="91"/>
      <c r="Z37" s="113"/>
      <c r="AA37" s="73"/>
      <c r="AB37" s="74" t="s">
        <v>114</v>
      </c>
      <c r="AC37" s="69">
        <f>COUNTIF($L$17:$L$106,AB37)</f>
        <v>0</v>
      </c>
      <c r="AD37" s="69">
        <v>20</v>
      </c>
      <c r="AE37" s="74" t="s">
        <v>31</v>
      </c>
      <c r="AF37" s="73">
        <f t="shared" si="7"/>
        <v>0</v>
      </c>
      <c r="AG37" s="73"/>
      <c r="AH37" s="73"/>
      <c r="AI37" s="73"/>
      <c r="AM37" s="73"/>
      <c r="AU37" s="82"/>
      <c r="AV37" s="73"/>
      <c r="AW37" s="82"/>
      <c r="AX37" s="82"/>
      <c r="AY37" s="82"/>
      <c r="AZ37" s="82"/>
      <c r="BB37" s="82"/>
      <c r="BC37" s="87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71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92">
        <f t="shared" si="4"/>
        <v>0</v>
      </c>
      <c r="R38" s="5"/>
      <c r="U38" s="81"/>
      <c r="X38" s="90"/>
      <c r="Y38" s="91"/>
      <c r="Z38" s="113"/>
      <c r="AA38" s="73"/>
      <c r="AB38" s="74"/>
      <c r="AC38" s="82"/>
      <c r="AE38" s="74" t="s">
        <v>32</v>
      </c>
      <c r="AF38" s="73">
        <f t="shared" si="7"/>
        <v>0</v>
      </c>
      <c r="AG38" s="73"/>
      <c r="AH38" s="73"/>
      <c r="AI38" s="73"/>
      <c r="AM38" s="73"/>
      <c r="AU38" s="82"/>
      <c r="AV38" s="73"/>
      <c r="AW38" s="82"/>
      <c r="AX38" s="82"/>
      <c r="AY38" s="82"/>
      <c r="AZ38" s="82"/>
      <c r="BB38" s="82"/>
      <c r="BC38" s="87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71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92">
        <f t="shared" si="4"/>
        <v>0</v>
      </c>
      <c r="R39" s="5"/>
      <c r="U39" s="81"/>
      <c r="X39" s="90"/>
      <c r="Y39" s="91"/>
      <c r="Z39" s="113"/>
      <c r="AA39" s="73"/>
      <c r="AB39" s="74"/>
      <c r="AC39" s="82"/>
      <c r="AE39" s="74" t="s">
        <v>33</v>
      </c>
      <c r="AF39" s="73">
        <f t="shared" si="7"/>
        <v>0</v>
      </c>
      <c r="AG39" s="73"/>
      <c r="AH39" s="73"/>
      <c r="AI39" s="73"/>
      <c r="AM39" s="73"/>
      <c r="AU39" s="82"/>
      <c r="AV39" s="73"/>
      <c r="AW39" s="82"/>
      <c r="AX39" s="82"/>
      <c r="AY39" s="82"/>
      <c r="AZ39" s="82"/>
      <c r="BB39" s="82"/>
      <c r="BC39" s="87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71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92">
        <f t="shared" si="4"/>
        <v>0</v>
      </c>
      <c r="R40" s="5"/>
      <c r="U40" s="81"/>
      <c r="X40" s="90"/>
      <c r="Y40" s="91"/>
      <c r="Z40" s="113"/>
      <c r="AA40" s="73"/>
      <c r="AB40" s="74"/>
      <c r="AC40" s="82"/>
      <c r="AE40" s="74" t="s">
        <v>34</v>
      </c>
      <c r="AF40" s="73">
        <f t="shared" si="7"/>
        <v>0</v>
      </c>
      <c r="AG40" s="73"/>
      <c r="AH40" s="73"/>
      <c r="AI40" s="73"/>
      <c r="AM40" s="73"/>
      <c r="AU40" s="82"/>
      <c r="AV40" s="73"/>
      <c r="AW40" s="82"/>
      <c r="AX40" s="82"/>
      <c r="AY40" s="82"/>
      <c r="AZ40" s="82"/>
      <c r="BB40" s="82"/>
      <c r="BC40" s="87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71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92">
        <f t="shared" si="4"/>
        <v>0</v>
      </c>
      <c r="R41" s="5"/>
      <c r="U41" s="81"/>
      <c r="X41" s="90"/>
      <c r="Y41" s="91"/>
      <c r="Z41" s="113"/>
      <c r="AA41" s="73"/>
      <c r="AB41" s="74"/>
      <c r="AC41" s="82"/>
      <c r="AE41" s="74" t="s">
        <v>35</v>
      </c>
      <c r="AF41" s="73">
        <f t="shared" si="7"/>
        <v>0</v>
      </c>
      <c r="AG41" s="73"/>
      <c r="AH41" s="73"/>
      <c r="AI41" s="73"/>
      <c r="AM41" s="73"/>
      <c r="AU41" s="82"/>
      <c r="AV41" s="73"/>
      <c r="AW41" s="82"/>
      <c r="AX41" s="82"/>
      <c r="AY41" s="82"/>
      <c r="AZ41" s="82"/>
      <c r="BB41" s="82"/>
      <c r="BC41" s="87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71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92">
        <f t="shared" si="4"/>
        <v>0</v>
      </c>
      <c r="R42" s="5"/>
      <c r="U42" s="81"/>
      <c r="X42" s="90"/>
      <c r="Y42" s="91"/>
      <c r="Z42" s="113"/>
      <c r="AA42" s="73"/>
      <c r="AB42" s="74"/>
      <c r="AC42" s="82"/>
      <c r="AE42" s="74" t="s">
        <v>166</v>
      </c>
      <c r="AF42" s="73">
        <f t="shared" si="7"/>
        <v>0</v>
      </c>
      <c r="AG42" s="73"/>
      <c r="AH42" s="73"/>
      <c r="AI42" s="73"/>
      <c r="AM42" s="73"/>
      <c r="AU42" s="82"/>
      <c r="AV42" s="73"/>
      <c r="AW42" s="82"/>
      <c r="AX42" s="82"/>
      <c r="AY42" s="82"/>
      <c r="AZ42" s="82"/>
      <c r="BB42" s="82"/>
      <c r="BC42" s="87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71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92">
        <f t="shared" si="4"/>
        <v>0</v>
      </c>
      <c r="R43" s="5"/>
      <c r="U43" s="81"/>
      <c r="X43" s="90"/>
      <c r="Y43" s="91"/>
      <c r="Z43" s="113"/>
      <c r="AA43" s="73"/>
      <c r="AB43" s="74"/>
      <c r="AC43" s="82"/>
      <c r="AE43" s="74" t="s">
        <v>36</v>
      </c>
      <c r="AF43" s="73">
        <f t="shared" si="7"/>
        <v>0</v>
      </c>
      <c r="AG43" s="73"/>
      <c r="AH43" s="73"/>
      <c r="AI43" s="73"/>
      <c r="AM43" s="73"/>
      <c r="AU43" s="82"/>
      <c r="AV43" s="73"/>
      <c r="AW43" s="82"/>
      <c r="AX43" s="82"/>
      <c r="AY43" s="82"/>
      <c r="AZ43" s="82"/>
      <c r="BB43" s="82"/>
      <c r="BC43" s="87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71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92">
        <f t="shared" si="4"/>
        <v>0</v>
      </c>
      <c r="R44" s="5"/>
      <c r="U44" s="81"/>
      <c r="X44" s="90"/>
      <c r="Y44" s="91"/>
      <c r="Z44" s="113"/>
      <c r="AA44" s="73"/>
      <c r="AB44" s="74"/>
      <c r="AC44" s="82"/>
      <c r="AE44" s="74" t="s">
        <v>37</v>
      </c>
      <c r="AF44" s="73">
        <f t="shared" si="7"/>
        <v>0</v>
      </c>
      <c r="AG44" s="73"/>
      <c r="AH44" s="73"/>
      <c r="AI44" s="73"/>
      <c r="AM44" s="73"/>
      <c r="AU44" s="82"/>
      <c r="AV44" s="73"/>
      <c r="AW44" s="82"/>
      <c r="AX44" s="82"/>
      <c r="AY44" s="82"/>
      <c r="AZ44" s="82"/>
      <c r="BB44" s="82"/>
      <c r="BC44" s="87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71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92">
        <f t="shared" si="4"/>
        <v>0</v>
      </c>
      <c r="R45" s="5"/>
      <c r="U45" s="81"/>
      <c r="X45" s="90"/>
      <c r="Y45" s="91"/>
      <c r="Z45" s="113"/>
      <c r="AA45" s="73"/>
      <c r="AB45" s="74"/>
      <c r="AC45" s="82"/>
      <c r="AE45" s="74" t="s">
        <v>9</v>
      </c>
      <c r="AF45" s="73">
        <f t="shared" si="7"/>
        <v>2</v>
      </c>
      <c r="AG45" s="73"/>
      <c r="AH45" s="73"/>
      <c r="AI45" s="73"/>
      <c r="AM45" s="73"/>
      <c r="AU45" s="82"/>
      <c r="AV45" s="73"/>
      <c r="AW45" s="82"/>
      <c r="AX45" s="82"/>
      <c r="AY45" s="82"/>
      <c r="AZ45" s="82"/>
      <c r="BB45" s="82"/>
      <c r="BC45" s="87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71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92">
        <f t="shared" si="4"/>
        <v>0</v>
      </c>
      <c r="R46" s="5"/>
      <c r="U46" s="81"/>
      <c r="X46" s="90"/>
      <c r="Y46" s="91"/>
      <c r="Z46" s="113"/>
      <c r="AA46" s="73"/>
      <c r="AB46" s="74"/>
      <c r="AC46" s="82"/>
      <c r="AE46" s="74" t="s">
        <v>38</v>
      </c>
      <c r="AF46" s="73">
        <f t="shared" si="7"/>
        <v>0</v>
      </c>
      <c r="AG46" s="73"/>
      <c r="AH46" s="73"/>
      <c r="AI46" s="73"/>
      <c r="AM46" s="73"/>
      <c r="AU46" s="82"/>
      <c r="AV46" s="73"/>
      <c r="AW46" s="82"/>
      <c r="AX46" s="82"/>
      <c r="AY46" s="82"/>
      <c r="AZ46" s="82"/>
      <c r="BB46" s="82"/>
      <c r="BC46" s="87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71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92">
        <f t="shared" si="4"/>
        <v>0</v>
      </c>
      <c r="R47" s="5"/>
      <c r="U47" s="81"/>
      <c r="X47" s="90"/>
      <c r="Y47" s="91"/>
      <c r="Z47" s="113"/>
      <c r="AA47" s="73"/>
      <c r="AB47" s="74"/>
      <c r="AC47" s="82"/>
      <c r="AE47" s="74" t="s">
        <v>39</v>
      </c>
      <c r="AF47" s="73">
        <f t="shared" si="7"/>
        <v>0</v>
      </c>
      <c r="AG47" s="73"/>
      <c r="AH47" s="73"/>
      <c r="AI47" s="73"/>
      <c r="AM47" s="73"/>
      <c r="AU47" s="82"/>
      <c r="AV47" s="73"/>
      <c r="AW47" s="82"/>
      <c r="AX47" s="82"/>
      <c r="AY47" s="82"/>
      <c r="AZ47" s="82"/>
      <c r="BB47" s="82"/>
      <c r="BC47" s="87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71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92">
        <f t="shared" si="4"/>
        <v>0</v>
      </c>
      <c r="R48" s="5"/>
      <c r="U48" s="81"/>
      <c r="X48" s="90"/>
      <c r="Y48" s="91"/>
      <c r="Z48" s="113"/>
      <c r="AA48" s="73"/>
      <c r="AB48" s="74"/>
      <c r="AC48" s="82"/>
      <c r="AD48" s="73"/>
      <c r="AE48" s="74" t="s">
        <v>40</v>
      </c>
      <c r="AF48" s="73">
        <f t="shared" si="7"/>
        <v>0</v>
      </c>
      <c r="AG48" s="73"/>
      <c r="AH48" s="73"/>
      <c r="AI48" s="73"/>
      <c r="AM48" s="73"/>
      <c r="AU48" s="82"/>
      <c r="AV48" s="73"/>
      <c r="AW48" s="82"/>
      <c r="AX48" s="82"/>
      <c r="AY48" s="82"/>
      <c r="AZ48" s="82"/>
      <c r="BB48" s="82"/>
      <c r="BC48" s="87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71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92">
        <f t="shared" ref="Q49:Q80" si="12">IF(AND(OR(L49="MISSING",L49="PART OF A SEQUENCE",L49="NOT HAPPENED"),OR(M49=$AE$37,M49=$AE$38,M49=$AE$43,M49=$AE$40,M49=$AE$25)),1,0)</f>
        <v>0</v>
      </c>
      <c r="R49" s="5"/>
      <c r="S49" s="73"/>
      <c r="T49" s="73"/>
      <c r="U49" s="74"/>
      <c r="V49" s="73"/>
      <c r="X49" s="73"/>
      <c r="Y49" s="83"/>
      <c r="Z49" s="96"/>
      <c r="AB49" s="74"/>
      <c r="AC49" s="82"/>
      <c r="AE49" s="81"/>
      <c r="AU49" s="82"/>
      <c r="AW49" s="82"/>
      <c r="AX49" s="82"/>
      <c r="AY49" s="82"/>
      <c r="AZ49" s="82"/>
      <c r="BB49" s="82"/>
      <c r="BC49" s="73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71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92">
        <f t="shared" si="12"/>
        <v>0</v>
      </c>
      <c r="R50" s="5"/>
      <c r="S50" s="73"/>
      <c r="T50" s="73"/>
      <c r="U50" s="74"/>
      <c r="V50" s="73"/>
      <c r="X50" s="73"/>
      <c r="Y50" s="83"/>
      <c r="Z50" s="96"/>
      <c r="AB50" s="74"/>
      <c r="AC50" s="82"/>
      <c r="AE50" s="81"/>
      <c r="AU50" s="82"/>
      <c r="AW50" s="82"/>
      <c r="AX50" s="82"/>
      <c r="AY50" s="82"/>
      <c r="AZ50" s="82"/>
      <c r="BB50" s="82"/>
      <c r="BC50" s="73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71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92">
        <f t="shared" si="12"/>
        <v>0</v>
      </c>
      <c r="R51" s="5"/>
      <c r="S51" s="73"/>
      <c r="T51" s="73"/>
      <c r="U51" s="74"/>
      <c r="V51" s="73"/>
      <c r="X51" s="73"/>
      <c r="Y51" s="83"/>
      <c r="Z51" s="96"/>
      <c r="AB51" s="74"/>
      <c r="AC51" s="82"/>
      <c r="AE51" s="81"/>
      <c r="AU51" s="82"/>
      <c r="AW51" s="82"/>
      <c r="AX51" s="82"/>
      <c r="AY51" s="82"/>
      <c r="AZ51" s="82"/>
      <c r="BB51" s="82"/>
      <c r="BC51" s="73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71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92">
        <f t="shared" si="12"/>
        <v>0</v>
      </c>
      <c r="R52" s="5"/>
      <c r="S52" s="73"/>
      <c r="T52" s="73"/>
      <c r="U52" s="74"/>
      <c r="V52" s="73"/>
      <c r="W52" s="73"/>
      <c r="X52" s="73"/>
      <c r="Y52" s="83"/>
      <c r="Z52" s="96"/>
      <c r="AB52" s="74"/>
      <c r="AC52" s="82"/>
      <c r="AE52" s="81"/>
      <c r="AU52" s="82"/>
      <c r="AW52" s="82"/>
      <c r="AX52" s="82"/>
      <c r="AY52" s="82"/>
      <c r="AZ52" s="82"/>
      <c r="BB52" s="82"/>
      <c r="BC52" s="73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71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92">
        <f t="shared" si="12"/>
        <v>0</v>
      </c>
      <c r="R53" s="5"/>
      <c r="S53" s="73"/>
      <c r="T53" s="73"/>
      <c r="U53" s="74"/>
      <c r="V53" s="73"/>
      <c r="W53" s="73"/>
      <c r="X53" s="73"/>
      <c r="Y53" s="83"/>
      <c r="Z53" s="96"/>
      <c r="AB53" s="74"/>
      <c r="AC53" s="82"/>
      <c r="AE53" s="81"/>
      <c r="AU53" s="82"/>
      <c r="AW53" s="82"/>
      <c r="AX53" s="82"/>
      <c r="AY53" s="82"/>
      <c r="AZ53" s="82"/>
      <c r="BB53" s="82"/>
      <c r="BC53" s="73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71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92">
        <f t="shared" si="12"/>
        <v>0</v>
      </c>
      <c r="R54" s="5"/>
      <c r="S54" s="73"/>
      <c r="T54" s="73"/>
      <c r="U54" s="74"/>
      <c r="V54" s="73"/>
      <c r="W54" s="73"/>
      <c r="X54" s="73"/>
      <c r="Y54" s="83"/>
      <c r="Z54" s="96"/>
      <c r="AB54" s="74"/>
      <c r="AC54" s="82"/>
      <c r="AE54" s="81"/>
      <c r="AU54" s="82"/>
      <c r="AW54" s="82"/>
      <c r="AX54" s="82"/>
      <c r="AY54" s="82"/>
      <c r="AZ54" s="82"/>
      <c r="BB54" s="82"/>
      <c r="BC54" s="73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71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92">
        <f t="shared" si="12"/>
        <v>0</v>
      </c>
      <c r="R55" s="5"/>
      <c r="S55" s="73"/>
      <c r="T55" s="73"/>
      <c r="U55" s="74"/>
      <c r="V55" s="73"/>
      <c r="W55" s="73"/>
      <c r="X55" s="73"/>
      <c r="Y55" s="83"/>
      <c r="Z55" s="96"/>
      <c r="AB55" s="74"/>
      <c r="AC55" s="82"/>
      <c r="AE55" s="81"/>
      <c r="AU55" s="82"/>
      <c r="AW55" s="82"/>
      <c r="AX55" s="82"/>
      <c r="AY55" s="82"/>
      <c r="AZ55" s="82"/>
      <c r="BB55" s="82"/>
      <c r="BC55" s="73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71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92">
        <f t="shared" si="12"/>
        <v>0</v>
      </c>
      <c r="R56" s="5"/>
      <c r="S56" s="73"/>
      <c r="T56" s="73"/>
      <c r="U56" s="74"/>
      <c r="V56" s="73"/>
      <c r="W56" s="73"/>
      <c r="X56" s="73"/>
      <c r="Y56" s="83"/>
      <c r="Z56" s="96"/>
      <c r="AB56" s="74"/>
      <c r="AC56" s="82"/>
      <c r="AE56" s="81"/>
      <c r="AU56" s="82"/>
      <c r="AW56" s="82"/>
      <c r="AX56" s="82"/>
      <c r="AY56" s="82"/>
      <c r="AZ56" s="82"/>
      <c r="BB56" s="82"/>
      <c r="BC56" s="73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71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92">
        <f t="shared" si="12"/>
        <v>0</v>
      </c>
      <c r="R57" s="5"/>
      <c r="S57" s="73"/>
      <c r="T57" s="73"/>
      <c r="U57" s="74"/>
      <c r="V57" s="73"/>
      <c r="W57" s="73"/>
      <c r="X57" s="73"/>
      <c r="Y57" s="83"/>
      <c r="Z57" s="96"/>
      <c r="AB57" s="74"/>
      <c r="AC57" s="82"/>
      <c r="AE57" s="81"/>
      <c r="AU57" s="82"/>
      <c r="AW57" s="82"/>
      <c r="AX57" s="82"/>
      <c r="AY57" s="82"/>
      <c r="AZ57" s="82"/>
      <c r="BB57" s="82"/>
      <c r="BC57" s="73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71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92">
        <f t="shared" si="12"/>
        <v>0</v>
      </c>
      <c r="R58" s="5"/>
      <c r="S58" s="73"/>
      <c r="T58" s="73"/>
      <c r="U58" s="74"/>
      <c r="V58" s="73"/>
      <c r="W58" s="73"/>
      <c r="X58" s="73"/>
      <c r="Y58" s="83"/>
      <c r="Z58" s="96"/>
      <c r="AB58" s="74"/>
      <c r="AC58" s="82"/>
      <c r="AE58" s="81"/>
      <c r="AU58" s="82"/>
      <c r="AW58" s="82"/>
      <c r="AX58" s="82"/>
      <c r="AY58" s="82"/>
      <c r="AZ58" s="82"/>
      <c r="BB58" s="82"/>
      <c r="BC58" s="73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71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92">
        <f t="shared" si="12"/>
        <v>0</v>
      </c>
      <c r="R59" s="5"/>
      <c r="S59" s="73"/>
      <c r="T59" s="73"/>
      <c r="U59" s="74"/>
      <c r="V59" s="73"/>
      <c r="W59" s="73"/>
      <c r="X59" s="73"/>
      <c r="Y59" s="83"/>
      <c r="Z59" s="96"/>
      <c r="AB59" s="74"/>
      <c r="AC59" s="82"/>
      <c r="AE59" s="81"/>
      <c r="AU59" s="82"/>
      <c r="AW59" s="82"/>
      <c r="AX59" s="82"/>
      <c r="AY59" s="82"/>
      <c r="AZ59" s="82"/>
      <c r="BB59" s="82"/>
      <c r="BC59" s="73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71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92">
        <f t="shared" si="12"/>
        <v>0</v>
      </c>
      <c r="R60" s="5"/>
      <c r="S60" s="73"/>
      <c r="T60" s="73"/>
      <c r="U60" s="74"/>
      <c r="V60" s="73"/>
      <c r="W60" s="73"/>
      <c r="X60" s="73"/>
      <c r="Y60" s="83"/>
      <c r="Z60" s="96"/>
      <c r="AB60" s="74"/>
      <c r="AC60" s="82"/>
      <c r="AE60" s="81"/>
      <c r="AU60" s="82"/>
      <c r="AW60" s="82"/>
      <c r="AX60" s="82"/>
      <c r="AY60" s="82"/>
      <c r="AZ60" s="82"/>
      <c r="BB60" s="82"/>
      <c r="BC60" s="73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71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92">
        <f t="shared" si="12"/>
        <v>0</v>
      </c>
      <c r="R61" s="5"/>
      <c r="S61" s="73"/>
      <c r="T61" s="73"/>
      <c r="U61" s="74"/>
      <c r="V61" s="73"/>
      <c r="W61" s="73"/>
      <c r="X61" s="73"/>
      <c r="Y61" s="83"/>
      <c r="Z61" s="96"/>
      <c r="AB61" s="74"/>
      <c r="AC61" s="82"/>
      <c r="AE61" s="81"/>
      <c r="AU61" s="82"/>
      <c r="AW61" s="82"/>
      <c r="AX61" s="82"/>
      <c r="AY61" s="82"/>
      <c r="AZ61" s="82"/>
      <c r="BB61" s="82"/>
      <c r="BC61" s="73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71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92">
        <f t="shared" si="12"/>
        <v>0</v>
      </c>
      <c r="R62" s="5"/>
      <c r="S62" s="73"/>
      <c r="T62" s="73"/>
      <c r="U62" s="74"/>
      <c r="V62" s="73"/>
      <c r="W62" s="73"/>
      <c r="X62" s="73"/>
      <c r="Y62" s="83"/>
      <c r="Z62" s="96"/>
      <c r="AB62" s="74"/>
      <c r="AC62" s="82"/>
      <c r="AE62" s="81"/>
      <c r="AU62" s="82"/>
      <c r="AW62" s="82"/>
      <c r="AX62" s="82"/>
      <c r="AY62" s="82"/>
      <c r="AZ62" s="82"/>
      <c r="BB62" s="82"/>
      <c r="BC62" s="73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71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92">
        <f t="shared" si="12"/>
        <v>0</v>
      </c>
      <c r="R63" s="5"/>
      <c r="S63" s="73"/>
      <c r="T63" s="73"/>
      <c r="U63" s="74"/>
      <c r="V63" s="73"/>
      <c r="W63" s="73"/>
      <c r="X63" s="73"/>
      <c r="Y63" s="83"/>
      <c r="Z63" s="96"/>
      <c r="AB63" s="74"/>
      <c r="AC63" s="82"/>
      <c r="AE63" s="81"/>
      <c r="AU63" s="82"/>
      <c r="AW63" s="82"/>
      <c r="AX63" s="82"/>
      <c r="AY63" s="82"/>
      <c r="AZ63" s="82"/>
      <c r="BB63" s="82"/>
      <c r="BC63" s="73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71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92">
        <f t="shared" si="12"/>
        <v>0</v>
      </c>
      <c r="R64" s="5"/>
      <c r="S64" s="73"/>
      <c r="T64" s="73"/>
      <c r="U64" s="74"/>
      <c r="V64" s="73"/>
      <c r="W64" s="73"/>
      <c r="X64" s="73"/>
      <c r="Y64" s="83"/>
      <c r="Z64" s="96"/>
      <c r="AB64" s="74"/>
      <c r="AC64" s="82"/>
      <c r="AE64" s="81"/>
      <c r="AU64" s="82"/>
      <c r="AW64" s="82"/>
      <c r="AX64" s="82"/>
      <c r="AY64" s="82"/>
      <c r="AZ64" s="82"/>
      <c r="BB64" s="82"/>
      <c r="BC64" s="73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71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92">
        <f t="shared" si="12"/>
        <v>0</v>
      </c>
      <c r="R65" s="5"/>
      <c r="S65" s="73"/>
      <c r="T65" s="73"/>
      <c r="U65" s="74"/>
      <c r="V65" s="73"/>
      <c r="W65" s="73"/>
      <c r="X65" s="73"/>
      <c r="Y65" s="83"/>
      <c r="Z65" s="96"/>
      <c r="AB65" s="74"/>
      <c r="AC65" s="82"/>
      <c r="AE65" s="81"/>
      <c r="AU65" s="82"/>
      <c r="AW65" s="82"/>
      <c r="AX65" s="82"/>
      <c r="AY65" s="82"/>
      <c r="AZ65" s="82"/>
      <c r="BB65" s="82"/>
      <c r="BC65" s="73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71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92">
        <f t="shared" si="12"/>
        <v>0</v>
      </c>
      <c r="R66" s="5"/>
      <c r="S66" s="73"/>
      <c r="T66" s="73"/>
      <c r="U66" s="74"/>
      <c r="V66" s="73"/>
      <c r="W66" s="73"/>
      <c r="X66" s="73"/>
      <c r="Y66" s="83"/>
      <c r="Z66" s="96"/>
      <c r="AB66" s="74"/>
      <c r="AC66" s="82"/>
      <c r="AE66" s="81"/>
      <c r="AU66" s="82"/>
      <c r="AW66" s="82"/>
      <c r="AX66" s="82"/>
      <c r="AY66" s="82"/>
      <c r="AZ66" s="82"/>
      <c r="BB66" s="82"/>
      <c r="BC66" s="73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71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92">
        <f t="shared" si="12"/>
        <v>0</v>
      </c>
      <c r="R67" s="5"/>
      <c r="S67" s="73"/>
      <c r="T67" s="73"/>
      <c r="U67" s="74"/>
      <c r="V67" s="73"/>
      <c r="W67" s="73"/>
      <c r="X67" s="73"/>
      <c r="Y67" s="83"/>
      <c r="Z67" s="96"/>
      <c r="AB67" s="74"/>
      <c r="AC67" s="82"/>
      <c r="AE67" s="81"/>
      <c r="AU67" s="82"/>
      <c r="AW67" s="82"/>
      <c r="AX67" s="82"/>
      <c r="AY67" s="82"/>
      <c r="AZ67" s="82"/>
      <c r="BB67" s="82"/>
      <c r="BC67" s="73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71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92">
        <f t="shared" si="12"/>
        <v>0</v>
      </c>
      <c r="R68" s="5"/>
      <c r="S68" s="73"/>
      <c r="T68" s="73"/>
      <c r="U68" s="74"/>
      <c r="V68" s="73"/>
      <c r="W68" s="73"/>
      <c r="X68" s="73"/>
      <c r="Y68" s="83"/>
      <c r="Z68" s="96"/>
      <c r="AB68" s="74"/>
      <c r="AC68" s="82"/>
      <c r="AE68" s="81"/>
      <c r="AU68" s="82"/>
      <c r="AW68" s="82"/>
      <c r="AX68" s="82"/>
      <c r="AY68" s="82"/>
      <c r="AZ68" s="82"/>
      <c r="BB68" s="82"/>
      <c r="BC68" s="73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71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92">
        <f t="shared" si="12"/>
        <v>0</v>
      </c>
      <c r="R69" s="5"/>
      <c r="S69" s="73"/>
      <c r="T69" s="73"/>
      <c r="U69" s="74"/>
      <c r="V69" s="73"/>
      <c r="W69" s="73"/>
      <c r="X69" s="73"/>
      <c r="Y69" s="83"/>
      <c r="Z69" s="96"/>
      <c r="AB69" s="74"/>
      <c r="AC69" s="82"/>
      <c r="AE69" s="81"/>
      <c r="AU69" s="82"/>
      <c r="AW69" s="82"/>
      <c r="AX69" s="82"/>
      <c r="AY69" s="82"/>
      <c r="AZ69" s="82"/>
      <c r="BB69" s="82"/>
      <c r="BC69" s="73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71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92">
        <f t="shared" si="12"/>
        <v>0</v>
      </c>
      <c r="R70" s="5"/>
      <c r="S70" s="73"/>
      <c r="T70" s="73"/>
      <c r="U70" s="74"/>
      <c r="V70" s="73"/>
      <c r="W70" s="73"/>
      <c r="X70" s="73"/>
      <c r="Y70" s="83"/>
      <c r="Z70" s="96"/>
      <c r="AB70" s="74"/>
      <c r="AC70" s="82"/>
      <c r="AE70" s="81"/>
      <c r="AU70" s="82"/>
      <c r="AW70" s="82"/>
      <c r="AX70" s="82"/>
      <c r="AY70" s="82"/>
      <c r="AZ70" s="82"/>
      <c r="BB70" s="82"/>
      <c r="BC70" s="73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71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92">
        <f t="shared" si="12"/>
        <v>0</v>
      </c>
      <c r="R71" s="5"/>
      <c r="S71" s="73"/>
      <c r="T71" s="73"/>
      <c r="U71" s="74"/>
      <c r="V71" s="73"/>
      <c r="W71" s="73"/>
      <c r="X71" s="73"/>
      <c r="Y71" s="83"/>
      <c r="Z71" s="96"/>
      <c r="AB71" s="74"/>
      <c r="AC71" s="82"/>
      <c r="AE71" s="81"/>
      <c r="AU71" s="82"/>
      <c r="AW71" s="82"/>
      <c r="AX71" s="82"/>
      <c r="AY71" s="82"/>
      <c r="AZ71" s="82"/>
      <c r="BB71" s="82"/>
      <c r="BC71" s="73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71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92">
        <f t="shared" si="12"/>
        <v>0</v>
      </c>
      <c r="R72" s="5"/>
      <c r="S72" s="73"/>
      <c r="T72" s="73"/>
      <c r="U72" s="74"/>
      <c r="V72" s="73"/>
      <c r="W72" s="73"/>
      <c r="X72" s="73"/>
      <c r="Y72" s="83"/>
      <c r="Z72" s="96"/>
      <c r="AB72" s="74"/>
      <c r="AC72" s="82"/>
      <c r="AE72" s="81"/>
      <c r="AU72" s="82"/>
      <c r="AW72" s="82"/>
      <c r="AX72" s="82"/>
      <c r="AY72" s="82"/>
      <c r="AZ72" s="82"/>
      <c r="BB72" s="82"/>
      <c r="BC72" s="73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71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92">
        <f t="shared" si="12"/>
        <v>0</v>
      </c>
      <c r="R73" s="5"/>
      <c r="S73" s="104"/>
      <c r="T73" s="104"/>
      <c r="U73" s="112"/>
      <c r="V73" s="104"/>
      <c r="W73" s="104"/>
      <c r="X73" s="104"/>
      <c r="Y73" s="111"/>
      <c r="Z73" s="96"/>
      <c r="AA73" s="4"/>
      <c r="AB73" s="112"/>
      <c r="AC73" s="110"/>
      <c r="AD73" s="4"/>
      <c r="AE73" s="109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10"/>
      <c r="AV73" s="4"/>
      <c r="AW73" s="110"/>
      <c r="AX73" s="110"/>
      <c r="AY73" s="110"/>
      <c r="AZ73" s="110"/>
      <c r="BA73" s="4"/>
      <c r="BB73" s="110"/>
      <c r="BC73" s="10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71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92">
        <f t="shared" si="12"/>
        <v>0</v>
      </c>
      <c r="R74" s="5"/>
      <c r="S74" s="104"/>
      <c r="T74" s="104"/>
      <c r="U74" s="112"/>
      <c r="V74" s="104"/>
      <c r="W74" s="104"/>
      <c r="X74" s="104"/>
      <c r="Y74" s="111"/>
      <c r="Z74" s="96"/>
      <c r="AA74" s="4"/>
      <c r="AB74" s="112"/>
      <c r="AC74" s="110"/>
      <c r="AD74" s="4"/>
      <c r="AE74" s="109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10"/>
      <c r="AV74" s="4"/>
      <c r="AW74" s="110"/>
      <c r="AX74" s="110"/>
      <c r="AY74" s="110"/>
      <c r="AZ74" s="110"/>
      <c r="BA74" s="4"/>
      <c r="BB74" s="110"/>
      <c r="BC74" s="10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71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92">
        <f t="shared" si="12"/>
        <v>0</v>
      </c>
      <c r="R75" s="5"/>
      <c r="S75" s="104"/>
      <c r="T75" s="104"/>
      <c r="U75" s="112"/>
      <c r="V75" s="104"/>
      <c r="W75" s="104"/>
      <c r="X75" s="104"/>
      <c r="Y75" s="111"/>
      <c r="Z75" s="96"/>
      <c r="AA75" s="4"/>
      <c r="AB75" s="112"/>
      <c r="AC75" s="110"/>
      <c r="AD75" s="4"/>
      <c r="AE75" s="109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10"/>
      <c r="AV75" s="4"/>
      <c r="AW75" s="110"/>
      <c r="AX75" s="110"/>
      <c r="AY75" s="110"/>
      <c r="AZ75" s="110"/>
      <c r="BA75" s="4"/>
      <c r="BB75" s="110"/>
      <c r="BC75" s="10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71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92">
        <f t="shared" si="12"/>
        <v>0</v>
      </c>
      <c r="R76" s="5"/>
      <c r="S76" s="104"/>
      <c r="T76" s="104"/>
      <c r="U76" s="112"/>
      <c r="V76" s="104"/>
      <c r="W76" s="104"/>
      <c r="X76" s="104"/>
      <c r="Y76" s="111"/>
      <c r="Z76" s="96"/>
      <c r="AA76" s="4"/>
      <c r="AB76" s="112"/>
      <c r="AC76" s="110"/>
      <c r="AD76" s="4"/>
      <c r="AE76" s="109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10"/>
      <c r="AV76" s="4"/>
      <c r="AW76" s="110"/>
      <c r="AX76" s="110"/>
      <c r="AY76" s="110"/>
      <c r="AZ76" s="110"/>
      <c r="BA76" s="4"/>
      <c r="BB76" s="110"/>
      <c r="BC76" s="10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71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92">
        <f t="shared" si="12"/>
        <v>0</v>
      </c>
      <c r="R77" s="5"/>
      <c r="S77" s="104"/>
      <c r="T77" s="104"/>
      <c r="U77" s="112"/>
      <c r="V77" s="104"/>
      <c r="W77" s="104"/>
      <c r="X77" s="104"/>
      <c r="Y77" s="111"/>
      <c r="Z77" s="96"/>
      <c r="AA77" s="4"/>
      <c r="AB77" s="112"/>
      <c r="AC77" s="110"/>
      <c r="AD77" s="4"/>
      <c r="AE77" s="109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10"/>
      <c r="AV77" s="4"/>
      <c r="AW77" s="110"/>
      <c r="AX77" s="110"/>
      <c r="AY77" s="110"/>
      <c r="AZ77" s="110"/>
      <c r="BA77" s="4"/>
      <c r="BB77" s="110"/>
      <c r="BC77" s="10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71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92">
        <f t="shared" si="12"/>
        <v>0</v>
      </c>
      <c r="R78" s="5"/>
      <c r="S78" s="104"/>
      <c r="T78" s="104"/>
      <c r="U78" s="112"/>
      <c r="V78" s="104"/>
      <c r="W78" s="104"/>
      <c r="X78" s="104"/>
      <c r="Y78" s="111"/>
      <c r="Z78" s="96"/>
      <c r="AA78" s="4"/>
      <c r="AB78" s="112"/>
      <c r="AC78" s="110"/>
      <c r="AD78" s="4"/>
      <c r="AE78" s="109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10"/>
      <c r="AV78" s="4"/>
      <c r="AW78" s="110"/>
      <c r="AX78" s="110"/>
      <c r="AY78" s="110"/>
      <c r="AZ78" s="110"/>
      <c r="BA78" s="4"/>
      <c r="BB78" s="110"/>
      <c r="BC78" s="10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71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92">
        <f t="shared" si="12"/>
        <v>0</v>
      </c>
      <c r="R79" s="5"/>
      <c r="S79" s="104"/>
      <c r="T79" s="104"/>
      <c r="U79" s="112"/>
      <c r="V79" s="104"/>
      <c r="W79" s="104"/>
      <c r="X79" s="104"/>
      <c r="Y79" s="111"/>
      <c r="Z79" s="96"/>
      <c r="AA79" s="4"/>
      <c r="AB79" s="112"/>
      <c r="AC79" s="110"/>
      <c r="AD79" s="4"/>
      <c r="AE79" s="109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10"/>
      <c r="AV79" s="4"/>
      <c r="AW79" s="110"/>
      <c r="AX79" s="110"/>
      <c r="AY79" s="110"/>
      <c r="AZ79" s="110"/>
      <c r="BA79" s="4"/>
      <c r="BB79" s="110"/>
      <c r="BC79" s="10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71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92">
        <f t="shared" si="12"/>
        <v>0</v>
      </c>
      <c r="R80" s="5"/>
      <c r="S80" s="104"/>
      <c r="T80" s="104"/>
      <c r="U80" s="112"/>
      <c r="V80" s="104"/>
      <c r="W80" s="104"/>
      <c r="X80" s="104"/>
      <c r="Y80" s="111"/>
      <c r="Z80" s="96"/>
      <c r="AA80" s="4"/>
      <c r="AB80" s="112"/>
      <c r="AC80" s="110"/>
      <c r="AD80" s="4"/>
      <c r="AE80" s="109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10"/>
      <c r="AV80" s="4"/>
      <c r="AW80" s="110"/>
      <c r="AX80" s="110"/>
      <c r="AY80" s="110"/>
      <c r="AZ80" s="110"/>
      <c r="BA80" s="4"/>
      <c r="BB80" s="110"/>
      <c r="BC80" s="10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71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92">
        <f t="shared" ref="Q81:Q106" si="15">IF(AND(OR(L81="MISSING",L81="PART OF A SEQUENCE",L81="NOT HAPPENED"),OR(M81=$AE$37,M81=$AE$38,M81=$AE$43,M81=$AE$40,M81=$AE$25)),1,0)</f>
        <v>0</v>
      </c>
      <c r="R81" s="5"/>
      <c r="S81" s="104"/>
      <c r="T81" s="104"/>
      <c r="U81" s="112"/>
      <c r="V81" s="104"/>
      <c r="W81" s="104"/>
      <c r="X81" s="104"/>
      <c r="Y81" s="111"/>
      <c r="Z81" s="96"/>
      <c r="AA81" s="4"/>
      <c r="AB81" s="112"/>
      <c r="AC81" s="110"/>
      <c r="AD81" s="4"/>
      <c r="AE81" s="109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10"/>
      <c r="AV81" s="4"/>
      <c r="AW81" s="110"/>
      <c r="AX81" s="110"/>
      <c r="AY81" s="110"/>
      <c r="AZ81" s="110"/>
      <c r="BA81" s="4"/>
      <c r="BB81" s="110"/>
      <c r="BC81" s="10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71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92">
        <f t="shared" si="15"/>
        <v>0</v>
      </c>
      <c r="R82" s="5"/>
      <c r="S82" s="104"/>
      <c r="T82" s="104"/>
      <c r="U82" s="112"/>
      <c r="V82" s="104"/>
      <c r="W82" s="104"/>
      <c r="X82" s="104"/>
      <c r="Y82" s="111"/>
      <c r="Z82" s="96"/>
      <c r="AA82" s="4"/>
      <c r="AB82" s="112"/>
      <c r="AC82" s="110"/>
      <c r="AD82" s="4"/>
      <c r="AE82" s="109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10"/>
      <c r="AV82" s="4"/>
      <c r="AW82" s="110"/>
      <c r="AX82" s="110"/>
      <c r="AY82" s="110"/>
      <c r="AZ82" s="110"/>
      <c r="BA82" s="4"/>
      <c r="BB82" s="110"/>
      <c r="BC82" s="10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71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92">
        <f t="shared" si="15"/>
        <v>0</v>
      </c>
      <c r="R83" s="5"/>
      <c r="S83" s="104"/>
      <c r="T83" s="104"/>
      <c r="U83" s="112"/>
      <c r="V83" s="104"/>
      <c r="W83" s="104"/>
      <c r="X83" s="104"/>
      <c r="Y83" s="111"/>
      <c r="Z83" s="96"/>
      <c r="AA83" s="4"/>
      <c r="AB83" s="112"/>
      <c r="AC83" s="110"/>
      <c r="AD83" s="4"/>
      <c r="AE83" s="109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10"/>
      <c r="AV83" s="4"/>
      <c r="AW83" s="110"/>
      <c r="AX83" s="110"/>
      <c r="AY83" s="110"/>
      <c r="AZ83" s="110"/>
      <c r="BA83" s="4"/>
      <c r="BB83" s="110"/>
      <c r="BC83" s="10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71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92">
        <f t="shared" si="15"/>
        <v>0</v>
      </c>
      <c r="R84" s="5"/>
      <c r="S84" s="104"/>
      <c r="T84" s="104"/>
      <c r="U84" s="112"/>
      <c r="V84" s="104"/>
      <c r="W84" s="104"/>
      <c r="X84" s="104"/>
      <c r="Y84" s="111"/>
      <c r="Z84" s="96"/>
      <c r="AA84" s="4"/>
      <c r="AB84" s="112"/>
      <c r="AC84" s="110"/>
      <c r="AD84" s="4"/>
      <c r="AE84" s="109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10"/>
      <c r="AV84" s="4"/>
      <c r="AW84" s="110"/>
      <c r="AX84" s="110"/>
      <c r="AY84" s="110"/>
      <c r="AZ84" s="110"/>
      <c r="BA84" s="4"/>
      <c r="BB84" s="110"/>
      <c r="BC84" s="10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71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92">
        <f t="shared" si="15"/>
        <v>0</v>
      </c>
      <c r="R85" s="5"/>
      <c r="S85" s="104"/>
      <c r="T85" s="104"/>
      <c r="U85" s="112"/>
      <c r="V85" s="104"/>
      <c r="W85" s="104"/>
      <c r="X85" s="104"/>
      <c r="Y85" s="111"/>
      <c r="Z85" s="96"/>
      <c r="AA85" s="4"/>
      <c r="AB85" s="112"/>
      <c r="AC85" s="110"/>
      <c r="AD85" s="4"/>
      <c r="AE85" s="109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10"/>
      <c r="AV85" s="4"/>
      <c r="AW85" s="110"/>
      <c r="AX85" s="110"/>
      <c r="AY85" s="110"/>
      <c r="AZ85" s="110"/>
      <c r="BA85" s="4"/>
      <c r="BB85" s="110"/>
      <c r="BC85" s="10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71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92">
        <f t="shared" si="15"/>
        <v>0</v>
      </c>
      <c r="R86" s="5"/>
      <c r="S86" s="104"/>
      <c r="T86" s="104"/>
      <c r="U86" s="112"/>
      <c r="V86" s="104"/>
      <c r="W86" s="104"/>
      <c r="X86" s="104"/>
      <c r="Y86" s="111"/>
      <c r="Z86" s="96"/>
      <c r="AA86" s="4"/>
      <c r="AB86" s="112"/>
      <c r="AC86" s="110"/>
      <c r="AD86" s="4"/>
      <c r="AE86" s="109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10"/>
      <c r="AV86" s="4"/>
      <c r="AW86" s="110"/>
      <c r="AX86" s="110"/>
      <c r="AY86" s="110"/>
      <c r="AZ86" s="110"/>
      <c r="BA86" s="4"/>
      <c r="BB86" s="110"/>
      <c r="BC86" s="10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71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92">
        <f t="shared" si="15"/>
        <v>0</v>
      </c>
      <c r="R87" s="5"/>
      <c r="S87" s="104"/>
      <c r="T87" s="104"/>
      <c r="U87" s="112"/>
      <c r="V87" s="104"/>
      <c r="W87" s="104"/>
      <c r="X87" s="104"/>
      <c r="Y87" s="111"/>
      <c r="Z87" s="96"/>
      <c r="AA87" s="4"/>
      <c r="AB87" s="112"/>
      <c r="AC87" s="110"/>
      <c r="AD87" s="4"/>
      <c r="AE87" s="109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10"/>
      <c r="AV87" s="4"/>
      <c r="AW87" s="110"/>
      <c r="AX87" s="110"/>
      <c r="AY87" s="110"/>
      <c r="AZ87" s="110"/>
      <c r="BA87" s="4"/>
      <c r="BB87" s="110"/>
      <c r="BC87" s="10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71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92">
        <f t="shared" si="15"/>
        <v>0</v>
      </c>
      <c r="R88" s="5"/>
      <c r="S88" s="104"/>
      <c r="T88" s="104"/>
      <c r="U88" s="112"/>
      <c r="V88" s="104"/>
      <c r="W88" s="104"/>
      <c r="X88" s="104"/>
      <c r="Y88" s="111"/>
      <c r="Z88" s="96"/>
      <c r="AA88" s="4"/>
      <c r="AB88" s="112"/>
      <c r="AC88" s="110"/>
      <c r="AD88" s="4"/>
      <c r="AE88" s="109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10"/>
      <c r="AV88" s="4"/>
      <c r="AW88" s="110"/>
      <c r="AX88" s="110"/>
      <c r="AY88" s="110"/>
      <c r="AZ88" s="110"/>
      <c r="BA88" s="4"/>
      <c r="BB88" s="110"/>
      <c r="BC88" s="10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71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92">
        <f t="shared" si="15"/>
        <v>0</v>
      </c>
      <c r="R89" s="5"/>
      <c r="S89" s="104"/>
      <c r="T89" s="104"/>
      <c r="U89" s="112"/>
      <c r="V89" s="104"/>
      <c r="W89" s="104"/>
      <c r="X89" s="104"/>
      <c r="Y89" s="111"/>
      <c r="Z89" s="96"/>
      <c r="AA89" s="4"/>
      <c r="AB89" s="112"/>
      <c r="AC89" s="110"/>
      <c r="AD89" s="4"/>
      <c r="AE89" s="109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10"/>
      <c r="AV89" s="4"/>
      <c r="AW89" s="110"/>
      <c r="AX89" s="110"/>
      <c r="AY89" s="110"/>
      <c r="AZ89" s="110"/>
      <c r="BA89" s="4"/>
      <c r="BB89" s="110"/>
      <c r="BC89" s="10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71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92">
        <f t="shared" si="15"/>
        <v>0</v>
      </c>
      <c r="R90" s="5"/>
      <c r="S90" s="104"/>
      <c r="T90" s="104"/>
      <c r="U90" s="112"/>
      <c r="V90" s="104"/>
      <c r="W90" s="104"/>
      <c r="X90" s="104"/>
      <c r="Y90" s="111"/>
      <c r="Z90" s="96"/>
      <c r="AA90" s="4"/>
      <c r="AB90" s="112"/>
      <c r="AC90" s="110"/>
      <c r="AD90" s="4"/>
      <c r="AE90" s="109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10"/>
      <c r="AV90" s="4"/>
      <c r="AW90" s="110"/>
      <c r="AX90" s="110"/>
      <c r="AY90" s="110"/>
      <c r="AZ90" s="110"/>
      <c r="BA90" s="4"/>
      <c r="BB90" s="110"/>
      <c r="BC90" s="10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71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92">
        <f t="shared" si="15"/>
        <v>0</v>
      </c>
      <c r="R91" s="5"/>
      <c r="S91" s="104"/>
      <c r="T91" s="104"/>
      <c r="U91" s="112"/>
      <c r="V91" s="104"/>
      <c r="W91" s="104"/>
      <c r="X91" s="104"/>
      <c r="Y91" s="111"/>
      <c r="Z91" s="96"/>
      <c r="AA91" s="4"/>
      <c r="AB91" s="112"/>
      <c r="AC91" s="110"/>
      <c r="AD91" s="4"/>
      <c r="AE91" s="109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10"/>
      <c r="AV91" s="4"/>
      <c r="AW91" s="110"/>
      <c r="AX91" s="110"/>
      <c r="AY91" s="110"/>
      <c r="AZ91" s="110"/>
      <c r="BA91" s="4"/>
      <c r="BB91" s="110"/>
      <c r="BC91" s="10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71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92">
        <f t="shared" si="15"/>
        <v>0</v>
      </c>
      <c r="R92" s="5"/>
      <c r="S92" s="104"/>
      <c r="T92" s="104"/>
      <c r="U92" s="112"/>
      <c r="V92" s="104"/>
      <c r="W92" s="104"/>
      <c r="X92" s="104"/>
      <c r="Y92" s="111"/>
      <c r="Z92" s="96"/>
      <c r="AA92" s="4"/>
      <c r="AB92" s="112"/>
      <c r="AC92" s="110"/>
      <c r="AD92" s="4"/>
      <c r="AE92" s="109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10"/>
      <c r="AV92" s="4"/>
      <c r="AW92" s="110"/>
      <c r="AX92" s="110"/>
      <c r="AY92" s="110"/>
      <c r="AZ92" s="110"/>
      <c r="BA92" s="4"/>
      <c r="BB92" s="110"/>
      <c r="BC92" s="10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71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92">
        <f t="shared" si="15"/>
        <v>0</v>
      </c>
      <c r="R93" s="5"/>
      <c r="S93" s="104"/>
      <c r="T93" s="104"/>
      <c r="U93" s="112"/>
      <c r="V93" s="104"/>
      <c r="W93" s="104"/>
      <c r="X93" s="104"/>
      <c r="Y93" s="111"/>
      <c r="Z93" s="96"/>
      <c r="AA93" s="4"/>
      <c r="AB93" s="112"/>
      <c r="AC93" s="110"/>
      <c r="AD93" s="4"/>
      <c r="AE93" s="109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10"/>
      <c r="AV93" s="4"/>
      <c r="AW93" s="110"/>
      <c r="AX93" s="110"/>
      <c r="AY93" s="110"/>
      <c r="AZ93" s="110"/>
      <c r="BA93" s="4"/>
      <c r="BB93" s="110"/>
      <c r="BC93" s="10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71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92">
        <f t="shared" si="15"/>
        <v>0</v>
      </c>
      <c r="R94" s="5"/>
      <c r="S94" s="104"/>
      <c r="T94" s="104"/>
      <c r="U94" s="112"/>
      <c r="V94" s="104"/>
      <c r="W94" s="104"/>
      <c r="X94" s="104"/>
      <c r="Y94" s="111"/>
      <c r="Z94" s="96"/>
      <c r="AA94" s="4"/>
      <c r="AB94" s="112"/>
      <c r="AC94" s="110"/>
      <c r="AD94" s="4"/>
      <c r="AE94" s="109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10"/>
      <c r="AV94" s="4"/>
      <c r="AW94" s="110"/>
      <c r="AX94" s="110"/>
      <c r="AY94" s="110"/>
      <c r="AZ94" s="110"/>
      <c r="BA94" s="4"/>
      <c r="BB94" s="110"/>
      <c r="BC94" s="10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71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92">
        <f t="shared" si="15"/>
        <v>0</v>
      </c>
      <c r="R95" s="5"/>
      <c r="S95" s="104"/>
      <c r="T95" s="104"/>
      <c r="U95" s="112"/>
      <c r="V95" s="104"/>
      <c r="W95" s="104"/>
      <c r="X95" s="104"/>
      <c r="Y95" s="111"/>
      <c r="Z95" s="96"/>
      <c r="AA95" s="4"/>
      <c r="AB95" s="112"/>
      <c r="AC95" s="110"/>
      <c r="AD95" s="4"/>
      <c r="AE95" s="109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10"/>
      <c r="AV95" s="4"/>
      <c r="AW95" s="110"/>
      <c r="AX95" s="110"/>
      <c r="AY95" s="110"/>
      <c r="AZ95" s="110"/>
      <c r="BA95" s="4"/>
      <c r="BB95" s="110"/>
      <c r="BC95" s="10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71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92">
        <f t="shared" si="15"/>
        <v>0</v>
      </c>
      <c r="R96" s="5"/>
      <c r="S96" s="104"/>
      <c r="T96" s="104"/>
      <c r="U96" s="112"/>
      <c r="V96" s="104"/>
      <c r="W96" s="104"/>
      <c r="X96" s="104"/>
      <c r="Y96" s="111"/>
      <c r="Z96" s="96"/>
      <c r="AA96" s="4"/>
      <c r="AB96" s="112"/>
      <c r="AC96" s="110"/>
      <c r="AD96" s="4"/>
      <c r="AE96" s="109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10"/>
      <c r="AV96" s="4"/>
      <c r="AW96" s="110"/>
      <c r="AX96" s="110"/>
      <c r="AY96" s="110"/>
      <c r="AZ96" s="110"/>
      <c r="BA96" s="4"/>
      <c r="BB96" s="110"/>
      <c r="BC96" s="10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71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92">
        <f t="shared" si="15"/>
        <v>0</v>
      </c>
      <c r="R97" s="5"/>
      <c r="S97" s="104"/>
      <c r="T97" s="104"/>
      <c r="U97" s="112"/>
      <c r="V97" s="104"/>
      <c r="W97" s="104"/>
      <c r="X97" s="104"/>
      <c r="Y97" s="111"/>
      <c r="Z97" s="96"/>
      <c r="AA97" s="4"/>
      <c r="AB97" s="112"/>
      <c r="AC97" s="110"/>
      <c r="AD97" s="4"/>
      <c r="AE97" s="109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10"/>
      <c r="AV97" s="4"/>
      <c r="AW97" s="110"/>
      <c r="AX97" s="110"/>
      <c r="AY97" s="110"/>
      <c r="AZ97" s="110"/>
      <c r="BA97" s="4"/>
      <c r="BB97" s="110"/>
      <c r="BC97" s="10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71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92">
        <f t="shared" si="15"/>
        <v>0</v>
      </c>
      <c r="R98" s="5"/>
      <c r="S98" s="104"/>
      <c r="T98" s="104"/>
      <c r="U98" s="112"/>
      <c r="V98" s="104"/>
      <c r="W98" s="104"/>
      <c r="X98" s="104"/>
      <c r="Y98" s="111"/>
      <c r="Z98" s="96"/>
      <c r="AA98" s="4"/>
      <c r="AB98" s="112"/>
      <c r="AC98" s="110"/>
      <c r="AD98" s="4"/>
      <c r="AE98" s="109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10"/>
      <c r="AV98" s="4"/>
      <c r="AW98" s="110"/>
      <c r="AX98" s="110"/>
      <c r="AY98" s="110"/>
      <c r="AZ98" s="110"/>
      <c r="BA98" s="4"/>
      <c r="BB98" s="110"/>
      <c r="BC98" s="10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71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92">
        <f t="shared" si="15"/>
        <v>0</v>
      </c>
      <c r="R99" s="5"/>
      <c r="S99" s="104"/>
      <c r="T99" s="104"/>
      <c r="U99" s="112"/>
      <c r="V99" s="104"/>
      <c r="W99" s="104"/>
      <c r="X99" s="104"/>
      <c r="Y99" s="111"/>
      <c r="Z99" s="96"/>
      <c r="AA99" s="4"/>
      <c r="AB99" s="112"/>
      <c r="AC99" s="110"/>
      <c r="AD99" s="4"/>
      <c r="AE99" s="109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10"/>
      <c r="AV99" s="4"/>
      <c r="AW99" s="110"/>
      <c r="AX99" s="110"/>
      <c r="AY99" s="110"/>
      <c r="AZ99" s="110"/>
      <c r="BA99" s="4"/>
      <c r="BB99" s="110"/>
      <c r="BC99" s="10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71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92">
        <f t="shared" si="15"/>
        <v>0</v>
      </c>
      <c r="R100" s="5"/>
      <c r="S100" s="104"/>
      <c r="T100" s="104"/>
      <c r="U100" s="112"/>
      <c r="V100" s="104"/>
      <c r="W100" s="104"/>
      <c r="X100" s="104"/>
      <c r="Y100" s="111"/>
      <c r="Z100" s="96"/>
      <c r="AA100" s="4"/>
      <c r="AB100" s="112"/>
      <c r="AC100" s="110"/>
      <c r="AD100" s="4"/>
      <c r="AE100" s="109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10"/>
      <c r="AV100" s="4"/>
      <c r="AW100" s="110"/>
      <c r="AX100" s="110"/>
      <c r="AY100" s="110"/>
      <c r="AZ100" s="110"/>
      <c r="BA100" s="4"/>
      <c r="BB100" s="110"/>
      <c r="BC100" s="10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71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92">
        <f t="shared" si="15"/>
        <v>0</v>
      </c>
      <c r="R101" s="5"/>
      <c r="S101" s="104"/>
      <c r="T101" s="104"/>
      <c r="U101" s="112"/>
      <c r="V101" s="104"/>
      <c r="W101" s="104"/>
      <c r="X101" s="104"/>
      <c r="Y101" s="111"/>
      <c r="Z101" s="96"/>
      <c r="AA101" s="4"/>
      <c r="AB101" s="112"/>
      <c r="AC101" s="110"/>
      <c r="AD101" s="4"/>
      <c r="AE101" s="109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10"/>
      <c r="AV101" s="4"/>
      <c r="AW101" s="110"/>
      <c r="AX101" s="110"/>
      <c r="AY101" s="110"/>
      <c r="AZ101" s="110"/>
      <c r="BA101" s="4"/>
      <c r="BB101" s="110"/>
      <c r="BC101" s="10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71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92">
        <f t="shared" si="15"/>
        <v>0</v>
      </c>
      <c r="R102" s="5"/>
      <c r="S102" s="104"/>
      <c r="T102" s="104"/>
      <c r="U102" s="112"/>
      <c r="V102" s="104"/>
      <c r="W102" s="104"/>
      <c r="X102" s="104"/>
      <c r="Y102" s="111"/>
      <c r="Z102" s="96"/>
      <c r="AA102" s="4"/>
      <c r="AB102" s="112"/>
      <c r="AC102" s="110"/>
      <c r="AD102" s="4"/>
      <c r="AE102" s="109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10"/>
      <c r="AV102" s="4"/>
      <c r="AW102" s="110"/>
      <c r="AX102" s="110"/>
      <c r="AY102" s="110"/>
      <c r="AZ102" s="110"/>
      <c r="BA102" s="4"/>
      <c r="BB102" s="110"/>
      <c r="BC102" s="10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71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92">
        <f t="shared" si="15"/>
        <v>0</v>
      </c>
      <c r="R103" s="5"/>
      <c r="S103" s="104"/>
      <c r="T103" s="104"/>
      <c r="U103" s="112"/>
      <c r="V103" s="104"/>
      <c r="W103" s="104"/>
      <c r="X103" s="104"/>
      <c r="Y103" s="111"/>
      <c r="Z103" s="96"/>
      <c r="AA103" s="4"/>
      <c r="AB103" s="112"/>
      <c r="AC103" s="110"/>
      <c r="AD103" s="4"/>
      <c r="AE103" s="109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10"/>
      <c r="AV103" s="4"/>
      <c r="AW103" s="110"/>
      <c r="AX103" s="110"/>
      <c r="AY103" s="110"/>
      <c r="AZ103" s="110"/>
      <c r="BA103" s="4"/>
      <c r="BB103" s="110"/>
      <c r="BC103" s="10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71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92">
        <f t="shared" si="15"/>
        <v>0</v>
      </c>
      <c r="R104" s="5"/>
      <c r="S104" s="104"/>
      <c r="T104" s="104"/>
      <c r="U104" s="112"/>
      <c r="V104" s="104"/>
      <c r="W104" s="104"/>
      <c r="X104" s="104"/>
      <c r="Y104" s="111"/>
      <c r="Z104" s="96"/>
      <c r="AA104" s="4"/>
      <c r="AB104" s="112"/>
      <c r="AC104" s="110"/>
      <c r="AD104" s="4"/>
      <c r="AE104" s="109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10"/>
      <c r="AV104" s="4"/>
      <c r="AW104" s="110"/>
      <c r="AX104" s="110"/>
      <c r="AY104" s="110"/>
      <c r="AZ104" s="110"/>
      <c r="BA104" s="4"/>
      <c r="BB104" s="110"/>
      <c r="BC104" s="10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71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92">
        <f t="shared" si="15"/>
        <v>0</v>
      </c>
      <c r="R105" s="5"/>
      <c r="S105" s="104"/>
      <c r="T105" s="104"/>
      <c r="U105" s="112"/>
      <c r="V105" s="104"/>
      <c r="W105" s="104"/>
      <c r="X105" s="104"/>
      <c r="Y105" s="111"/>
      <c r="Z105" s="96"/>
      <c r="AA105" s="4"/>
      <c r="AB105" s="112"/>
      <c r="AC105" s="110"/>
      <c r="AD105" s="4"/>
      <c r="AE105" s="109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10"/>
      <c r="AV105" s="4"/>
      <c r="AW105" s="110"/>
      <c r="AX105" s="110"/>
      <c r="AY105" s="110"/>
      <c r="AZ105" s="110"/>
      <c r="BA105" s="4"/>
      <c r="BB105" s="110"/>
      <c r="BC105" s="10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71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92">
        <f t="shared" si="15"/>
        <v>0</v>
      </c>
      <c r="R106" s="5"/>
      <c r="S106" s="104"/>
      <c r="T106" s="104"/>
      <c r="U106" s="112"/>
      <c r="V106" s="104"/>
      <c r="W106" s="104"/>
      <c r="X106" s="104"/>
      <c r="Y106" s="111"/>
      <c r="Z106" s="96"/>
      <c r="AA106" s="4"/>
      <c r="AB106" s="112"/>
      <c r="AC106" s="110"/>
      <c r="AD106" s="4"/>
      <c r="AE106" s="109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10"/>
      <c r="AV106" s="4"/>
      <c r="AW106" s="110"/>
      <c r="AX106" s="110"/>
      <c r="AY106" s="110"/>
      <c r="AZ106" s="110"/>
      <c r="BA106" s="4"/>
      <c r="BB106" s="110"/>
      <c r="BC106" s="10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71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96"/>
      <c r="R107" s="5"/>
      <c r="S107" s="4"/>
      <c r="T107" s="4"/>
      <c r="U107" s="109"/>
      <c r="V107" s="4"/>
      <c r="W107" s="104"/>
      <c r="X107" s="4"/>
      <c r="Y107" s="108"/>
      <c r="Z107" s="96"/>
      <c r="AA107" s="4"/>
      <c r="AB107" s="109"/>
      <c r="AC107" s="110"/>
      <c r="AD107" s="4"/>
      <c r="AE107" s="109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10"/>
      <c r="AV107" s="4"/>
      <c r="AW107" s="110"/>
      <c r="AX107" s="110"/>
      <c r="AY107" s="110"/>
      <c r="AZ107" s="110"/>
      <c r="BA107" s="4"/>
      <c r="BB107" s="110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71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96"/>
      <c r="R108" s="4"/>
      <c r="S108" s="4"/>
      <c r="T108" s="4"/>
      <c r="U108" s="109"/>
      <c r="V108" s="4"/>
      <c r="W108" s="104"/>
      <c r="X108" s="4"/>
      <c r="Y108" s="108"/>
      <c r="Z108" s="96"/>
      <c r="AA108" s="4"/>
      <c r="AB108" s="109"/>
      <c r="AC108" s="110"/>
      <c r="AD108" s="4"/>
      <c r="AE108" s="109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10"/>
      <c r="AV108" s="4"/>
      <c r="AW108" s="110"/>
      <c r="AX108" s="110"/>
      <c r="AY108" s="110"/>
      <c r="AZ108" s="110"/>
      <c r="BA108" s="4"/>
      <c r="BB108" s="110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104"/>
    </row>
    <row r="110" spans="1:71" x14ac:dyDescent="0.35">
      <c r="W110" s="4"/>
    </row>
    <row r="111" spans="1:71" x14ac:dyDescent="0.35">
      <c r="W111" s="4"/>
    </row>
  </sheetData>
  <sheetProtection algorithmName="SHA-512" hashValue="ASutUTZdzldc4QtuMHub5BEFKR3k/+0yfCIfcmb2hwMQZ6pRRoAZTu8emMGomi0ReqxKE7G69JYNJV2QqvSxkg==" saltValue="bbPbMvlxgL/yA8F2eavT4A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3" zeroHeight="1" x14ac:dyDescent="0.25"/>
  <cols>
    <col min="1" max="1" width="3.1796875" style="44" customWidth="1"/>
    <col min="2" max="2" width="13.81640625" style="44" bestFit="1" customWidth="1"/>
    <col min="3" max="3" width="24.81640625" style="44" bestFit="1" customWidth="1"/>
    <col min="4" max="4" width="6.453125" style="44" bestFit="1" customWidth="1"/>
    <col min="5" max="5" width="1.453125" style="44" customWidth="1"/>
    <col min="6" max="6" width="34.453125" style="44" bestFit="1" customWidth="1"/>
    <col min="7" max="7" width="1.453125" style="44" customWidth="1"/>
    <col min="8" max="16382" width="10.81640625" style="44" hidden="1"/>
    <col min="16383" max="16384" width="52.54296875" style="44" hidden="1" customWidth="1"/>
  </cols>
  <sheetData>
    <row r="1" spans="2:6" x14ac:dyDescent="0.25">
      <c r="F1" s="45" t="str">
        <f>"REPORT_"&amp;'SCOUT &amp; LOGISTICS'!B2&amp;TEXT('SCOUT &amp; LOGISTICS'!C2,"000")</f>
        <v>REPORT_U2025010</v>
      </c>
    </row>
    <row r="2" spans="2:6" x14ac:dyDescent="0.25">
      <c r="F2" s="46" t="s">
        <v>157</v>
      </c>
    </row>
    <row r="3" spans="2:6" x14ac:dyDescent="0.25">
      <c r="B3" s="44" t="s">
        <v>156</v>
      </c>
      <c r="C3" s="44" t="str">
        <f>""""&amp;'SCOUT &amp; LOGISTICS'!B2&amp;TEXT('SCOUT &amp; LOGISTICS'!C2,"000")&amp;""""</f>
        <v>"U2025010"</v>
      </c>
      <c r="F3" s="46" t="str">
        <f t="shared" ref="F3:F16" si="0">""""&amp;B3&amp;"""" &amp; " : " &amp;C3&amp;","</f>
        <v>"name" : "U2025010",</v>
      </c>
    </row>
    <row r="4" spans="2:6" x14ac:dyDescent="0.25">
      <c r="B4" s="44" t="s">
        <v>119</v>
      </c>
      <c r="C4" s="44" t="str">
        <f>""""&amp;LEFT('SCOUT &amp; LOGISTICS'!B2,1) &amp; TEXT('SCOUT &amp; LOGISTICS'!C2,"000")&amp;""""</f>
        <v>"U010"</v>
      </c>
      <c r="F4" s="46" t="str">
        <f t="shared" si="0"/>
        <v>"cod" : "U010",</v>
      </c>
    </row>
    <row r="5" spans="2:6" x14ac:dyDescent="0.25">
      <c r="B5" s="44" t="s">
        <v>117</v>
      </c>
      <c r="C5" s="44" t="str">
        <f>""""&amp;LEFT('SCOUT &amp; LOGISTICS'!B2,1)&amp;""""</f>
        <v>"U"</v>
      </c>
      <c r="F5" s="46" t="str">
        <f t="shared" si="0"/>
        <v>"competition" : "U",</v>
      </c>
    </row>
    <row r="6" spans="2:6" x14ac:dyDescent="0.25">
      <c r="B6" s="44" t="s">
        <v>118</v>
      </c>
      <c r="C6" s="44" t="str">
        <f>TEXT('SCOUT &amp; LOGISTICS'!C2,"000")</f>
        <v>010</v>
      </c>
      <c r="F6" s="46" t="str">
        <f t="shared" si="0"/>
        <v>"number" : 010,</v>
      </c>
    </row>
    <row r="7" spans="2:6" x14ac:dyDescent="0.25">
      <c r="B7" s="44" t="s">
        <v>116</v>
      </c>
      <c r="C7" s="44" t="str">
        <f>""""&amp;TEXT('SCOUT &amp; LOGISTICS'!B3,"dd/mm/aaaa")&amp;""""</f>
        <v>""</v>
      </c>
      <c r="F7" s="46" t="str">
        <f t="shared" si="0"/>
        <v>"date" : "",</v>
      </c>
    </row>
    <row r="8" spans="2:6" x14ac:dyDescent="0.25">
      <c r="B8" s="44" t="s">
        <v>125</v>
      </c>
      <c r="C8" s="44" t="str">
        <f>""""&amp;'SCOUT &amp; LOGISTICS'!D4 &amp;""""</f>
        <v>"Lietkabelis Panevezys"</v>
      </c>
      <c r="F8" s="46" t="str">
        <f t="shared" si="0"/>
        <v>"home_team" : "Lietkabelis Panevezys",</v>
      </c>
    </row>
    <row r="9" spans="2:6" x14ac:dyDescent="0.25">
      <c r="B9" s="44" t="s">
        <v>126</v>
      </c>
      <c r="C9" s="44" t="str">
        <f>""""&amp;'SCOUT &amp; LOGISTICS'!D5&amp;""""</f>
        <v>"Besiktas GAIN Istanbul"</v>
      </c>
      <c r="F9" s="46" t="str">
        <f t="shared" si="0"/>
        <v>"away_team" : "Besiktas GAIN Istanbul",</v>
      </c>
    </row>
    <row r="10" spans="2:6" x14ac:dyDescent="0.25">
      <c r="B10" s="44" t="s">
        <v>127</v>
      </c>
      <c r="C10" s="44" t="str">
        <f>""""&amp;IF('SCOUT &amp; LOGISTICS'!D6="","",'SCOUT &amp; LOGISTICS'!D6)&amp;""""</f>
        <v>"DOVILE RUSONYTE"</v>
      </c>
      <c r="F10" s="46" t="str">
        <f t="shared" si="0"/>
        <v>"Data_entry" : "DOVILE RUSONYTE",</v>
      </c>
    </row>
    <row r="11" spans="2:6" x14ac:dyDescent="0.25">
      <c r="B11" s="44" t="s">
        <v>128</v>
      </c>
      <c r="C11" s="44" t="str">
        <f>""""&amp;IF('SCOUT &amp; LOGISTICS'!D7="","",'SCOUT &amp; LOGISTICS'!D7)&amp;""""</f>
        <v>"RASA KIZIKAITE"</v>
      </c>
      <c r="F11" s="46" t="str">
        <f t="shared" si="0"/>
        <v>"Caller_1" : "RASA KIZIKAITE",</v>
      </c>
    </row>
    <row r="12" spans="2:6" x14ac:dyDescent="0.25">
      <c r="B12" s="44" t="s">
        <v>129</v>
      </c>
      <c r="C12" s="44" t="str">
        <f>""""&amp;IF('SCOUT &amp; LOGISTICS'!D8="","",'SCOUT &amp; LOGISTICS'!D8)&amp;""""</f>
        <v>"AUKSE ZAKRIENE"</v>
      </c>
      <c r="F12" s="46" t="str">
        <f t="shared" si="0"/>
        <v>"Caller_2" : "AUKSE ZAKRIENE",</v>
      </c>
    </row>
    <row r="13" spans="2:6" x14ac:dyDescent="0.25">
      <c r="B13" s="44" t="s">
        <v>98</v>
      </c>
      <c r="C13" s="44" t="str">
        <f>""""&amp;IF('SCOUT &amp; LOGISTICS'!D9="","",'SCOUT &amp; LOGISTICS'!D9)&amp;""""</f>
        <v>"GINTARE BUKARTAITE"</v>
      </c>
      <c r="F13" s="46" t="str">
        <f t="shared" si="0"/>
        <v>"Timerkeeper" : "GINTARE BUKARTAITE",</v>
      </c>
    </row>
    <row r="14" spans="2:6" x14ac:dyDescent="0.25">
      <c r="B14" s="44" t="s">
        <v>99</v>
      </c>
      <c r="C14" s="44" t="str">
        <f>""""&amp;IF('SCOUT &amp; LOGISTICS'!D10="","",'SCOUT &amp; LOGISTICS'!D10)&amp;""""</f>
        <v>"VIDAS MACYS"</v>
      </c>
      <c r="F14" s="46" t="str">
        <f t="shared" si="0"/>
        <v>"Shotclock" : "VIDAS MACYS",</v>
      </c>
    </row>
    <row r="15" spans="2:6" x14ac:dyDescent="0.25">
      <c r="B15" s="44" t="s">
        <v>108</v>
      </c>
      <c r="C15" s="44" t="str">
        <f>""""&amp;IF('SCOUT &amp; LOGISTICS'!D11="","",'SCOUT &amp; LOGISTICS'!D11)&amp;""""</f>
        <v>""</v>
      </c>
      <c r="F15" s="46" t="str">
        <f t="shared" si="0"/>
        <v>"IRS" : "",</v>
      </c>
    </row>
    <row r="16" spans="2:6" x14ac:dyDescent="0.25">
      <c r="B16" s="44" t="s">
        <v>130</v>
      </c>
      <c r="C16" s="44" t="str">
        <f>""""&amp;IF('SCOUT &amp; LOGISTICS'!D14=0,"",'SCOUT &amp; LOGISTICS'!D14)&amp;""""</f>
        <v>"ELOI VERGÉ"</v>
      </c>
      <c r="F16" s="46" t="str">
        <f t="shared" si="0"/>
        <v>"Live_Game_Manager" : "ELOI VERGÉ",</v>
      </c>
    </row>
    <row r="17" spans="2:6" x14ac:dyDescent="0.25">
      <c r="B17" s="44" t="s">
        <v>55</v>
      </c>
      <c r="C17" s="44" t="s">
        <v>157</v>
      </c>
      <c r="F17" s="46" t="str">
        <f>""""&amp;B17&amp;"""" &amp; " : " &amp;C17</f>
        <v>"logistics" : {</v>
      </c>
    </row>
    <row r="18" spans="2:6" x14ac:dyDescent="0.25">
      <c r="C18" s="44" t="s">
        <v>120</v>
      </c>
      <c r="D18" s="44" t="str">
        <f>""""&amp;IF('SCOUT &amp; LOGISTICS'!I12="","",'SCOUT &amp; LOGISTICS'!I12)&amp;""""</f>
        <v>"OK"</v>
      </c>
      <c r="F18" s="46" t="str">
        <f>""""&amp;C18&amp;"""" &amp; " : " &amp;D18&amp;","</f>
        <v>"arrival_time" : "OK",</v>
      </c>
    </row>
    <row r="19" spans="2:6" x14ac:dyDescent="0.25">
      <c r="C19" s="44" t="s">
        <v>121</v>
      </c>
      <c r="D19" s="44" t="str">
        <f>""""&amp;IF('SCOUT &amp; LOGISTICS'!J12="","",'SCOUT &amp; LOGISTICS'!J12)&amp;""""</f>
        <v>"YES"</v>
      </c>
      <c r="F19" s="46" t="str">
        <f>""""&amp;C19&amp;"""" &amp; " : " &amp;D19&amp;","</f>
        <v>"check_list_on_time" : "YES",</v>
      </c>
    </row>
    <row r="20" spans="2:6" x14ac:dyDescent="0.25">
      <c r="C20" s="44" t="s">
        <v>122</v>
      </c>
      <c r="D20" s="44" t="str">
        <f>""""&amp;IF('SCOUT &amp; LOGISTICS'!K12="","",'SCOUT &amp; LOGISTICS'!K12)&amp;""""</f>
        <v>"GOOD"</v>
      </c>
      <c r="F20" s="46" t="str">
        <f>""""&amp;C20&amp;"""" &amp; " : " &amp;D20&amp;","</f>
        <v>"communication" : "GOOD",</v>
      </c>
    </row>
    <row r="21" spans="2:6" x14ac:dyDescent="0.25">
      <c r="C21" s="44" t="s">
        <v>123</v>
      </c>
      <c r="D21" s="44" t="str">
        <f>""""&amp;IF('SCOUT &amp; LOGISTICS'!L12="","",'SCOUT &amp; LOGISTICS'!L12)&amp;""""</f>
        <v>"FAST"</v>
      </c>
      <c r="F21" s="46" t="str">
        <f>""""&amp;C21&amp;"""" &amp; " : " &amp;D21&amp;","</f>
        <v>"corrections" : "FAST",</v>
      </c>
    </row>
    <row r="22" spans="2:6" x14ac:dyDescent="0.25">
      <c r="C22" s="44" t="s">
        <v>124</v>
      </c>
      <c r="D22" s="44" t="str">
        <f>""""&amp;IF('SCOUT &amp; LOGISTICS'!M12="","",'SCOUT &amp; LOGISTICS'!M12)&amp;""""</f>
        <v>"NO"</v>
      </c>
      <c r="F22" s="46" t="str">
        <f>""""&amp;C22&amp;"""" &amp; " : " &amp;D22</f>
        <v>"rescouted" : "NO"</v>
      </c>
    </row>
    <row r="23" spans="2:6" x14ac:dyDescent="0.25">
      <c r="F23" s="46" t="s">
        <v>158</v>
      </c>
    </row>
    <row r="24" spans="2:6" x14ac:dyDescent="0.25">
      <c r="B24" s="44" t="s">
        <v>56</v>
      </c>
      <c r="C24" s="44" t="s">
        <v>157</v>
      </c>
      <c r="F24" s="46" t="str">
        <f>""""&amp;B24&amp;"""" &amp; " : " &amp;C24</f>
        <v>"scouting" : {</v>
      </c>
    </row>
    <row r="25" spans="2:6" x14ac:dyDescent="0.25">
      <c r="C25" s="44" t="s">
        <v>131</v>
      </c>
      <c r="D25" s="44">
        <f>'SCOUT &amp; LOGISTICS'!D3</f>
        <v>557</v>
      </c>
      <c r="F25" s="46" t="str">
        <f t="shared" ref="F25:F48" si="1">""""&amp;C25&amp;"""" &amp; " : " &amp;D25&amp;","</f>
        <v>"total_actions" : 557,</v>
      </c>
    </row>
    <row r="26" spans="2:6" x14ac:dyDescent="0.25">
      <c r="C26" s="44" t="s">
        <v>132</v>
      </c>
      <c r="D26" s="44">
        <f>'SCOUT &amp; LOGISTICS'!F3</f>
        <v>7</v>
      </c>
      <c r="F26" s="46" t="str">
        <f t="shared" si="1"/>
        <v>"total_correcions" : 7,</v>
      </c>
    </row>
    <row r="27" spans="2:6" x14ac:dyDescent="0.25">
      <c r="C27" s="44" t="s">
        <v>133</v>
      </c>
      <c r="D27" s="44" t="str">
        <f>""""&amp;IF(OR(D25="",D25=0),"",TEXT(D26/D25,"0,0%"))&amp;""""</f>
        <v>"01%"</v>
      </c>
      <c r="F27" s="46" t="str">
        <f t="shared" si="1"/>
        <v>"%_corrections" : "01%",</v>
      </c>
    </row>
    <row r="28" spans="2:6" x14ac:dyDescent="0.25">
      <c r="C28" s="44" t="s">
        <v>125</v>
      </c>
      <c r="D28" s="44">
        <f>IF('SCOUT &amp; LOGISTICS'!AA17="","",'SCOUT &amp; LOGISTICS'!AA17)</f>
        <v>3</v>
      </c>
      <c r="F28" s="46" t="str">
        <f t="shared" si="1"/>
        <v>"home_team" : 3,</v>
      </c>
    </row>
    <row r="29" spans="2:6" x14ac:dyDescent="0.25">
      <c r="C29" s="44" t="s">
        <v>134</v>
      </c>
      <c r="D29" s="44">
        <f>IF('SCOUT &amp; LOGISTICS'!AA18="","",'SCOUT &amp; LOGISTICS'!AA18)</f>
        <v>4</v>
      </c>
      <c r="F29" s="46" t="str">
        <f t="shared" si="1"/>
        <v>"no_team" : 4,</v>
      </c>
    </row>
    <row r="30" spans="2:6" x14ac:dyDescent="0.25">
      <c r="C30" s="44" t="s">
        <v>126</v>
      </c>
      <c r="D30" s="44">
        <f>IF('SCOUT &amp; LOGISTICS'!AA19="","",'SCOUT &amp; LOGISTICS'!AA19)</f>
        <v>0</v>
      </c>
      <c r="F30" s="46" t="str">
        <f t="shared" si="1"/>
        <v>"away_team" : 0,</v>
      </c>
    </row>
    <row r="31" spans="2:6" x14ac:dyDescent="0.25">
      <c r="C31" s="44" t="s">
        <v>135</v>
      </c>
      <c r="D31" s="44">
        <f>'SCOUT &amp; LOGISTICS'!AG17</f>
        <v>0</v>
      </c>
      <c r="F31" s="46" t="str">
        <f t="shared" si="1"/>
        <v>"q1" : 0,</v>
      </c>
    </row>
    <row r="32" spans="2:6" x14ac:dyDescent="0.25">
      <c r="C32" s="44" t="s">
        <v>136</v>
      </c>
      <c r="D32" s="44">
        <f>'SCOUT &amp; LOGISTICS'!AG18</f>
        <v>5</v>
      </c>
      <c r="F32" s="46" t="str">
        <f t="shared" si="1"/>
        <v>"q2" : 5,</v>
      </c>
    </row>
    <row r="33" spans="3:6" x14ac:dyDescent="0.25">
      <c r="C33" s="44" t="s">
        <v>137</v>
      </c>
      <c r="D33" s="44">
        <f>'SCOUT &amp; LOGISTICS'!AG19</f>
        <v>1</v>
      </c>
      <c r="F33" s="46" t="str">
        <f t="shared" si="1"/>
        <v>"q3" : 1,</v>
      </c>
    </row>
    <row r="34" spans="3:6" x14ac:dyDescent="0.25">
      <c r="C34" s="44" t="s">
        <v>138</v>
      </c>
      <c r="D34" s="44">
        <f>'SCOUT &amp; LOGISTICS'!AG20</f>
        <v>1</v>
      </c>
      <c r="F34" s="46" t="str">
        <f t="shared" si="1"/>
        <v>"q4" : 1,</v>
      </c>
    </row>
    <row r="35" spans="3:6" x14ac:dyDescent="0.25">
      <c r="C35" s="44" t="s">
        <v>59</v>
      </c>
      <c r="D35" s="44">
        <f>'SCOUT &amp; LOGISTICS'!AG21</f>
        <v>0</v>
      </c>
      <c r="F35" s="46" t="str">
        <f t="shared" si="1"/>
        <v>"et" : 0,</v>
      </c>
    </row>
    <row r="36" spans="3:6" x14ac:dyDescent="0.25">
      <c r="C36" s="44" t="s">
        <v>139</v>
      </c>
      <c r="D36" s="44">
        <f>'SCOUT &amp; LOGISTICS'!Y18</f>
        <v>0</v>
      </c>
      <c r="F36" s="46" t="str">
        <f t="shared" si="1"/>
        <v>"boxscore_corrections" : 0,</v>
      </c>
    </row>
    <row r="37" spans="3:6" x14ac:dyDescent="0.25">
      <c r="C37" s="44" t="s">
        <v>140</v>
      </c>
      <c r="D37" s="44">
        <f>'SCOUT &amp; LOGISTICS'!Y16</f>
        <v>7</v>
      </c>
      <c r="F37" s="46" t="str">
        <f t="shared" si="1"/>
        <v>"scoresheet_corrections" : 7,</v>
      </c>
    </row>
    <row r="38" spans="3:6" x14ac:dyDescent="0.25">
      <c r="C38" s="44" t="s">
        <v>141</v>
      </c>
      <c r="D38" s="44">
        <f>'SCOUT &amp; LOGISTICS'!AC17</f>
        <v>0</v>
      </c>
      <c r="F38" s="46" t="str">
        <f t="shared" si="1"/>
        <v>"criteria" : 0,</v>
      </c>
    </row>
    <row r="39" spans="3:6" x14ac:dyDescent="0.25">
      <c r="C39" s="44" t="s">
        <v>142</v>
      </c>
      <c r="D39" s="44">
        <f>'SCOUT &amp; LOGISTICS'!AC18</f>
        <v>2</v>
      </c>
      <c r="F39" s="46" t="str">
        <f t="shared" si="1"/>
        <v>"missidentity" : 2,</v>
      </c>
    </row>
    <row r="40" spans="3:6" x14ac:dyDescent="0.25">
      <c r="C40" s="44" t="s">
        <v>143</v>
      </c>
      <c r="D40" s="44">
        <f>'SCOUT &amp; LOGISTICS'!AC19</f>
        <v>0</v>
      </c>
      <c r="F40" s="46" t="str">
        <f t="shared" si="1"/>
        <v>"missing" : 0,</v>
      </c>
    </row>
    <row r="41" spans="3:6" x14ac:dyDescent="0.25">
      <c r="C41" s="44" t="s">
        <v>144</v>
      </c>
      <c r="D41" s="44">
        <f>'SCOUT &amp; LOGISTICS'!AF26</f>
        <v>0</v>
      </c>
      <c r="F41" s="46" t="str">
        <f t="shared" si="1"/>
        <v>"irs" : 0,</v>
      </c>
    </row>
    <row r="42" spans="3:6" x14ac:dyDescent="0.25">
      <c r="C42" s="44" t="s">
        <v>145</v>
      </c>
      <c r="D42" s="44">
        <f>'SCOUT &amp; LOGISTICS'!AF46</f>
        <v>0</v>
      </c>
      <c r="F42" s="46" t="str">
        <f t="shared" si="1"/>
        <v>"substitution" : 0,</v>
      </c>
    </row>
    <row r="43" spans="3:6" x14ac:dyDescent="0.25">
      <c r="C43" s="44" t="s">
        <v>146</v>
      </c>
      <c r="D43" s="44">
        <f>'SCOUT &amp; LOGISTICS'!AF19</f>
        <v>0</v>
      </c>
      <c r="F43" s="46" t="str">
        <f t="shared" si="1"/>
        <v>"coach_challenge" : 0,</v>
      </c>
    </row>
    <row r="44" spans="3:6" x14ac:dyDescent="0.25">
      <c r="C44" s="44" t="s">
        <v>147</v>
      </c>
      <c r="D44" s="44">
        <f>'SCOUT &amp; LOGISTICS'!AC20</f>
        <v>0</v>
      </c>
      <c r="F44" s="46" t="str">
        <f t="shared" si="1"/>
        <v>"not_happened" : 0,</v>
      </c>
    </row>
    <row r="45" spans="3:6" x14ac:dyDescent="0.25">
      <c r="C45" s="44" t="s">
        <v>148</v>
      </c>
      <c r="D45" s="44">
        <f>'SCOUT &amp; LOGISTICS'!AC21</f>
        <v>0</v>
      </c>
      <c r="F45" s="46" t="str">
        <f t="shared" si="1"/>
        <v>"missplaced" : 0,</v>
      </c>
    </row>
    <row r="46" spans="3:6" x14ac:dyDescent="0.25">
      <c r="C46" s="47" t="s">
        <v>154</v>
      </c>
      <c r="D46" s="44">
        <f>'SCOUT &amp; LOGISTICS'!AC23</f>
        <v>0</v>
      </c>
      <c r="F46" s="46" t="str">
        <f t="shared" si="1"/>
        <v>"part_of_a_sequence" : 0,</v>
      </c>
    </row>
    <row r="47" spans="3:6" x14ac:dyDescent="0.25">
      <c r="C47" s="44" t="s">
        <v>149</v>
      </c>
      <c r="D47" s="44">
        <f>'SCOUT &amp; LOGISTICS'!AF39</f>
        <v>0</v>
      </c>
      <c r="F47" s="46" t="str">
        <f t="shared" si="1"/>
        <v>"time_out" : 0,</v>
      </c>
    </row>
    <row r="48" spans="3:6" x14ac:dyDescent="0.25">
      <c r="C48" s="44" t="s">
        <v>150</v>
      </c>
      <c r="D48" s="44">
        <f>'SCOUT &amp; LOGISTICS'!V16</f>
        <v>1</v>
      </c>
      <c r="F48" s="46" t="str">
        <f t="shared" si="1"/>
        <v>"fouls" : 1,</v>
      </c>
    </row>
    <row r="49" spans="2:6" x14ac:dyDescent="0.25">
      <c r="C49" s="44" t="s">
        <v>151</v>
      </c>
      <c r="D49" s="44">
        <f>'SCOUT &amp; LOGISTICS'!R16</f>
        <v>0</v>
      </c>
      <c r="F49" s="46" t="str">
        <f>""""&amp;C49&amp;"""" &amp; " : " &amp;D49</f>
        <v>"points" : 0</v>
      </c>
    </row>
    <row r="50" spans="2:6" x14ac:dyDescent="0.25">
      <c r="F50" s="46" t="s">
        <v>158</v>
      </c>
    </row>
    <row r="51" spans="2:6" x14ac:dyDescent="0.25">
      <c r="B51" s="44" t="s">
        <v>152</v>
      </c>
      <c r="C51" s="44" t="str">
        <f>""""&amp;IF('SCOUT &amp; LOGISTICS'!M4="","",'SCOUT &amp; LOGISTICS'!M4)&amp;""""</f>
        <v>"Very good job! Just a little reminder to wait for the green button to appear on the end screen before sending end game. "</v>
      </c>
      <c r="F51" s="46" t="str">
        <f>""""&amp;B51&amp;"""" &amp; " : " &amp;C51&amp;","</f>
        <v>"comments" : "Very good job! Just a little reminder to wait for the green button to appear on the end screen before sending end game. ",</v>
      </c>
    </row>
    <row r="52" spans="2:6" x14ac:dyDescent="0.25">
      <c r="B52" s="44" t="s">
        <v>153</v>
      </c>
      <c r="C52" s="44" t="str">
        <f>TEXT('SCOUT &amp; LOGISTICS'!N2,"0,0")</f>
        <v>C:\Temp</v>
      </c>
      <c r="F52" s="46" t="str">
        <f>""""&amp;B52&amp;"""" &amp; " : " &amp;C52</f>
        <v>"result" : C:\Temp</v>
      </c>
    </row>
    <row r="53" spans="2:6" x14ac:dyDescent="0.25">
      <c r="F53" s="46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5.5" zeroHeight="1" x14ac:dyDescent="0.45"/>
  <cols>
    <col min="1" max="1" width="5.1796875" style="48" customWidth="1"/>
    <col min="2" max="2" width="2.81640625" style="48" customWidth="1"/>
    <col min="3" max="31" width="3.1796875" style="48" customWidth="1"/>
    <col min="32" max="32" width="5.54296875" style="48" customWidth="1"/>
    <col min="33" max="16384" width="6.54296875" style="48" hidden="1"/>
  </cols>
  <sheetData>
    <row r="1" spans="1:33" s="49" customFormat="1" ht="11.15" customHeight="1" x14ac:dyDescent="0.45"/>
    <row r="2" spans="1:33" ht="42.65" customHeight="1" thickBot="1" x14ac:dyDescent="0.5">
      <c r="A2" s="49"/>
      <c r="B2" s="172"/>
      <c r="C2" s="172"/>
      <c r="D2" s="172"/>
      <c r="E2" s="172"/>
      <c r="F2" s="172"/>
      <c r="G2" s="172"/>
      <c r="H2" s="172"/>
      <c r="I2" s="172"/>
      <c r="J2" s="172"/>
      <c r="K2" s="172"/>
      <c r="L2" s="172"/>
      <c r="M2" s="172"/>
      <c r="N2" s="172"/>
      <c r="O2" s="172"/>
      <c r="P2" s="172"/>
      <c r="Q2" s="172"/>
      <c r="R2" s="172"/>
      <c r="S2" s="172"/>
      <c r="T2" s="172"/>
      <c r="U2" s="172"/>
      <c r="V2" s="172"/>
      <c r="W2" s="172"/>
      <c r="X2" s="172"/>
      <c r="Y2" s="172"/>
      <c r="Z2" s="172"/>
      <c r="AA2" s="172"/>
      <c r="AB2" s="172"/>
      <c r="AC2" s="172"/>
      <c r="AD2" s="172"/>
      <c r="AE2" s="172"/>
      <c r="AF2" s="49"/>
    </row>
    <row r="3" spans="1:33" ht="27" customHeight="1" thickBot="1" x14ac:dyDescent="0.5">
      <c r="A3" s="49"/>
      <c r="B3" s="166" t="str">
        <f>"GAME: "&amp; LEFT('SCOUT &amp; LOGISTICS'!B2,1) &amp; TEXT('SCOUT &amp; LOGISTICS'!C2,"000") &amp; " " &amp; IF(LEFT('SCOUT &amp; LOGISTICS'!B2,1)="U","(EUROCUP)","(EUROLEAGUE)")</f>
        <v>GAME: U010 (EUROCUP)</v>
      </c>
      <c r="C3" s="166"/>
      <c r="D3" s="166"/>
      <c r="E3" s="166"/>
      <c r="F3" s="166"/>
      <c r="G3" s="166"/>
      <c r="H3" s="166"/>
      <c r="I3" s="166"/>
      <c r="J3" s="166"/>
      <c r="K3" s="166"/>
      <c r="L3" s="166"/>
      <c r="M3" s="166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49"/>
    </row>
    <row r="4" spans="1:33" ht="14.25" customHeight="1" thickBot="1" x14ac:dyDescent="0.5">
      <c r="A4" s="49"/>
      <c r="B4" s="164" t="str">
        <f>"DATE: " &amp; TEXT('SCOUT &amp; LOGISTICS'!B3,"dd/mm/aaaa")</f>
        <v xml:space="preserve">DATE: </v>
      </c>
      <c r="C4" s="164"/>
      <c r="D4" s="164"/>
      <c r="E4" s="164"/>
      <c r="F4" s="164"/>
      <c r="G4" s="164"/>
      <c r="H4" s="164"/>
      <c r="I4" s="164"/>
      <c r="J4" s="164"/>
      <c r="K4" s="164"/>
      <c r="L4" s="164"/>
      <c r="M4" s="164"/>
      <c r="N4" s="164"/>
      <c r="O4" s="164"/>
      <c r="P4" s="164"/>
      <c r="Q4" s="164"/>
      <c r="R4" s="164"/>
      <c r="S4" s="164"/>
      <c r="T4" s="164"/>
      <c r="U4" s="164"/>
      <c r="V4" s="164"/>
      <c r="W4" s="164"/>
      <c r="X4" s="164"/>
      <c r="Y4" s="164"/>
      <c r="Z4" s="164"/>
      <c r="AA4" s="164"/>
      <c r="AB4" s="164"/>
      <c r="AC4" s="164"/>
      <c r="AD4" s="164"/>
      <c r="AE4" s="164"/>
      <c r="AF4" s="49"/>
    </row>
    <row r="5" spans="1:33" ht="20.149999999999999" customHeight="1" thickBot="1" x14ac:dyDescent="0.5">
      <c r="A5" s="49"/>
      <c r="B5" s="168" t="str">
        <f>'SCOUT &amp; LOGISTICS'!D4</f>
        <v>Lietkabelis Panevezys</v>
      </c>
      <c r="C5" s="168"/>
      <c r="D5" s="168"/>
      <c r="E5" s="168"/>
      <c r="F5" s="168"/>
      <c r="G5" s="168"/>
      <c r="H5" s="168"/>
      <c r="I5" s="168"/>
      <c r="J5" s="168"/>
      <c r="K5" s="168"/>
      <c r="L5" s="168"/>
      <c r="M5" s="168"/>
      <c r="N5" s="168"/>
      <c r="O5" s="168"/>
      <c r="P5" s="168"/>
      <c r="Q5" s="168" t="str">
        <f>'SCOUT &amp; LOGISTICS'!D5</f>
        <v>Besiktas GAIN Istanbul</v>
      </c>
      <c r="R5" s="168"/>
      <c r="S5" s="168"/>
      <c r="T5" s="168"/>
      <c r="U5" s="168"/>
      <c r="V5" s="168"/>
      <c r="W5" s="168"/>
      <c r="X5" s="168"/>
      <c r="Y5" s="168"/>
      <c r="Z5" s="168"/>
      <c r="AA5" s="168"/>
      <c r="AB5" s="168"/>
      <c r="AC5" s="168"/>
      <c r="AD5" s="168"/>
      <c r="AE5" s="168"/>
      <c r="AF5" s="49"/>
    </row>
    <row r="6" spans="1:33" ht="23.15" customHeight="1" thickBot="1" x14ac:dyDescent="0.5">
      <c r="A6" s="49"/>
      <c r="B6" s="161" t="str">
        <f>PROPER('SCOUT &amp; LOGISTICS'!D4)</f>
        <v>Lietkabelis Panevezys</v>
      </c>
      <c r="C6" s="161"/>
      <c r="D6" s="161"/>
      <c r="E6" s="161"/>
      <c r="F6" s="161"/>
      <c r="G6" s="161"/>
      <c r="H6" s="161"/>
      <c r="I6" s="161"/>
      <c r="J6" s="161"/>
      <c r="K6" s="161"/>
      <c r="L6" s="161"/>
      <c r="M6" s="161"/>
      <c r="N6" s="161"/>
      <c r="O6" s="161"/>
      <c r="P6" s="161"/>
      <c r="Q6" s="161" t="str">
        <f>PROPER('SCOUT &amp; LOGISTICS'!D5)</f>
        <v>Besiktas Gain Istanbul</v>
      </c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/>
      <c r="AF6" s="49"/>
    </row>
    <row r="7" spans="1:33" ht="19.5" customHeight="1" thickBot="1" x14ac:dyDescent="0.5">
      <c r="A7" s="49"/>
      <c r="B7" s="167" t="str">
        <f>'SCOUT &amp; LOGISTICS'!B6</f>
        <v>Data entry</v>
      </c>
      <c r="C7" s="167"/>
      <c r="D7" s="167"/>
      <c r="E7" s="167"/>
      <c r="F7" s="167"/>
      <c r="G7" s="167" t="str">
        <f>'SCOUT &amp; LOGISTICS'!B7</f>
        <v>Caller 1</v>
      </c>
      <c r="H7" s="167"/>
      <c r="I7" s="167"/>
      <c r="J7" s="167"/>
      <c r="K7" s="167"/>
      <c r="L7" s="167" t="str">
        <f>'SCOUT &amp; LOGISTICS'!B8</f>
        <v>Caller 2</v>
      </c>
      <c r="M7" s="167"/>
      <c r="N7" s="167"/>
      <c r="O7" s="167"/>
      <c r="P7" s="167"/>
      <c r="Q7" s="167" t="str">
        <f>'SCOUT &amp; LOGISTICS'!B9</f>
        <v>Timerkeeper</v>
      </c>
      <c r="R7" s="167"/>
      <c r="S7" s="167"/>
      <c r="T7" s="167"/>
      <c r="U7" s="167"/>
      <c r="V7" s="167" t="str">
        <f>'SCOUT &amp; LOGISTICS'!B10</f>
        <v>Shotclock</v>
      </c>
      <c r="W7" s="167"/>
      <c r="X7" s="167"/>
      <c r="Y7" s="167"/>
      <c r="Z7" s="167"/>
      <c r="AA7" s="167" t="str">
        <f>'SCOUT &amp; LOGISTICS'!B11</f>
        <v>IRS</v>
      </c>
      <c r="AB7" s="167"/>
      <c r="AC7" s="167"/>
      <c r="AD7" s="167"/>
      <c r="AE7" s="167"/>
      <c r="AF7" s="49"/>
    </row>
    <row r="8" spans="1:33" ht="36" customHeight="1" thickBot="1" x14ac:dyDescent="0.5">
      <c r="A8" s="49"/>
      <c r="B8" s="165" t="str">
        <f>IF('SCOUT &amp; LOGISTICS'!D6="","",'SCOUT &amp; LOGISTICS'!D6)</f>
        <v>DOVILE RUSONYTE</v>
      </c>
      <c r="C8" s="165"/>
      <c r="D8" s="165"/>
      <c r="E8" s="165"/>
      <c r="F8" s="165"/>
      <c r="G8" s="165" t="str">
        <f>IF('SCOUT &amp; LOGISTICS'!D7="","",'SCOUT &amp; LOGISTICS'!D7)</f>
        <v>RASA KIZIKAITE</v>
      </c>
      <c r="H8" s="165"/>
      <c r="I8" s="165"/>
      <c r="J8" s="165"/>
      <c r="K8" s="165"/>
      <c r="L8" s="165" t="str">
        <f>IF('SCOUT &amp; LOGISTICS'!D8="","",'SCOUT &amp; LOGISTICS'!D8)</f>
        <v>AUKSE ZAKRIENE</v>
      </c>
      <c r="M8" s="165"/>
      <c r="N8" s="165"/>
      <c r="O8" s="165"/>
      <c r="P8" s="165"/>
      <c r="Q8" s="165" t="str">
        <f>IF('SCOUT &amp; LOGISTICS'!D9="","",'SCOUT &amp; LOGISTICS'!D9)</f>
        <v>GINTARE BUKARTAITE</v>
      </c>
      <c r="R8" s="165"/>
      <c r="S8" s="165"/>
      <c r="T8" s="165"/>
      <c r="U8" s="165"/>
      <c r="V8" s="165" t="str">
        <f>IF('SCOUT &amp; LOGISTICS'!D10="","",'SCOUT &amp; LOGISTICS'!D10)</f>
        <v>VIDAS MACYS</v>
      </c>
      <c r="W8" s="165"/>
      <c r="X8" s="165"/>
      <c r="Y8" s="165"/>
      <c r="Z8" s="165"/>
      <c r="AA8" s="165" t="str">
        <f>IF('SCOUT &amp; LOGISTICS'!D11="","",'SCOUT &amp; LOGISTICS'!D11)</f>
        <v/>
      </c>
      <c r="AB8" s="165"/>
      <c r="AC8" s="165"/>
      <c r="AD8" s="165"/>
      <c r="AE8" s="165"/>
      <c r="AF8" s="49"/>
    </row>
    <row r="9" spans="1:33" ht="16" thickBot="1" x14ac:dyDescent="0.5">
      <c r="A9" s="49"/>
      <c r="B9" s="173" t="str">
        <f>IF(OR('SCOUT &amp; LOGISTICS'!D14="",'SCOUT &amp; LOGISTICS'!D14=0),"",'SCOUT &amp; LOGISTICS'!B14 &amp; ": " &amp; 'SCOUT &amp; LOGISTICS'!D14) &amp; "     "</f>
        <v xml:space="preserve">L G M: : ELOI VERGÉ     </v>
      </c>
      <c r="C9" s="173"/>
      <c r="D9" s="173"/>
      <c r="E9" s="173"/>
      <c r="F9" s="173"/>
      <c r="G9" s="173"/>
      <c r="H9" s="173"/>
      <c r="I9" s="173"/>
      <c r="J9" s="173"/>
      <c r="K9" s="173"/>
      <c r="L9" s="173"/>
      <c r="M9" s="173"/>
      <c r="N9" s="173"/>
      <c r="O9" s="173"/>
      <c r="P9" s="173"/>
      <c r="Q9" s="173"/>
      <c r="R9" s="173"/>
      <c r="S9" s="173"/>
      <c r="T9" s="173"/>
      <c r="U9" s="173"/>
      <c r="V9" s="173"/>
      <c r="W9" s="173"/>
      <c r="X9" s="173"/>
      <c r="Y9" s="173"/>
      <c r="Z9" s="173"/>
      <c r="AA9" s="173"/>
      <c r="AB9" s="173"/>
      <c r="AC9" s="173"/>
      <c r="AD9" s="173"/>
      <c r="AE9" s="173"/>
      <c r="AF9" s="49"/>
    </row>
    <row r="10" spans="1:33" s="49" customFormat="1" ht="16" thickBot="1" x14ac:dyDescent="0.5">
      <c r="B10" s="160"/>
      <c r="C10" s="160"/>
      <c r="D10" s="160"/>
      <c r="E10" s="160"/>
      <c r="F10" s="160"/>
      <c r="G10" s="160"/>
      <c r="H10" s="160"/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0"/>
      <c r="W10" s="160"/>
      <c r="X10" s="160"/>
      <c r="Y10" s="160"/>
      <c r="Z10" s="160"/>
      <c r="AA10" s="160"/>
      <c r="AB10" s="160"/>
      <c r="AC10" s="160"/>
      <c r="AD10" s="160"/>
      <c r="AE10" s="160"/>
    </row>
    <row r="11" spans="1:33" ht="20.149999999999999" customHeight="1" thickBot="1" x14ac:dyDescent="0.5">
      <c r="A11" s="49"/>
      <c r="B11" s="164" t="s">
        <v>13</v>
      </c>
      <c r="C11" s="164"/>
      <c r="D11" s="164"/>
      <c r="E11" s="164"/>
      <c r="F11" s="164"/>
      <c r="G11" s="164"/>
      <c r="H11" s="164"/>
      <c r="I11" s="164"/>
      <c r="J11" s="164"/>
      <c r="K11" s="164"/>
      <c r="L11" s="164"/>
      <c r="M11" s="164"/>
      <c r="N11" s="164"/>
      <c r="O11" s="164"/>
      <c r="P11" s="164"/>
      <c r="Q11" s="164"/>
      <c r="R11" s="164"/>
      <c r="S11" s="164"/>
      <c r="T11" s="164"/>
      <c r="U11" s="164"/>
      <c r="V11" s="164"/>
      <c r="W11" s="164"/>
      <c r="X11" s="164"/>
      <c r="Y11" s="164"/>
      <c r="Z11" s="164"/>
      <c r="AA11" s="164"/>
      <c r="AB11" s="164"/>
      <c r="AC11" s="164"/>
      <c r="AD11" s="164"/>
      <c r="AE11" s="164"/>
      <c r="AF11" s="49"/>
    </row>
    <row r="12" spans="1:33" ht="21" customHeight="1" thickBot="1" x14ac:dyDescent="0.5">
      <c r="A12" s="49"/>
      <c r="B12" s="162" t="str">
        <f>'SCOUT &amp; LOGISTICS'!I11</f>
        <v>ARRIVAL TIME</v>
      </c>
      <c r="C12" s="162"/>
      <c r="D12" s="162"/>
      <c r="E12" s="162"/>
      <c r="F12" s="162"/>
      <c r="G12" s="162"/>
      <c r="H12" s="162" t="str">
        <f>'SCOUT &amp; LOGISTICS'!J11</f>
        <v>CHECK LIST ON TIME</v>
      </c>
      <c r="I12" s="162"/>
      <c r="J12" s="162"/>
      <c r="K12" s="162"/>
      <c r="L12" s="162"/>
      <c r="M12" s="162"/>
      <c r="N12" s="162" t="str">
        <f>'SCOUT &amp; LOGISTICS'!K11</f>
        <v>COMMUNICATION</v>
      </c>
      <c r="O12" s="162"/>
      <c r="P12" s="162"/>
      <c r="Q12" s="162"/>
      <c r="R12" s="162"/>
      <c r="S12" s="162"/>
      <c r="T12" s="162" t="str">
        <f>'SCOUT &amp; LOGISTICS'!L11</f>
        <v>CORRECTIONS</v>
      </c>
      <c r="U12" s="162"/>
      <c r="V12" s="162"/>
      <c r="W12" s="162"/>
      <c r="X12" s="162"/>
      <c r="Y12" s="162"/>
      <c r="Z12" s="162" t="str">
        <f>'SCOUT &amp; LOGISTICS'!M11</f>
        <v>RESCOUTED</v>
      </c>
      <c r="AA12" s="162"/>
      <c r="AB12" s="162"/>
      <c r="AC12" s="162"/>
      <c r="AD12" s="162"/>
      <c r="AE12" s="162"/>
      <c r="AF12" s="49"/>
    </row>
    <row r="13" spans="1:33" ht="20.149999999999999" customHeight="1" thickBot="1" x14ac:dyDescent="0.5">
      <c r="A13" s="49"/>
      <c r="B13" s="169" t="str">
        <f>IF('SCOUT &amp; LOGISTICS'!I12="","",'SCOUT &amp; LOGISTICS'!I12)</f>
        <v>OK</v>
      </c>
      <c r="C13" s="169"/>
      <c r="D13" s="169"/>
      <c r="E13" s="169"/>
      <c r="F13" s="169"/>
      <c r="G13" s="169"/>
      <c r="H13" s="169" t="str">
        <f>IF('SCOUT &amp; LOGISTICS'!J12="","",'SCOUT &amp; LOGISTICS'!J12)</f>
        <v>YES</v>
      </c>
      <c r="I13" s="169"/>
      <c r="J13" s="169"/>
      <c r="K13" s="169"/>
      <c r="L13" s="169"/>
      <c r="M13" s="169"/>
      <c r="N13" s="169" t="str">
        <f>IF('SCOUT &amp; LOGISTICS'!K12="","",'SCOUT &amp; LOGISTICS'!K12)</f>
        <v>GOOD</v>
      </c>
      <c r="O13" s="169"/>
      <c r="P13" s="169"/>
      <c r="Q13" s="169"/>
      <c r="R13" s="169"/>
      <c r="S13" s="169"/>
      <c r="T13" s="169" t="str">
        <f>IF('SCOUT &amp; LOGISTICS'!L12="","",'SCOUT &amp; LOGISTICS'!L12)</f>
        <v>FAST</v>
      </c>
      <c r="U13" s="169"/>
      <c r="V13" s="169"/>
      <c r="W13" s="169"/>
      <c r="X13" s="169"/>
      <c r="Y13" s="169"/>
      <c r="Z13" s="169" t="str">
        <f>IF('SCOUT &amp; LOGISTICS'!M12="","",'SCOUT &amp; LOGISTICS'!M12)</f>
        <v>NO</v>
      </c>
      <c r="AA13" s="169"/>
      <c r="AB13" s="169"/>
      <c r="AC13" s="169"/>
      <c r="AD13" s="169"/>
      <c r="AE13" s="169"/>
      <c r="AF13" s="49"/>
    </row>
    <row r="14" spans="1:33" s="49" customFormat="1" ht="16" thickBot="1" x14ac:dyDescent="0.5">
      <c r="B14" s="160"/>
      <c r="C14" s="160"/>
      <c r="D14" s="160"/>
      <c r="E14" s="160"/>
      <c r="F14" s="160"/>
      <c r="G14" s="160"/>
      <c r="H14" s="160"/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0"/>
      <c r="W14" s="160"/>
      <c r="X14" s="160"/>
      <c r="Y14" s="160"/>
      <c r="Z14" s="160"/>
      <c r="AA14" s="160"/>
      <c r="AB14" s="160"/>
      <c r="AC14" s="160"/>
      <c r="AD14" s="160"/>
      <c r="AE14" s="160"/>
    </row>
    <row r="15" spans="1:33" ht="20.149999999999999" customHeight="1" thickBot="1" x14ac:dyDescent="0.5">
      <c r="A15" s="49"/>
      <c r="B15" s="164" t="s">
        <v>45</v>
      </c>
      <c r="C15" s="164"/>
      <c r="D15" s="164"/>
      <c r="E15" s="164"/>
      <c r="F15" s="164"/>
      <c r="G15" s="164"/>
      <c r="H15" s="164"/>
      <c r="I15" s="164"/>
      <c r="J15" s="164"/>
      <c r="K15" s="164"/>
      <c r="L15" s="164"/>
      <c r="M15" s="164"/>
      <c r="N15" s="164"/>
      <c r="O15" s="164"/>
      <c r="P15" s="164"/>
      <c r="Q15" s="164"/>
      <c r="R15" s="164"/>
      <c r="S15" s="164"/>
      <c r="T15" s="164"/>
      <c r="U15" s="164"/>
      <c r="V15" s="164"/>
      <c r="W15" s="164"/>
      <c r="X15" s="164"/>
      <c r="Y15" s="164"/>
      <c r="Z15" s="164"/>
      <c r="AA15" s="164"/>
      <c r="AB15" s="164"/>
      <c r="AC15" s="164"/>
      <c r="AD15" s="164"/>
      <c r="AE15" s="164"/>
      <c r="AF15" s="49"/>
    </row>
    <row r="16" spans="1:33" ht="21" customHeight="1" thickBot="1" x14ac:dyDescent="0.5">
      <c r="A16" s="49"/>
      <c r="B16" s="162" t="s">
        <v>82</v>
      </c>
      <c r="C16" s="162"/>
      <c r="D16" s="162"/>
      <c r="E16" s="162"/>
      <c r="F16" s="162"/>
      <c r="G16" s="162"/>
      <c r="H16" s="162"/>
      <c r="I16" s="162"/>
      <c r="J16" s="162"/>
      <c r="K16" s="162"/>
      <c r="L16" s="162" t="s">
        <v>83</v>
      </c>
      <c r="M16" s="162"/>
      <c r="N16" s="162"/>
      <c r="O16" s="162"/>
      <c r="P16" s="162"/>
      <c r="Q16" s="162"/>
      <c r="R16" s="162"/>
      <c r="S16" s="162"/>
      <c r="T16" s="162"/>
      <c r="U16" s="162"/>
      <c r="V16" s="162" t="s">
        <v>85</v>
      </c>
      <c r="W16" s="162"/>
      <c r="X16" s="162"/>
      <c r="Y16" s="162"/>
      <c r="Z16" s="162"/>
      <c r="AA16" s="162"/>
      <c r="AB16" s="162"/>
      <c r="AC16" s="162"/>
      <c r="AD16" s="162"/>
      <c r="AE16" s="162"/>
      <c r="AF16" s="49"/>
      <c r="AG16" s="48" t="s">
        <v>84</v>
      </c>
    </row>
    <row r="17" spans="1:32" ht="20.149999999999999" customHeight="1" thickBot="1" x14ac:dyDescent="0.5">
      <c r="A17" s="49"/>
      <c r="B17" s="167">
        <f>'SCOUT &amp; LOGISTICS'!D3</f>
        <v>557</v>
      </c>
      <c r="C17" s="167"/>
      <c r="D17" s="167"/>
      <c r="E17" s="167"/>
      <c r="F17" s="167"/>
      <c r="G17" s="167"/>
      <c r="H17" s="167"/>
      <c r="I17" s="167"/>
      <c r="J17" s="167"/>
      <c r="K17" s="167"/>
      <c r="L17" s="167">
        <f>'SCOUT &amp; LOGISTICS'!F3</f>
        <v>7</v>
      </c>
      <c r="M17" s="167"/>
      <c r="N17" s="167"/>
      <c r="O17" s="167"/>
      <c r="P17" s="167"/>
      <c r="Q17" s="167"/>
      <c r="R17" s="167"/>
      <c r="S17" s="167"/>
      <c r="T17" s="167"/>
      <c r="U17" s="167"/>
      <c r="V17" s="170">
        <f>IF(OR(B17="",B17=0),"",L17/B17)</f>
        <v>1.2567324955116697E-2</v>
      </c>
      <c r="W17" s="170"/>
      <c r="X17" s="170"/>
      <c r="Y17" s="170"/>
      <c r="Z17" s="170"/>
      <c r="AA17" s="170"/>
      <c r="AB17" s="170"/>
      <c r="AC17" s="170"/>
      <c r="AD17" s="170"/>
      <c r="AE17" s="170"/>
      <c r="AF17" s="49"/>
    </row>
    <row r="18" spans="1:32" s="49" customFormat="1" ht="16" thickBot="1" x14ac:dyDescent="0.5">
      <c r="B18" s="160"/>
      <c r="C18" s="160"/>
      <c r="D18" s="160"/>
      <c r="E18" s="160"/>
      <c r="F18" s="160"/>
      <c r="G18" s="160"/>
      <c r="H18" s="160"/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0"/>
      <c r="W18" s="160"/>
      <c r="X18" s="160"/>
      <c r="Y18" s="160"/>
      <c r="Z18" s="160"/>
      <c r="AA18" s="160"/>
      <c r="AB18" s="160"/>
      <c r="AC18" s="160"/>
      <c r="AD18" s="160"/>
      <c r="AE18" s="160"/>
    </row>
    <row r="19" spans="1:32" ht="21" customHeight="1" thickBot="1" x14ac:dyDescent="0.5">
      <c r="A19" s="49"/>
      <c r="B19" s="162" t="str">
        <f>'SCOUT &amp; LOGISTICS'!Z17</f>
        <v>AWAY TEAM</v>
      </c>
      <c r="C19" s="162"/>
      <c r="D19" s="162"/>
      <c r="E19" s="162"/>
      <c r="F19" s="162"/>
      <c r="G19" s="162"/>
      <c r="H19" s="162"/>
      <c r="I19" s="162"/>
      <c r="J19" s="162"/>
      <c r="K19" s="162"/>
      <c r="L19" s="162" t="str">
        <f>'SCOUT &amp; LOGISTICS'!Z18</f>
        <v>HOME TEAM</v>
      </c>
      <c r="M19" s="162"/>
      <c r="N19" s="162"/>
      <c r="O19" s="162"/>
      <c r="P19" s="162"/>
      <c r="Q19" s="162" t="s">
        <v>63</v>
      </c>
      <c r="R19" s="162"/>
      <c r="S19" s="162"/>
      <c r="T19" s="162"/>
      <c r="U19" s="162"/>
      <c r="V19" s="162" t="str">
        <f>'SCOUT &amp; LOGISTICS'!Z19</f>
        <v>NO TEAM</v>
      </c>
      <c r="W19" s="162"/>
      <c r="X19" s="162"/>
      <c r="Y19" s="162"/>
      <c r="Z19" s="162"/>
      <c r="AA19" s="162"/>
      <c r="AB19" s="162"/>
      <c r="AC19" s="162"/>
      <c r="AD19" s="162"/>
      <c r="AE19" s="162"/>
      <c r="AF19" s="49"/>
    </row>
    <row r="20" spans="1:32" ht="20.149999999999999" customHeight="1" thickBot="1" x14ac:dyDescent="0.5">
      <c r="A20" s="49"/>
      <c r="B20" s="163">
        <f>IF('SCOUT &amp; LOGISTICS'!AA17="","",'SCOUT &amp; LOGISTICS'!AA17)</f>
        <v>3</v>
      </c>
      <c r="C20" s="163"/>
      <c r="D20" s="163"/>
      <c r="E20" s="163"/>
      <c r="F20" s="163"/>
      <c r="G20" s="163"/>
      <c r="H20" s="163"/>
      <c r="I20" s="163"/>
      <c r="J20" s="163"/>
      <c r="K20" s="163"/>
      <c r="L20" s="163">
        <f>IF('SCOUT &amp; LOGISTICS'!AA18="","",'SCOUT &amp; LOGISTICS'!AA18)</f>
        <v>4</v>
      </c>
      <c r="M20" s="163"/>
      <c r="N20" s="163"/>
      <c r="O20" s="163"/>
      <c r="P20" s="163"/>
      <c r="Q20" s="163"/>
      <c r="R20" s="163"/>
      <c r="S20" s="163"/>
      <c r="T20" s="163"/>
      <c r="U20" s="163"/>
      <c r="V20" s="163">
        <f>IF('SCOUT &amp; LOGISTICS'!AA19="","",'SCOUT &amp; LOGISTICS'!AA19)</f>
        <v>0</v>
      </c>
      <c r="W20" s="163"/>
      <c r="X20" s="163"/>
      <c r="Y20" s="163"/>
      <c r="Z20" s="163"/>
      <c r="AA20" s="163"/>
      <c r="AB20" s="163"/>
      <c r="AC20" s="163"/>
      <c r="AD20" s="163"/>
      <c r="AE20" s="163"/>
      <c r="AF20" s="49"/>
    </row>
    <row r="21" spans="1:32" ht="21" customHeight="1" thickBot="1" x14ac:dyDescent="0.5">
      <c r="A21" s="49"/>
      <c r="B21" s="162" t="s">
        <v>88</v>
      </c>
      <c r="C21" s="162"/>
      <c r="D21" s="162"/>
      <c r="E21" s="162"/>
      <c r="F21" s="162"/>
      <c r="G21" s="162"/>
      <c r="H21" s="162" t="s">
        <v>89</v>
      </c>
      <c r="I21" s="162"/>
      <c r="J21" s="162"/>
      <c r="K21" s="162"/>
      <c r="L21" s="162"/>
      <c r="M21" s="162"/>
      <c r="N21" s="162" t="s">
        <v>90</v>
      </c>
      <c r="O21" s="162"/>
      <c r="P21" s="162"/>
      <c r="Q21" s="162"/>
      <c r="R21" s="162"/>
      <c r="S21" s="162"/>
      <c r="T21" s="162" t="s">
        <v>91</v>
      </c>
      <c r="U21" s="162"/>
      <c r="V21" s="162"/>
      <c r="W21" s="162"/>
      <c r="X21" s="162"/>
      <c r="Y21" s="162"/>
      <c r="Z21" s="162" t="s">
        <v>92</v>
      </c>
      <c r="AA21" s="162"/>
      <c r="AB21" s="162"/>
      <c r="AC21" s="162"/>
      <c r="AD21" s="162"/>
      <c r="AE21" s="162"/>
      <c r="AF21" s="49"/>
    </row>
    <row r="22" spans="1:32" ht="20.149999999999999" customHeight="1" thickBot="1" x14ac:dyDescent="0.5">
      <c r="A22" s="49"/>
      <c r="B22" s="163">
        <f>'SCOUT &amp; LOGISTICS'!AG17</f>
        <v>0</v>
      </c>
      <c r="C22" s="163"/>
      <c r="D22" s="163"/>
      <c r="E22" s="163"/>
      <c r="F22" s="163"/>
      <c r="G22" s="163"/>
      <c r="H22" s="163">
        <f>'SCOUT &amp; LOGISTICS'!AG18</f>
        <v>5</v>
      </c>
      <c r="I22" s="163"/>
      <c r="J22" s="163"/>
      <c r="K22" s="163"/>
      <c r="L22" s="163"/>
      <c r="M22" s="163"/>
      <c r="N22" s="163">
        <f>'SCOUT &amp; LOGISTICS'!AG19</f>
        <v>1</v>
      </c>
      <c r="O22" s="163"/>
      <c r="P22" s="163"/>
      <c r="Q22" s="163"/>
      <c r="R22" s="163"/>
      <c r="S22" s="163"/>
      <c r="T22" s="163">
        <f>'SCOUT &amp; LOGISTICS'!AG20</f>
        <v>1</v>
      </c>
      <c r="U22" s="163"/>
      <c r="V22" s="163"/>
      <c r="W22" s="163"/>
      <c r="X22" s="163"/>
      <c r="Y22" s="163"/>
      <c r="Z22" s="163">
        <f>IF('SCOUT &amp; LOGISTICS'!AG21="","",'SCOUT &amp; LOGISTICS'!AG21)</f>
        <v>0</v>
      </c>
      <c r="AA22" s="163"/>
      <c r="AB22" s="163"/>
      <c r="AC22" s="163"/>
      <c r="AD22" s="163"/>
      <c r="AE22" s="163"/>
      <c r="AF22" s="49"/>
    </row>
    <row r="23" spans="1:32" s="49" customFormat="1" ht="16" thickBot="1" x14ac:dyDescent="0.5">
      <c r="B23" s="159"/>
      <c r="C23" s="159"/>
      <c r="D23" s="159"/>
      <c r="E23" s="159"/>
      <c r="F23" s="159"/>
      <c r="G23" s="159"/>
      <c r="H23" s="159"/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59"/>
      <c r="W23" s="159"/>
      <c r="X23" s="159"/>
      <c r="Y23" s="159"/>
      <c r="Z23" s="159"/>
      <c r="AA23" s="159"/>
      <c r="AB23" s="159"/>
      <c r="AC23" s="159"/>
      <c r="AD23" s="159"/>
      <c r="AE23" s="159"/>
    </row>
    <row r="24" spans="1:32" ht="21" customHeight="1" thickBot="1" x14ac:dyDescent="0.5">
      <c r="A24" s="49"/>
      <c r="B24" s="162" t="s">
        <v>93</v>
      </c>
      <c r="C24" s="162"/>
      <c r="D24" s="162"/>
      <c r="E24" s="162"/>
      <c r="F24" s="162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 t="s">
        <v>94</v>
      </c>
      <c r="R24" s="162"/>
      <c r="S24" s="162"/>
      <c r="T24" s="162"/>
      <c r="U24" s="162"/>
      <c r="V24" s="162"/>
      <c r="W24" s="162"/>
      <c r="X24" s="162"/>
      <c r="Y24" s="162"/>
      <c r="Z24" s="162"/>
      <c r="AA24" s="162"/>
      <c r="AB24" s="162"/>
      <c r="AC24" s="162"/>
      <c r="AD24" s="162"/>
      <c r="AE24" s="162"/>
      <c r="AF24" s="49"/>
    </row>
    <row r="25" spans="1:32" ht="20.149999999999999" customHeight="1" thickBot="1" x14ac:dyDescent="0.5">
      <c r="A25" s="49"/>
      <c r="B25" s="163">
        <f>'SCOUT &amp; LOGISTICS'!Y17</f>
        <v>7</v>
      </c>
      <c r="C25" s="163"/>
      <c r="D25" s="163"/>
      <c r="E25" s="163"/>
      <c r="F25" s="163"/>
      <c r="G25" s="163"/>
      <c r="H25" s="163"/>
      <c r="I25" s="163"/>
      <c r="J25" s="163"/>
      <c r="K25" s="163"/>
      <c r="L25" s="163"/>
      <c r="M25" s="163"/>
      <c r="N25" s="163"/>
      <c r="O25" s="163"/>
      <c r="P25" s="163"/>
      <c r="Q25" s="163">
        <f>'SCOUT &amp; LOGISTICS'!Y18</f>
        <v>0</v>
      </c>
      <c r="R25" s="163"/>
      <c r="S25" s="163"/>
      <c r="T25" s="163"/>
      <c r="U25" s="163"/>
      <c r="V25" s="163"/>
      <c r="W25" s="163"/>
      <c r="X25" s="163"/>
      <c r="Y25" s="163"/>
      <c r="Z25" s="163"/>
      <c r="AA25" s="163"/>
      <c r="AB25" s="163"/>
      <c r="AC25" s="163"/>
      <c r="AD25" s="163"/>
      <c r="AE25" s="163"/>
      <c r="AF25" s="49"/>
    </row>
    <row r="26" spans="1:32" ht="21" customHeight="1" thickBot="1" x14ac:dyDescent="0.5">
      <c r="A26" s="49"/>
      <c r="B26" s="162" t="s">
        <v>5</v>
      </c>
      <c r="C26" s="162"/>
      <c r="D26" s="162"/>
      <c r="E26" s="162"/>
      <c r="F26" s="162"/>
      <c r="G26" s="162" t="s">
        <v>6</v>
      </c>
      <c r="H26" s="162"/>
      <c r="I26" s="162"/>
      <c r="J26" s="162"/>
      <c r="K26" s="162"/>
      <c r="L26" s="162" t="s">
        <v>7</v>
      </c>
      <c r="M26" s="162"/>
      <c r="N26" s="162"/>
      <c r="O26" s="162"/>
      <c r="P26" s="162"/>
      <c r="Q26" s="162" t="s">
        <v>159</v>
      </c>
      <c r="R26" s="162"/>
      <c r="S26" s="162"/>
      <c r="T26" s="162"/>
      <c r="U26" s="162"/>
      <c r="V26" s="162" t="s">
        <v>109</v>
      </c>
      <c r="W26" s="162"/>
      <c r="X26" s="162"/>
      <c r="Y26" s="162"/>
      <c r="Z26" s="162"/>
      <c r="AA26" s="171" t="s">
        <v>161</v>
      </c>
      <c r="AB26" s="162"/>
      <c r="AC26" s="162"/>
      <c r="AD26" s="162"/>
      <c r="AE26" s="162"/>
      <c r="AF26" s="49"/>
    </row>
    <row r="27" spans="1:32" ht="20.149999999999999" customHeight="1" thickBot="1" x14ac:dyDescent="0.5">
      <c r="A27" s="49"/>
      <c r="B27" s="163">
        <f>'SCOUT &amp; LOGISTICS'!AC18</f>
        <v>2</v>
      </c>
      <c r="C27" s="163"/>
      <c r="D27" s="163"/>
      <c r="E27" s="163"/>
      <c r="F27" s="163"/>
      <c r="G27" s="163">
        <f>'SCOUT &amp; LOGISTICS'!AC22</f>
        <v>3</v>
      </c>
      <c r="H27" s="163"/>
      <c r="I27" s="163"/>
      <c r="J27" s="163"/>
      <c r="K27" s="163"/>
      <c r="L27" s="163">
        <f>'SCOUT &amp; LOGISTICS'!AC23</f>
        <v>0</v>
      </c>
      <c r="M27" s="163"/>
      <c r="N27" s="163"/>
      <c r="O27" s="163"/>
      <c r="P27" s="163"/>
      <c r="Q27" s="163">
        <f>'SCOUT &amp; LOGISTICS'!AC21</f>
        <v>0</v>
      </c>
      <c r="R27" s="163"/>
      <c r="S27" s="163"/>
      <c r="T27" s="163"/>
      <c r="U27" s="163"/>
      <c r="V27" s="163">
        <f>'SCOUT &amp; LOGISTICS'!AC27</f>
        <v>0</v>
      </c>
      <c r="W27" s="163"/>
      <c r="X27" s="163"/>
      <c r="Y27" s="163"/>
      <c r="Z27" s="163"/>
      <c r="AA27" s="163">
        <f>'SCOUT &amp; LOGISTICS'!AC17+'SCOUT &amp; LOGISTICS'!AC20</f>
        <v>0</v>
      </c>
      <c r="AB27" s="163"/>
      <c r="AC27" s="163"/>
      <c r="AD27" s="163"/>
      <c r="AE27" s="163"/>
      <c r="AF27" s="49"/>
    </row>
    <row r="28" spans="1:32" ht="21" customHeight="1" thickBot="1" x14ac:dyDescent="0.5">
      <c r="A28" s="49"/>
      <c r="B28" s="162" t="s">
        <v>48</v>
      </c>
      <c r="C28" s="162"/>
      <c r="D28" s="162"/>
      <c r="E28" s="162"/>
      <c r="F28" s="162"/>
      <c r="G28" s="162" t="s">
        <v>47</v>
      </c>
      <c r="H28" s="162"/>
      <c r="I28" s="162"/>
      <c r="J28" s="162"/>
      <c r="K28" s="162"/>
      <c r="L28" s="171" t="s">
        <v>75</v>
      </c>
      <c r="M28" s="162"/>
      <c r="N28" s="162"/>
      <c r="O28" s="162"/>
      <c r="P28" s="162"/>
      <c r="Q28" s="162" t="s">
        <v>36</v>
      </c>
      <c r="R28" s="162"/>
      <c r="S28" s="162"/>
      <c r="T28" s="162"/>
      <c r="U28" s="162"/>
      <c r="V28" s="162" t="s">
        <v>76</v>
      </c>
      <c r="W28" s="162"/>
      <c r="X28" s="162"/>
      <c r="Y28" s="162"/>
      <c r="Z28" s="162"/>
      <c r="AA28" s="162" t="s">
        <v>77</v>
      </c>
      <c r="AB28" s="162"/>
      <c r="AC28" s="162"/>
      <c r="AD28" s="162"/>
      <c r="AE28" s="162"/>
      <c r="AF28" s="49"/>
    </row>
    <row r="29" spans="1:32" ht="20.149999999999999" customHeight="1" thickBot="1" x14ac:dyDescent="0.5">
      <c r="A29" s="49"/>
      <c r="B29" s="163">
        <f>'SCOUT &amp; LOGISTICS'!AC25</f>
        <v>0</v>
      </c>
      <c r="C29" s="163"/>
      <c r="D29" s="163"/>
      <c r="E29" s="163"/>
      <c r="F29" s="163"/>
      <c r="G29" s="163">
        <f>'SCOUT &amp; LOGISTICS'!AC24</f>
        <v>0</v>
      </c>
      <c r="H29" s="163"/>
      <c r="I29" s="163"/>
      <c r="J29" s="163"/>
      <c r="K29" s="163"/>
      <c r="L29" s="163">
        <f>'SCOUT &amp; LOGISTICS'!$AC$29</f>
        <v>2</v>
      </c>
      <c r="M29" s="163"/>
      <c r="N29" s="163"/>
      <c r="O29" s="163"/>
      <c r="P29" s="163"/>
      <c r="Q29" s="163">
        <f>'SCOUT &amp; LOGISTICS'!AC28</f>
        <v>0</v>
      </c>
      <c r="R29" s="163"/>
      <c r="S29" s="163"/>
      <c r="T29" s="163"/>
      <c r="U29" s="163"/>
      <c r="V29" s="163">
        <f>'SCOUT &amp; LOGISTICS'!AC19</f>
        <v>0</v>
      </c>
      <c r="W29" s="163"/>
      <c r="X29" s="163"/>
      <c r="Y29" s="163"/>
      <c r="Z29" s="163"/>
      <c r="AA29" s="163">
        <f>'SCOUT &amp; LOGISTICS'!AC26</f>
        <v>0</v>
      </c>
      <c r="AB29" s="163"/>
      <c r="AC29" s="163"/>
      <c r="AD29" s="163"/>
      <c r="AE29" s="163"/>
      <c r="AF29" s="49"/>
    </row>
    <row r="30" spans="1:32" s="49" customFormat="1" ht="16" thickBot="1" x14ac:dyDescent="0.5">
      <c r="B30" s="160"/>
      <c r="C30" s="160"/>
      <c r="D30" s="160"/>
      <c r="E30" s="160"/>
      <c r="F30" s="160"/>
      <c r="G30" s="160"/>
      <c r="H30" s="160"/>
      <c r="I30" s="160"/>
      <c r="J30" s="160"/>
      <c r="K30" s="160"/>
      <c r="L30" s="160"/>
      <c r="M30" s="160"/>
      <c r="N30" s="160"/>
      <c r="O30" s="160"/>
      <c r="P30" s="160"/>
      <c r="Q30" s="160"/>
      <c r="R30" s="160"/>
      <c r="S30" s="160"/>
      <c r="T30" s="160"/>
      <c r="U30" s="160"/>
      <c r="V30" s="160"/>
      <c r="W30" s="160"/>
      <c r="X30" s="160"/>
      <c r="Y30" s="160"/>
      <c r="Z30" s="160"/>
      <c r="AA30" s="160"/>
      <c r="AB30" s="160"/>
      <c r="AC30" s="160"/>
      <c r="AD30" s="160"/>
      <c r="AE30" s="160"/>
    </row>
    <row r="31" spans="1:32" s="53" customFormat="1" ht="20.149999999999999" customHeight="1" thickBot="1" x14ac:dyDescent="0.5">
      <c r="A31" s="52"/>
      <c r="B31" s="164" t="s">
        <v>80</v>
      </c>
      <c r="C31" s="164"/>
      <c r="D31" s="164"/>
      <c r="E31" s="164"/>
      <c r="F31" s="164"/>
      <c r="G31" s="164"/>
      <c r="H31" s="164"/>
      <c r="I31" s="164"/>
      <c r="J31" s="164"/>
      <c r="K31" s="164"/>
      <c r="L31" s="164"/>
      <c r="M31" s="164"/>
      <c r="N31" s="164"/>
      <c r="O31" s="164"/>
      <c r="P31" s="164"/>
      <c r="Q31" s="164"/>
      <c r="R31" s="164"/>
      <c r="S31" s="164"/>
      <c r="T31" s="164"/>
      <c r="U31" s="164"/>
      <c r="V31" s="164"/>
      <c r="W31" s="164"/>
      <c r="X31" s="164"/>
      <c r="Y31" s="164"/>
      <c r="Z31" s="164"/>
      <c r="AA31" s="164"/>
      <c r="AB31" s="164"/>
      <c r="AC31" s="164"/>
      <c r="AD31" s="164"/>
      <c r="AE31" s="164"/>
      <c r="AF31" s="52"/>
    </row>
    <row r="32" spans="1:32" ht="87.65" customHeight="1" thickBot="1" x14ac:dyDescent="0.5">
      <c r="A32" s="49"/>
      <c r="B32" s="175" t="str">
        <f>IF('SCOUT &amp; LOGISTICS'!M4="","",'SCOUT &amp; LOGISTICS'!M4)</f>
        <v xml:space="preserve">Very good job! Just a little reminder to wait for the green button to appear on the end screen before sending end game. </v>
      </c>
      <c r="C32" s="175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49"/>
    </row>
    <row r="33" spans="1:32" ht="20.149999999999999" customHeight="1" thickBot="1" x14ac:dyDescent="0.5">
      <c r="A33" s="49"/>
      <c r="B33" s="174"/>
      <c r="C33" s="174"/>
      <c r="D33" s="174"/>
      <c r="E33" s="174"/>
      <c r="F33" s="174"/>
      <c r="G33" s="174"/>
      <c r="H33" s="174"/>
      <c r="I33" s="174"/>
      <c r="J33" s="174"/>
      <c r="K33" s="174"/>
      <c r="L33" s="174"/>
      <c r="M33" s="174"/>
      <c r="N33" s="174"/>
      <c r="O33" s="174"/>
      <c r="P33" s="174"/>
      <c r="Q33" s="174"/>
      <c r="R33" s="174"/>
      <c r="S33" s="174"/>
      <c r="T33" s="174"/>
      <c r="U33" s="174"/>
      <c r="V33" s="174"/>
      <c r="W33" s="174"/>
      <c r="X33" s="174"/>
      <c r="Y33" s="174"/>
      <c r="Z33" s="174"/>
      <c r="AA33" s="174"/>
      <c r="AB33" s="174"/>
      <c r="AC33" s="174"/>
      <c r="AD33" s="174"/>
      <c r="AE33" s="174"/>
      <c r="AF33" s="49"/>
    </row>
    <row r="34" spans="1:32" ht="20.149999999999999" customHeight="1" thickBot="1" x14ac:dyDescent="0.5">
      <c r="A34" s="49"/>
      <c r="B34" s="164" t="s">
        <v>81</v>
      </c>
      <c r="C34" s="164"/>
      <c r="D34" s="164"/>
      <c r="E34" s="164"/>
      <c r="F34" s="164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  <c r="W34" s="49"/>
      <c r="X34" s="49"/>
      <c r="Y34" s="49"/>
      <c r="Z34" s="49"/>
      <c r="AA34" s="49"/>
      <c r="AB34" s="49"/>
      <c r="AC34" s="49"/>
      <c r="AD34" s="49"/>
      <c r="AE34" s="49"/>
      <c r="AF34" s="49"/>
    </row>
    <row r="35" spans="1:32" ht="41.25" customHeight="1" thickBot="1" x14ac:dyDescent="0.5">
      <c r="A35" s="49"/>
      <c r="B35" s="176">
        <f>'SCOUT &amp; LOGISTICS'!M7</f>
        <v>7.2567324955116694</v>
      </c>
      <c r="C35" s="176"/>
      <c r="D35" s="176"/>
      <c r="E35" s="176"/>
      <c r="F35" s="176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  <c r="W35" s="49"/>
      <c r="X35" s="49"/>
      <c r="Y35" s="49"/>
      <c r="Z35" s="49"/>
      <c r="AA35" s="49"/>
      <c r="AB35" s="49"/>
      <c r="AC35" s="49"/>
      <c r="AD35" s="49"/>
      <c r="AE35" s="49"/>
      <c r="AF35" s="49"/>
    </row>
    <row r="36" spans="1:32" ht="11.15" customHeight="1" x14ac:dyDescent="0.45">
      <c r="A36" s="49"/>
      <c r="B36" s="158"/>
      <c r="C36" s="158"/>
      <c r="D36" s="158"/>
      <c r="E36" s="158"/>
      <c r="F36" s="158"/>
      <c r="G36" s="158"/>
      <c r="H36" s="158"/>
      <c r="I36" s="158"/>
      <c r="J36" s="158"/>
      <c r="K36" s="158"/>
      <c r="L36" s="158"/>
      <c r="M36" s="158"/>
      <c r="N36" s="158"/>
      <c r="O36" s="158"/>
      <c r="P36" s="158"/>
      <c r="Q36" s="158"/>
      <c r="R36" s="158"/>
      <c r="S36" s="158"/>
      <c r="T36" s="158"/>
      <c r="U36" s="158"/>
      <c r="V36" s="158"/>
      <c r="W36" s="158"/>
      <c r="X36" s="158"/>
      <c r="Y36" s="158"/>
      <c r="Z36" s="158"/>
      <c r="AA36" s="158"/>
      <c r="AB36" s="158"/>
      <c r="AC36" s="158"/>
      <c r="AD36" s="158"/>
      <c r="AE36" s="158"/>
      <c r="AF36" s="49"/>
    </row>
  </sheetData>
  <sheetProtection algorithmName="SHA-512" hashValue="f/74NhhS6GR1am5bC6FA3ORuWk0ywHnATCrUtUSpgln8VlUiEtQcEZwruqkp/f/CyJl2D+GX7uIZMWo3sp2PAQ==" saltValue="LUb38KWCJ4xB8UpkiqkIa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E5E2A0E-2A6D-40C6-B9F4-4ADC540DD68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B6975FB-0BDA-48ED-ADC9-B35085D476D7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3741A93-674D-4ABD-969C-7A5DD714189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SCOUT &amp; LOGISTICS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Eloi Vergé</cp:lastModifiedBy>
  <cp:lastPrinted>2025-10-02T15:21:55Z</cp:lastPrinted>
  <dcterms:created xsi:type="dcterms:W3CDTF">2023-09-19T19:50:35Z</dcterms:created>
  <dcterms:modified xsi:type="dcterms:W3CDTF">2025-10-02T15:21:58Z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