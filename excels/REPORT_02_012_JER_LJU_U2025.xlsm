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" documentId="8_{F8ABA9A8-3B39-46D0-9D28-2E0326B38CF0}" xr6:coauthVersionLast="47" xr6:coauthVersionMax="47" xr10:uidLastSave="{D40E0CE7-7A1A-40E6-88EB-053B0F568E3F}"/>
  <bookViews>
    <workbookView xWindow="19090" yWindow="-64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 l="1"/>
  <c r="D9" i="1"/>
  <c r="D8" i="1"/>
  <c r="D6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<sst xmlns="http://schemas.openxmlformats.org/spreadsheetml/2006/main" count="3246" uniqueCount="755">
  <si>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</si>
  <si>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</si>
  <si>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</si>
  <si>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</si>
  <si>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</si>
  <si>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</si>
  <si>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</si>
  <si>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</si>
  <si>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</si>
  <si>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</si>
  <si>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</si>
  <si>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</si>
  <si>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</si>
  <si>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</si>
  <si>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</si>
  <si>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</si>
  <si>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</si>
  <si>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</si>
  <si>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</si>
  <si>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</si>
  <si>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</si>
  <si>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</si>
  <si>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</si>
  <si>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</si>
  <si>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</si>
  <si>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</si>
  <si>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</si>
  <si>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</si>
  <si>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</si>
  <si>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</si>
  <si>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</si>
  <si>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</si>
  <si>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</si>
  <si>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</si>
  <si>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</si>
  <si>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</si>
  <si>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</si>
  <si>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</si>
  <si>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</si>
  <si>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</si>
  <si>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</si>
  <si>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</si>
  <si>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</si>
  <si>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</si>
  <si>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</si>
  <si>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</si>
  <si>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</si>
  <si>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</si>
  <si>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</si>
  <si>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</si>
  <si>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</si>
  <si>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</si>
  <si>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</si>
  <si>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</si>
  <si>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</si>
  <si>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</si>
  <si>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</si>
  <si>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</si>
  <si>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</si>
  <si>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</si>
  <si>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</si>
  <si>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</si>
  <si>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</si>
  <si>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</si>
  <si>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</si>
  <si>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</si>
  <si>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</si>
  <si>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</si>
  <si>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</si>
  <si>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</si>
  <si>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</si>
  <si>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</si>
  <si>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</si>
  <si>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</si>
  <si>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</si>
  <si>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</si>
  <si>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</si>
  <si>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</si>
  <si>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</si>
  <si>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</si>
  <si>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</si>
  <si>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</si>
  <si>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</si>
  <si>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</si>
  <si>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</si>
  <si>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</si>
  <si>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</si>
  <si>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</si>
  <si>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</si>
  <si>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</si>
  <si>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</si>
  <si>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</si>
  <si>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</si>
  <si>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</si>
  <si>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</si>
  <si>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</si>
  <si>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</si>
  <si>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</si>
  <si>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</si>
  <si>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</si>
  <si>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</si>
  <si>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</si>
  <si>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</si>
  <si>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</si>
  <si>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</si>
  <si>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</si>
  <si>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</si>
  <si>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</si>
  <si>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</si>
  <si>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</si>
  <si>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</si>
  <si>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</si>
  <si>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</si>
  <si>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</si>
  <si>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</si>
  <si>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</si>
  <si>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</si>
  <si>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</si>
  <si>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</si>
  <si>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</si>
  <si>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</si>
  <si>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</si>
  <si>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</si>
  <si>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</si>
  <si>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</si>
  <si>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</si>
  <si>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</si>
  <si>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</si>
  <si>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</si>
  <si>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</si>
  <si>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</si>
  <si>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</si>
  <si>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</si>
  <si>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</si>
  <si>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</si>
  <si>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</si>
  <si>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</si>
  <si>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</si>
  <si>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</si>
  <si>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</si>
  <si>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</si>
  <si>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</si>
  <si>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</si>
  <si>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</si>
  <si>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</si>
  <si>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</si>
  <si>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</si>
  <si>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</si>
  <si>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</si>
  <si>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</si>
  <si>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</si>
  <si>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</si>
  <si>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</si>
  <si>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</si>
  <si>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</si>
  <si>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</si>
  <si>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</si>
  <si>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</si>
  <si>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</si>
  <si>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</si>
  <si>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</si>
  <si>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</si>
  <si>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</si>
  <si>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</si>
  <si>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</si>
  <si>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</si>
  <si>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</si>
  <si>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</si>
  <si>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</si>
  <si>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</si>
  <si>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</si>
  <si>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</si>
  <si>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</si>
  <si>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</si>
  <si>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</si>
  <si>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</si>
  <si>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</si>
  <si>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</si>
  <si>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</si>
  <si>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</si>
  <si>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</si>
  <si>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</si>
  <si>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</si>
  <si>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</si>
  <si>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</si>
  <si>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</si>
  <si>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</si>
  <si>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</si>
  <si>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</si>
  <si>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</si>
  <si>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</si>
  <si>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</si>
  <si>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</si>
  <si>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</si>
  <si>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</si>
  <si>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</si>
  <si>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</si>
  <si>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</si>
  <si>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</si>
  <si>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</si>
  <si>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</si>
  <si>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</si>
  <si>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</si>
  <si>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</si>
  <si>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</si>
  <si>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</si>
  <si>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</si>
  <si>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</si>
  <si>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</si>
  <si>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</si>
  <si>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</si>
  <si>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</si>
  <si>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</si>
  <si>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</si>
  <si>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</si>
  <si>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</si>
  <si>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</si>
  <si>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</si>
  <si>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</si>
  <si>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</si>
  <si>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</si>
  <si>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</si>
  <si>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</si>
  <si>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</si>
  <si>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</si>
  <si>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</si>
  <si>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</si>
  <si>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</si>
  <si>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</si>
  <si>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</si>
  <si>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</si>
  <si>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</si>
  <si>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</si>
  <si>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</si>
  <si>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</si>
  <si>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</si>
  <si>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</si>
  <si>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</si>
  <si>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</si>
  <si>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</si>
  <si>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</si>
  <si>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</si>
  <si>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</si>
  <si>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</si>
  <si>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</si>
  <si>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</si>
  <si>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</si>
  <si>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</si>
  <si>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</si>
  <si>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</si>
  <si>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</si>
  <si>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</si>
  <si>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</si>
  <si>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</si>
  <si>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</si>
  <si>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</si>
  <si>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</si>
  <si>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</si>
  <si>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</si>
  <si>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</si>
  <si>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</si>
  <si>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</si>
  <si>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</si>
  <si>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</si>
  <si>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</si>
  <si>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</si>
  <si>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</si>
  <si>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</si>
  <si>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</si>
  <si>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</si>
  <si>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</si>
  <si>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</si>
  <si>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</si>
  <si>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</si>
  <si>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</si>
  <si>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</si>
  <si>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</si>
  <si>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</si>
  <si>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</si>
  <si>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</si>
  <si>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</si>
  <si>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</si>
  <si>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</si>
  <si>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</si>
  <si>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</si>
  <si>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</si>
  <si>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</si>
  <si>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</si>
  <si>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</si>
  <si>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</si>
  <si>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</si>
  <si>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</si>
  <si>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</si>
  <si>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</si>
  <si>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</si>
  <si>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</si>
  <si>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</si>
  <si>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</si>
  <si>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</si>
  <si>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</si>
  <si>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</si>
  <si>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</si>
  <si>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</si>
  <si>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</si>
  <si>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</si>
  <si>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</si>
  <si>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</si>
  <si>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</si>
  <si>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</si>
  <si>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</si>
  <si>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</si>
  <si>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</si>
  <si>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</si>
  <si>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</si>
  <si>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</si>
  <si>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</si>
  <si>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</si>
  <si>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</si>
  <si>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</si>
  <si>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</si>
  <si>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</si>
  <si>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</si>
  <si>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</si>
  <si>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</si>
  <si>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</si>
  <si>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</si>
  <si>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</si>
  <si>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</si>
  <si>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</si>
  <si>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</si>
  <si>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</si>
  <si>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</si>
  <si>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</si>
  <si>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</si>
  <si>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</si>
  <si>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</si>
  <si>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</si>
  <si>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</si>
  <si>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</si>
  <si>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</si>
  <si>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</si>
  <si>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</si>
  <si>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</si>
  <si>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</si>
  <si>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</si>
  <si>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</si>
  <si>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</si>
  <si>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</si>
  <si>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</si>
  <si>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</si>
  <si>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</si>
  <si>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</si>
  <si>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</si>
  <si>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</si>
  <si>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</si>
  <si>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</si>
  <si>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</si>
  <si>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</si>
  <si>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</si>
  <si>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</si>
  <si>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</si>
  <si>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</si>
  <si>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</si>
  <si>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</si>
  <si>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</si>
  <si>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</si>
  <si>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</si>
  <si>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</si>
  <si>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</si>
  <si>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</si>
  <si>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</si>
  <si>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</si>
  <si>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</si>
  <si>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</si>
  <si>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</si>
  <si>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</si>
  <si>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</si>
  <si>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</si>
  <si>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</si>
  <si>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</si>
  <si>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</si>
  <si>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</si>
  <si>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</si>
  <si>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</si>
  <si>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</si>
  <si>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</si>
  <si>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</si>
  <si>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</si>
  <si>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</si>
  <si>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</si>
  <si>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</si>
  <si>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</si>
  <si>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</si>
  <si>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</si>
  <si>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</si>
  <si>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</si>
  <si>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</si>
  <si>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</si>
  <si>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</si>
  <si>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</si>
  <si>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</si>
  <si>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</si>
  <si>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</si>
  <si>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</si>
  <si>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</si>
  <si>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</si>
  <si>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</si>
  <si>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</si>
  <si>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</si>
  <si>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</si>
  <si>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</si>
  <si>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</si>
  <si>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</si>
  <si>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</si>
  <si>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</si>
  <si>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</si>
  <si>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</si>
  <si>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</si>
  <si>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</si>
  <si>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</si>
  <si>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</si>
  <si>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</si>
  <si>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</si>
  <si>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</si>
  <si>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</si>
  <si>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</si>
  <si>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</si>
  <si>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</si>
  <si>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</si>
  <si>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</si>
  <si>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</si>
  <si>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</si>
  <si>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</si>
  <si>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</si>
  <si>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</si>
  <si>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</si>
  <si>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</si>
  <si>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</si>
  <si>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</si>
  <si>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</si>
  <si>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</si>
  <si>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</si>
  <si>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</si>
  <si>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</si>
  <si>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</si>
  <si>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</si>
  <si>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</si>
  <si>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</si>
  <si>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</si>
  <si>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</si>
  <si>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</si>
  <si>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</si>
  <si>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</si>
  <si>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</si>
  <si>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</si>
  <si>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</si>
  <si>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</si>
  <si>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</si>
  <si>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</si>
  <si>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</si>
  <si>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</si>
  <si>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</si>
  <si>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</si>
  <si>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</si>
  <si>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</si>
  <si>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</si>
  <si>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</si>
  <si>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</si>
  <si>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</si>
  <si>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</si>
  <si>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</si>
  <si>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</si>
  <si>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</si>
  <si>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</si>
  <si>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</si>
  <si>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</si>
  <si>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</si>
  <si>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</si>
  <si>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</si>
  <si>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</si>
  <si>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</si>
  <si>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</si>
  <si>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</si>
  <si>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</si>
  <si>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</si>
  <si>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</si>
  <si>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</si>
  <si>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</si>
  <si>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</si>
  <si>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</si>
  <si>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</si>
  <si>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</si>
  <si>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</si>
  <si>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</si>
  <si>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</si>
  <si>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</si>
  <si>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</si>
  <si>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</si>
  <si>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</si>
  <si>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</si>
  <si>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</si>
  <si>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</si>
  <si>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</si>
  <si>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</si>
  <si>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</si>
  <si>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</si>
  <si>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</si>
  <si>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</si>
  <si>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</si>
  <si>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</si>
  <si>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</si>
  <si>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</si>
  <si>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</si>
  <si>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</si>
  <si>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</si>
  <si>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</si>
  <si>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</si>
  <si>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</si>
  <si>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</si>
  <si>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</si>
  <si>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</si>
  <si>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</si>
  <si>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</si>
  <si>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</si>
  <si>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</si>
  <si>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</si>
  <si>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</si>
  <si>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</si>
  <si>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</si>
  <si>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</si>
  <si>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</si>
  <si>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</si>
  <si>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</si>
  <si>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</si>
  <si>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</si>
  <si>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</si>
  <si>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</si>
  <si>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</si>
  <si>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</si>
  <si>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</si>
  <si>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</si>
  <si>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</si>
  <si>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</si>
  <si>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</si>
  <si>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</si>
  <si>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</si>
  <si>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</si>
  <si>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</si>
  <si>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</si>
  <si>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</si>
  <si>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</si>
  <si>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</si>
  <si>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</si>
  <si>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</si>
  <si>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</si>
  <si>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</si>
  <si>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</si>
  <si>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</si>
  <si>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</si>
  <si>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</si>
  <si>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</si>
  <si>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</si>
  <si>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</si>
  <si>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</si>
  <si>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</si>
  <si>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</si>
  <si>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</si>
  <si>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</si>
  <si>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</si>
  <si>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</si>
  <si>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</si>
  <si>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</si>
  <si>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</si>
  <si>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</si>
  <si>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</si>
  <si>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</si>
  <si>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</si>
  <si>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</si>
  <si>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</si>
  <si>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</si>
  <si>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</si>
  <si>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</si>
  <si>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</si>
  <si>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</si>
  <si>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</si>
  <si>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</si>
  <si>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</si>
  <si>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</si>
  <si>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</si>
  <si>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</si>
  <si>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</si>
  <si>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</si>
  <si>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</si>
  <si>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</si>
  <si>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</si>
  <si>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</si>
  <si>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</si>
  <si>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</si>
  <si>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</si>
  <si>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</si>
  <si>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</si>
  <si>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</si>
  <si>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</si>
  <si>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</si>
  <si>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</si>
  <si>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</si>
  <si>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</si>
  <si>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</si>
  <si>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</si>
  <si>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</si>
  <si>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</si>
  <si>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</si>
  <si>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</si>
  <si>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</si>
  <si>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</si>
  <si>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</si>
  <si>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</si>
  <si>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</si>
  <si>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</si>
  <si>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</si>
  <si>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</si>
  <si>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</si>
  <si>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</si>
  <si>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</si>
  <si>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</si>
  <si>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</si>
  <si>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</si>
  <si>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</si>
  <si>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</si>
  <si>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</si>
  <si>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</si>
  <si>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</si>
  <si>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</si>
  <si>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</si>
  <si>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</si>
  <si>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</si>
  <si>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</si>
  <si>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</si>
  <si>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</si>
  <si>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</si>
  <si>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</si>
  <si>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</si>
  <si>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</si>
  <si>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</si>
  <si>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</si>
  <si>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</si>
  <si>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</si>
  <si>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</si>
  <si>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</si>
  <si>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</si>
  <si>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</si>
  <si>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</si>
  <si>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</si>
  <si>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</si>
  <si>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</si>
  <si>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</si>
  <si>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</si>
  <si>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</si>
  <si>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</si>
  <si>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</si>
  <si>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</si>
  <si>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</si>
  <si>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</si>
  <si>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</si>
  <si>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</si>
  <si>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</si>
  <si>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</si>
  <si>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</si>
  <si>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</si>
  <si>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</si>
  <si>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</si>
  <si>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</si>
  <si>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</si>
  <si>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</si>
  <si>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</si>
  <si>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</si>
  <si>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</si>
  <si>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</si>
  <si>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</si>
  <si>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</si>
  <si>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</si>
  <si>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</si>
  <si>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</si>
  <si>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</si>
  <si>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</si>
  <si>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</si>
  <si>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</si>
  <si>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</si>
  <si>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</si>
  <si>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</si>
  <si>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</si>
  <si>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</si>
  <si>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</si>
  <si>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</si>
  <si>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</si>
  <si>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</si>
  <si>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</si>
  <si>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</si>
  <si>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</si>
  <si>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</si>
  <si>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</si>
  <si>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</si>
  <si>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</si>
  <si>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</si>
  <si>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</si>
  <si>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</si>
  <si>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</si>
  <si>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</si>
  <si>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</si>
  <si>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</si>
  <si>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</si>
  <si>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</si>
  <si>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</si>
  <si>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</si>
  <si>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</si>
  <si>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</si>
  <si>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</si>
  <si>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</si>
  <si>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</si>
  <si>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</si>
  <si>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</si>
  <si>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</si>
  <si>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</si>
  <si>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</si>
  <si>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</si>
  <si>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</si>
  <si>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</si>
  <si>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</si>
  <si>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</si>
  <si>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</si>
  <si>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</si>
  <si>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</si>
  <si>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</si>
  <si>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</si>
  <si>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</si>
  <si>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</si>
  <si>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</si>
  <si>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</si>
  <si>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</si>
  <si>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</si>
  <si>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</si>
  <si>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</si>
  <si>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</si>
  <si>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</si>
  <si>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</si>
  <si>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</si>
  <si>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</si>
  <si>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</si>
  <si>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</si>
  <si>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</si>
  <si>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MARIO ENJUANES</t>
  </si>
  <si>
    <t>Difficult to see…</t>
  </si>
  <si>
    <t>04:39</t>
  </si>
  <si>
    <t>Very good job!</t>
  </si>
  <si>
    <t>C:\Users\oriol.garcia\OneDrive - EUROLEAGUE\Documents\Season 25-26\Reports\Eurocup\Hapoel Jerusalem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</si>
</sst>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3" sqref="L2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02_012_JER_LJU_U2025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45938.833333333336</v>
      </c>
      <c r="C3" s="178"/>
      <c r="D3" s="39">
        <v>584</v>
      </c>
      <c r="E3" s="29"/>
      <c r="F3" s="26">
        <f>SUBTOTAL(3,I17:I106)</f>
        <v>1</v>
      </c>
      <c r="G3" s="27">
        <f>IF(OR(D3="",D3=0),"",F3/D3)</f>
        <v>1.7123287671232876E-3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Bank Yahav Jerusalem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743</v>
      </c>
      <c r="L4" s="5"/>
      <c r="M4" s="185" t="s">
        <v>753</v>
      </c>
      <c r="N4" s="186"/>
      <c r="O4" s="2"/>
      <c r="P4" s="2"/>
      <c r="Q4" s="84" t="s">
        <v>175</v>
      </c>
      <c r="R4" s="94">
        <f>(IF(G3="",0,G3))</f>
        <v>1.7123287671232876E-3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Cedevita Olimpija Ljubljana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0.17123287671232876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H8</f>
        <v>PETAR VASILJEVIC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746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2.6712328767123288</v>
      </c>
      <c r="N7" s="58"/>
      <c r="O7" s="2"/>
      <c r="P7" s="2"/>
      <c r="Q7" s="86">
        <f>SUM(R5,S5,AC16)</f>
        <v>2.6712328767123288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J8</f>
        <v>PREDAG VASILJEVIC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2.6712328767123288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K8</f>
        <v>ANA KRSTIC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L8</f>
        <v>SARA PROJOVIC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</v>
      </c>
      <c r="D17" s="32" t="s">
        <v>752</v>
      </c>
      <c r="E17" s="33">
        <v>4</v>
      </c>
      <c r="F17" s="36">
        <v>71</v>
      </c>
      <c r="G17" s="36">
        <v>87</v>
      </c>
      <c r="H17" s="38" t="str">
        <f>IF(I17="","",$I$14)</f>
        <v>SCOUTING</v>
      </c>
      <c r="I17" s="34">
        <v>524</v>
      </c>
      <c r="J17" s="13" t="s">
        <v>4</v>
      </c>
      <c r="K17" s="13" t="s">
        <v>62</v>
      </c>
      <c r="L17" s="13" t="s">
        <v>7</v>
      </c>
      <c r="M17" s="13" t="s">
        <v>12</v>
      </c>
      <c r="N17" s="35" t="s">
        <v>751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REPORT_U2025012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"U2025012"</v>
      </c>
      <c r="F3" s="45" t="str">
        <f t="shared" ref="F3:F16" si="0">""""&amp;B3&amp;"""" &amp; " : " &amp;C3&amp;","</f>
        <v>"name" : "U2025012",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"U012"</v>
      </c>
      <c r="F4" s="45" t="str">
        <f t="shared" si="0"/>
        <v>"cod" : "U012",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012</v>
      </c>
      <c r="F6" s="45" t="str">
        <f t="shared" si="0"/>
        <v>"number" : 012,</v>
      </c>
    </row>
    <row r="7" spans="2:6" x14ac:dyDescent="0.2">
      <c r="B7" s="43" t="s">
        <v>116</v>
      </c>
      <c r="C7" s="43" t="str">
        <f ca="1">""""&amp;TEXT('SCOUT &amp; LOGISTICS'!B3,"dd/mm/aaaa")&amp;""""</f>
        <v>"08/10/Wednesday"</v>
      </c>
      <c r="F7" s="45" t="str">
        <f t="shared" ca="1" si="0"/>
        <v>"date" : "08/10/Wednesday",</v>
      </c>
    </row>
    <row r="8" spans="2:6" x14ac:dyDescent="0.2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"PREDAG VASILJEVIC"</v>
      </c>
      <c r="F12" s="45" t="str">
        <f t="shared" si="0"/>
        <v>"Caller_2" : "PREDAG VASILJEVIC",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"ANA KRSTIC"</v>
      </c>
      <c r="F13" s="45" t="str">
        <f t="shared" si="0"/>
        <v>"Timerkeeper" : "ANA KRSTIC",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"SARA PROJOVIC"</v>
      </c>
      <c r="F14" s="45" t="str">
        <f t="shared" si="0"/>
        <v>"Shotclock" : "SARA PROJOVIC",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02_012_JER_LJU_U2025</v>
      </c>
      <c r="F52" s="45" t="str">
        <f>""""&amp;B52&amp;"""" &amp; " : " &amp;C52</f>
        <v>"result" : 02_012_JER_LJU_U2025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/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U012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08/10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Hapoel Bank Yahav Jerusalem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Cedevita Olimpija Ljubljana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PETAR VASILJEVIC</v>
      </c>
      <c r="C8" s="201"/>
      <c r="D8" s="201"/>
      <c r="E8" s="201"/>
      <c r="F8" s="201"/>
      <c r="G8" s="201" t="str">
        <f>IF('SCOUT &amp; LOGISTICS'!D7="","",'SCOUT &amp; LOGISTICS'!D7)</f>
        <v>IVANA VASILJEVIC</v>
      </c>
      <c r="H8" s="201"/>
      <c r="I8" s="201"/>
      <c r="J8" s="201"/>
      <c r="K8" s="201"/>
      <c r="L8" s="201" t="str">
        <f>IF('SCOUT &amp; LOGISTICS'!D8="","",'SCOUT &amp; LOGISTICS'!D8)</f>
        <v>PREDAG VASILJEVIC</v>
      </c>
      <c r="M8" s="201"/>
      <c r="N8" s="201"/>
      <c r="O8" s="201"/>
      <c r="P8" s="201"/>
      <c r="Q8" s="201" t="str">
        <f>IF('SCOUT &amp; LOGISTICS'!D9="","",'SCOUT &amp; LOGISTICS'!D9)</f>
        <v>ANA KRSTIC</v>
      </c>
      <c r="R8" s="201"/>
      <c r="S8" s="201"/>
      <c r="T8" s="201"/>
      <c r="U8" s="201"/>
      <c r="V8" s="201" t="str">
        <f>IF('SCOUT &amp; LOGISTICS'!D10="","",'SCOUT &amp; LOGISTICS'!D10)</f>
        <v>SARA PROJOVIC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584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1.7123287671232876E-3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2.6712328767123288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D60988-FA07-4A3F-80EC-9EEE4792833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2025-10-04T17:47:26Z</cp:lastPrinted>
  <dcterms:created xsi:type="dcterms:W3CDTF">2023-09-19T19:50:35Z</dcterms:created>
  <dcterms:modified xsi:type="dcterms:W3CDTF">2025-10-22T13:50:08Z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