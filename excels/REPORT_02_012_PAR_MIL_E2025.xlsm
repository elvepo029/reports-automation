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8" documentId="8_{82BE2223-BB7F-4D3C-A7F6-10C04AF39B0A}" xr6:coauthVersionLast="47" xr6:coauthVersionMax="47" xr10:uidLastSave="{7106D11A-4122-462B-BF9E-61A136B6B980}"/>
  <bookViews>
    <workbookView xWindow="-60" yWindow="-16320" windowWidth="29040" windowHeight="1572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<sst xmlns="http://schemas.openxmlformats.org/spreadsheetml/2006/main" count="300" uniqueCount="194">
  <si>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</si>
  <si>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</si>
  <si>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</si>
  <si>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</si>
  <si>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</si>
  <si>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</si>
  <si>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</si>
  <si>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</si>
  <si>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</si>
  <si>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</si>
  <si>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</si>
  <si>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</si>
  <si>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</si>
  <si>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</si>
  <si>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</si>
  <si>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</si>
  <si>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</si>
  <si>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</si>
  <si>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</si>
  <si>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</si>
  <si>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</si>
  <si>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</si>
  <si>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</si>
  <si>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</si>
  <si>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</si>
  <si>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</si>
  <si>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</si>
  <si>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</si>
  <si>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</si>
  <si>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</si>
  <si>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</si>
  <si>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</si>
  <si>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</si>
  <si>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</si>
  <si>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</si>
  <si>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</si>
  <si>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</si>
  <si>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</si>
  <si>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</si>
  <si>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</si>
  <si>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</si>
  <si>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</si>
  <si>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</si>
  <si>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</si>
  <si>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</si>
  <si>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</si>
  <si>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</si>
  <si>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</si>
  <si>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</si>
  <si>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</si>
  <si>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</si>
  <si>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</si>
  <si>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</si>
  <si>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</si>
  <si>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</si>
  <si>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</si>
  <si>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</si>
  <si>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</si>
  <si>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</si>
  <si>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</si>
  <si>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</si>
  <si>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</si>
  <si>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</si>
  <si>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</si>
  <si>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</si>
  <si>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</si>
  <si>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</si>
  <si>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</si>
  <si>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</si>
  <si>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</si>
  <si>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</si>
  <si>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</si>
  <si>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</si>
  <si>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</si>
  <si>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</si>
  <si>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</si>
  <si>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</si>
  <si>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</si>
  <si>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</si>
  <si>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</si>
  <si>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</si>
  <si>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</si>
  <si>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</si>
  <si>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</si>
  <si>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</si>
  <si>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</si>
  <si>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</si>
  <si>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</si>
  <si>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</si>
  <si>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</si>
  <si>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</si>
  <si>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</si>
  <si>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</si>
  <si>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</si>
  <si>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</si>
  <si>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</si>
  <si>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</si>
  <si>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</si>
  <si>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</si>
  <si>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</si>
  <si>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</si>
  <si>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</si>
  <si>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</si>
  <si>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</si>
  <si>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</si>
  <si>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</si>
  <si>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</si>
  <si>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</si>
  <si>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</si>
  <si>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</si>
  <si>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</si>
  <si>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</si>
  <si>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</si>
  <si>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</si>
  <si>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</si>
  <si>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</si>
  <si>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</si>
  <si>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</si>
  <si>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</si>
  <si>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</si>
  <si>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</si>
  <si>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</si>
  <si>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</si>
  <si>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</si>
  <si>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</si>
  <si>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</si>
  <si>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</si>
  <si>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</si>
  <si>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</si>
  <si>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</si>
  <si>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</si>
  <si>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</si>
  <si>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</si>
  <si>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</si>
  <si>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</si>
  <si>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</si>
  <si>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</si>
  <si>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</si>
  <si>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</si>
  <si>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</si>
  <si>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</si>
  <si>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</si>
  <si>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</si>
  <si>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</si>
  <si>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</si>
  <si>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</si>
  <si>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</si>
  <si>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</si>
  <si>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</si>
  <si>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</si>
  <si>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</si>
  <si>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</si>
  <si>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</si>
  <si>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</si>
  <si>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</si>
  <si>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</si>
  <si>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</si>
  <si>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</si>
  <si>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</si>
  <si>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</si>
  <si>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</si>
  <si>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</si>
  <si>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</si>
  <si>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</si>
  <si>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</si>
  <si>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</si>
  <si>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</si>
  <si>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</si>
  <si>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</si>
  <si>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</si>
  <si>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</si>
  <si>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</si>
  <si>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</si>
  <si>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</si>
  <si>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</si>
  <si>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</si>
  <si>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</si>
  <si>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</si>
  <si>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</si>
  <si>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C:\Temp</t>
  </si>
  <si>
    <t>Partizan Mozzart Bet Belgrade</t>
  </si>
  <si>
    <t>EA7 Emporio Armani Milan</t>
  </si>
  <si>
    <t>ELOI VERGÉ</t>
  </si>
  <si>
    <t>C:\Users\eloi.verge\OneDrive - EUROLEAGUE\Desktop\GAME REPORTS\25-26</t>
  </si>
  <si>
    <t>PETAR VASILEJEVIC</t>
  </si>
  <si>
    <t>SLOBODAN SAKOTIC</t>
  </si>
  <si>
    <t>IVANA VASILEJEVIC</t>
  </si>
  <si>
    <t>SONJA STANKOVIC</t>
  </si>
  <si>
    <t>JELENA RASINAC</t>
  </si>
  <si>
    <t>JOVANA KRIVOKUCA-MILOVANOVIC</t>
  </si>
  <si>
    <t>06:04</t>
  </si>
  <si>
    <t>03:52</t>
  </si>
  <si>
    <t>05:56</t>
  </si>
  <si>
    <t>Fantastic job! Just a quick reminder: if there's an official time review, the IRS/CC should be updated accordingly to reflect the new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</si>
</sst>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179</v>
      </c>
      <c r="L1" s="58"/>
      <c r="M1" s="63" t="s">
        <v>165</v>
      </c>
      <c r="N1" s="42" t="s">
        <v>183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12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E2025012</v>
      </c>
      <c r="N2" s="42" t="s">
        <v>179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558</v>
      </c>
      <c r="E3" s="29"/>
      <c r="F3" s="26">
        <f>SUBTOTAL(3,I17:I106)</f>
        <v>3</v>
      </c>
      <c r="G3" s="27">
        <f>IF(OR(D3="",D3=0),"",F3/D3)</f>
        <v>5.3763440860215058E-3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180</v>
      </c>
      <c r="E4" s="120"/>
      <c r="F4" s="120"/>
      <c r="G4" s="121"/>
      <c r="H4" s="5"/>
      <c r="I4" s="5"/>
      <c r="J4" s="5"/>
      <c r="K4" s="5"/>
      <c r="L4" s="5"/>
      <c r="M4" s="126" t="s">
        <v>193</v>
      </c>
      <c r="N4" s="127"/>
      <c r="O4" s="2"/>
      <c r="P4" s="2"/>
      <c r="Q4" s="92" t="s">
        <v>177</v>
      </c>
      <c r="R4" s="102">
        <f>(IF(G3="",0,G3))</f>
        <v>5.3763440860215058E-3</v>
      </c>
      <c r="S4" s="69">
        <f>SUM(I13:M13)</f>
        <v>0</v>
      </c>
      <c r="T4" s="86"/>
      <c r="U4" s="69">
        <f>AC18</f>
        <v>2</v>
      </c>
      <c r="V4" s="69">
        <f>+AC22</f>
        <v>0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1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181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0.53763440860215062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0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2.5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184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185</v>
      </c>
      <c r="E7" s="141"/>
      <c r="F7" s="141"/>
      <c r="G7" s="142"/>
      <c r="H7" s="5"/>
      <c r="I7" s="5"/>
      <c r="J7" s="5"/>
      <c r="K7" s="5"/>
      <c r="L7" s="5"/>
      <c r="M7" s="65">
        <f>Q7</f>
        <v>4.0376344086021509</v>
      </c>
      <c r="N7" s="65"/>
      <c r="O7" s="2"/>
      <c r="P7" s="2"/>
      <c r="Q7" s="94">
        <f>SUM(R5,S5,AC16)</f>
        <v>4.0376344086021509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186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4.0376344086021501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187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188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 t="s">
        <v>189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12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182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3</v>
      </c>
      <c r="Z16" s="98" t="s">
        <v>110</v>
      </c>
      <c r="AA16" s="83">
        <f>SUM(AA17:AA24)</f>
        <v>3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83">
        <f>SUM(AD17:AD24)</f>
        <v>45</v>
      </c>
      <c r="AE16" s="84" t="s">
        <v>42</v>
      </c>
      <c r="AF16" s="83">
        <f>SUM(AF17:AF24)</f>
        <v>2</v>
      </c>
      <c r="AG16" s="83">
        <f>SUM(AG17:AG21)</f>
        <v>3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</v>
      </c>
      <c r="D17" s="32" t="s">
        <v>190</v>
      </c>
      <c r="E17" s="33">
        <v>2</v>
      </c>
      <c r="F17" s="36">
        <v>28</v>
      </c>
      <c r="G17" s="36">
        <v>23</v>
      </c>
      <c r="H17" s="38" t="str">
        <f>IF(I17="","",$I$14)</f>
        <v>SCOUTING</v>
      </c>
      <c r="I17" s="34">
        <v>172</v>
      </c>
      <c r="J17" s="13" t="s">
        <v>4</v>
      </c>
      <c r="K17" s="13" t="s">
        <v>63</v>
      </c>
      <c r="L17" s="13" t="s">
        <v>7</v>
      </c>
      <c r="M17" s="13" t="s">
        <v>38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3</v>
      </c>
      <c r="Z17" s="113" t="s">
        <v>63</v>
      </c>
      <c r="AA17" s="70">
        <f>COUNTIF($K$17:$K$106,Z17)</f>
        <v>2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2</v>
      </c>
      <c r="AG17" s="70">
        <f>COUNTIF($E$17:$E$106,$AK17)</f>
        <v>0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12</v>
      </c>
      <c r="D18" s="32" t="s">
        <v>191</v>
      </c>
      <c r="E18" s="33">
        <v>2</v>
      </c>
      <c r="F18" s="36">
        <v>30</v>
      </c>
      <c r="G18" s="36">
        <v>29</v>
      </c>
      <c r="H18" s="38" t="str">
        <f t="shared" ref="H18:H81" si="8">IF(I18="","",$I$14)</f>
        <v>SCOUTING</v>
      </c>
      <c r="I18" s="34">
        <v>223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1</v>
      </c>
      <c r="AB18" s="74" t="s">
        <v>5</v>
      </c>
      <c r="AC18" s="69">
        <f t="shared" si="5"/>
        <v>2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2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E2025</v>
      </c>
      <c r="C19" s="31">
        <f t="shared" si="3"/>
        <v>12</v>
      </c>
      <c r="D19" s="32" t="s">
        <v>192</v>
      </c>
      <c r="E19" s="33">
        <v>4</v>
      </c>
      <c r="F19" s="36">
        <v>78</v>
      </c>
      <c r="G19" s="36">
        <v>67</v>
      </c>
      <c r="H19" s="38" t="str">
        <f t="shared" si="8"/>
        <v>SCOUTING</v>
      </c>
      <c r="I19" s="34">
        <v>469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0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1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0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1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0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0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1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REPORT_E2025012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"E2025012"</v>
      </c>
      <c r="F3" s="46" t="str">
        <f t="shared" ref="F3:F16" si="0">""""&amp;B3&amp;"""" &amp; " : " &amp;C3&amp;","</f>
        <v>"name" : "E2025012",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"E012"</v>
      </c>
      <c r="F4" s="46" t="str">
        <f t="shared" si="0"/>
        <v>"cod" : "E012",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012</v>
      </c>
      <c r="F6" s="46" t="str">
        <f t="shared" si="0"/>
        <v>"number" : 012,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"Partizan Mozzart Bet Belgrade"</v>
      </c>
      <c r="F8" s="46" t="str">
        <f t="shared" si="0"/>
        <v>"home_team" : "Partizan Mozzart Bet Belgrade",</v>
      </c>
    </row>
    <row r="9" spans="2:6" x14ac:dyDescent="0.25">
      <c r="B9" s="44" t="s">
        <v>126</v>
      </c>
      <c r="C9" s="44" t="str">
        <f>""""&amp;'SCOUT &amp; LOGISTICS'!D5&amp;""""</f>
        <v>"EA7 Emporio Armani Milan"</v>
      </c>
      <c r="F9" s="46" t="str">
        <f t="shared" si="0"/>
        <v>"away_team" : "EA7 Emporio Armani Milan",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"PETAR VASILEJEVIC"</v>
      </c>
      <c r="F10" s="46" t="str">
        <f t="shared" si="0"/>
        <v>"Data_entry" : "PETAR VASILEJEVIC",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"SLOBODAN SAKOTIC"</v>
      </c>
      <c r="F11" s="46" t="str">
        <f t="shared" si="0"/>
        <v>"Caller_1" : "SLOBODAN SAKOTIC",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"IVANA VASILEJEVIC"</v>
      </c>
      <c r="F12" s="46" t="str">
        <f t="shared" si="0"/>
        <v>"Caller_2" : "IVANA VASILEJEVIC",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"SONJA STANKOVIC"</v>
      </c>
      <c r="F13" s="46" t="str">
        <f t="shared" si="0"/>
        <v>"Timerkeeper" : "SONJA STANKOVIC",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"JELENA RASINAC"</v>
      </c>
      <c r="F14" s="46" t="str">
        <f t="shared" si="0"/>
        <v>"Shotclock" : "JELENA RASINAC",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"JOVANA KRIVOKUCA-MILOVANOVIC"</v>
      </c>
      <c r="F15" s="46" t="str">
        <f t="shared" si="0"/>
        <v>"IRS" : "JOVANA KRIVOKUCA-MILOVANOVIC",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"ELOI VERGÉ"</v>
      </c>
      <c r="F16" s="46" t="str">
        <f t="shared" si="0"/>
        <v>"Live_Game_Manager" : "ELOI VERGÉ",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558</v>
      </c>
      <c r="F25" s="46" t="str">
        <f t="shared" ref="F25:F48" si="1">""""&amp;C25&amp;"""" &amp; " : " &amp;D25&amp;","</f>
        <v>"total_actions" : 558,</v>
      </c>
    </row>
    <row r="26" spans="2:6" x14ac:dyDescent="0.25">
      <c r="C26" s="44" t="s">
        <v>132</v>
      </c>
      <c r="D26" s="44">
        <f>'SCOUT &amp; LOGISTICS'!F3</f>
        <v>3</v>
      </c>
      <c r="F26" s="46" t="str">
        <f t="shared" si="1"/>
        <v>"total_correcions" : 3,</v>
      </c>
    </row>
    <row r="27" spans="2:6" x14ac:dyDescent="0.25">
      <c r="C27" s="44" t="s">
        <v>133</v>
      </c>
      <c r="D27" s="44" t="str">
        <f>""""&amp;IF(OR(D25="",D25=0),"",TEXT(D26/D25,"0,0%"))&amp;""""</f>
        <v>"01%"</v>
      </c>
      <c r="F27" s="46" t="str">
        <f t="shared" si="1"/>
        <v>"%_corrections" : "01%",</v>
      </c>
    </row>
    <row r="28" spans="2:6" x14ac:dyDescent="0.25">
      <c r="C28" s="44" t="s">
        <v>125</v>
      </c>
      <c r="D28" s="44">
        <f>IF('SCOUT &amp; LOGISTICS'!AA17="","",'SCOUT &amp; LOGISTICS'!AA17)</f>
        <v>2</v>
      </c>
      <c r="F28" s="46" t="str">
        <f t="shared" si="1"/>
        <v>"home_team" : 2,</v>
      </c>
    </row>
    <row r="29" spans="2:6" x14ac:dyDescent="0.25">
      <c r="C29" s="44" t="s">
        <v>134</v>
      </c>
      <c r="D29" s="44">
        <f>IF('SCOUT &amp; LOGISTICS'!AA18="","",'SCOUT &amp; LOGISTICS'!AA18)</f>
        <v>1</v>
      </c>
      <c r="F29" s="46" t="str">
        <f t="shared" si="1"/>
        <v>"no_team" : 1,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0</v>
      </c>
      <c r="F31" s="46" t="str">
        <f t="shared" si="1"/>
        <v>"q1" : 0,</v>
      </c>
    </row>
    <row r="32" spans="2:6" x14ac:dyDescent="0.25">
      <c r="C32" s="44" t="s">
        <v>136</v>
      </c>
      <c r="D32" s="44">
        <f>'SCOUT &amp; LOGISTICS'!AG18</f>
        <v>2</v>
      </c>
      <c r="F32" s="46" t="str">
        <f t="shared" si="1"/>
        <v>"q2" : 2,</v>
      </c>
    </row>
    <row r="33" spans="3:6" x14ac:dyDescent="0.25">
      <c r="C33" s="44" t="s">
        <v>137</v>
      </c>
      <c r="D33" s="44">
        <f>'SCOUT &amp; LOGISTICS'!AG19</f>
        <v>0</v>
      </c>
      <c r="F33" s="46" t="str">
        <f t="shared" si="1"/>
        <v>"q3" : 0,</v>
      </c>
    </row>
    <row r="34" spans="3:6" x14ac:dyDescent="0.25">
      <c r="C34" s="44" t="s">
        <v>138</v>
      </c>
      <c r="D34" s="44">
        <f>'SCOUT &amp; LOGISTICS'!AG20</f>
        <v>1</v>
      </c>
      <c r="F34" s="46" t="str">
        <f t="shared" si="1"/>
        <v>"q4" : 1,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3</v>
      </c>
      <c r="F37" s="46" t="str">
        <f t="shared" si="1"/>
        <v>"scoresheet_corrections" : 3,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2</v>
      </c>
      <c r="F39" s="46" t="str">
        <f t="shared" si="1"/>
        <v>"missidentity" : 2,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1</v>
      </c>
      <c r="F42" s="46" t="str">
        <f t="shared" si="1"/>
        <v>"substitution" : 1,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1</v>
      </c>
      <c r="F46" s="46" t="str">
        <f t="shared" si="1"/>
        <v>"part_of_a_sequence" : 1,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"Fantastic job! Just a quick reminder: if there's an official time review, the IRS/CC should be updated accordingly to reflect the new time."</v>
      </c>
      <c r="F51" s="46" t="str">
        <f>""""&amp;B51&amp;"""" &amp; " : " &amp;C51&amp;","</f>
        <v>"comments" : "Fantastic job! Just a quick reminder: if there's an official time review, the IRS/CC should be updated accordingly to reflect the new time.",</v>
      </c>
    </row>
    <row r="52" spans="2:6" x14ac:dyDescent="0.25">
      <c r="B52" s="44" t="s">
        <v>153</v>
      </c>
      <c r="C52" s="44" t="str">
        <f>TEXT('SCOUT &amp; LOGISTICS'!N2,"0,0")</f>
        <v>C:\Temp</v>
      </c>
      <c r="F52" s="46" t="str">
        <f>""""&amp;B52&amp;"""" &amp; " : " &amp;C52</f>
        <v>"result" : C:\Temp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45"/>
    <row r="2" spans="1:33" ht="42.65" customHeight="1" thickBot="1" x14ac:dyDescent="0.5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5">
      <c r="A3" s="49"/>
      <c r="B3" s="172" t="str">
        <f>"GAME: "&amp; LEFT('SCOUT &amp; LOGISTICS'!B2,1) &amp; TEXT('SCOUT &amp; LOGISTICS'!C2,"000") &amp; " " &amp; IF(LEFT('SCOUT &amp; LOGISTICS'!B2,1)="U","(EUROCUP)","(EUROLEAGUE)")</f>
        <v>GAME: E012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5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5">
      <c r="A5" s="49"/>
      <c r="B5" s="173" t="str">
        <f>'SCOUT &amp; LOGISTICS'!D4</f>
        <v>Partizan Mozzart Bet Belgrade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EA7 Emporio Armani Milan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5">
      <c r="A6" s="49"/>
      <c r="B6" s="176" t="str">
        <f>PROPER('SCOUT &amp; LOGISTICS'!D4)</f>
        <v>Partizan Mozzart Bet Belgrade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Ea7 Emporio Armani Milan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5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5">
      <c r="A8" s="49"/>
      <c r="B8" s="170" t="str">
        <f>IF('SCOUT &amp; LOGISTICS'!D6="","",'SCOUT &amp; LOGISTICS'!D6)</f>
        <v>PETAR VASILEJEVIC</v>
      </c>
      <c r="C8" s="170"/>
      <c r="D8" s="170"/>
      <c r="E8" s="170"/>
      <c r="F8" s="170"/>
      <c r="G8" s="170" t="str">
        <f>IF('SCOUT &amp; LOGISTICS'!D7="","",'SCOUT &amp; LOGISTICS'!D7)</f>
        <v>SLOBODAN SAKOTIC</v>
      </c>
      <c r="H8" s="170"/>
      <c r="I8" s="170"/>
      <c r="J8" s="170"/>
      <c r="K8" s="170"/>
      <c r="L8" s="170" t="str">
        <f>IF('SCOUT &amp; LOGISTICS'!D8="","",'SCOUT &amp; LOGISTICS'!D8)</f>
        <v>IVANA VASILEJEVIC</v>
      </c>
      <c r="M8" s="170"/>
      <c r="N8" s="170"/>
      <c r="O8" s="170"/>
      <c r="P8" s="170"/>
      <c r="Q8" s="170" t="str">
        <f>IF('SCOUT &amp; LOGISTICS'!D9="","",'SCOUT &amp; LOGISTICS'!D9)</f>
        <v>SONJA STANKOVIC</v>
      </c>
      <c r="R8" s="170"/>
      <c r="S8" s="170"/>
      <c r="T8" s="170"/>
      <c r="U8" s="170"/>
      <c r="V8" s="170" t="str">
        <f>IF('SCOUT &amp; LOGISTICS'!D10="","",'SCOUT &amp; LOGISTICS'!D10)</f>
        <v>JELENA RASINAC</v>
      </c>
      <c r="W8" s="170"/>
      <c r="X8" s="170"/>
      <c r="Y8" s="170"/>
      <c r="Z8" s="170"/>
      <c r="AA8" s="170" t="str">
        <f>IF('SCOUT &amp; LOGISTICS'!D11="","",'SCOUT &amp; LOGISTICS'!D11)</f>
        <v>JOVANA KRIVOKUCA-MILOVANOVIC</v>
      </c>
      <c r="AB8" s="170"/>
      <c r="AC8" s="170"/>
      <c r="AD8" s="170"/>
      <c r="AE8" s="170"/>
      <c r="AF8" s="49"/>
    </row>
    <row r="9" spans="1:33" ht="16" thickBot="1" x14ac:dyDescent="0.5">
      <c r="A9" s="49"/>
      <c r="B9" s="164" t="str">
        <f>IF(OR('SCOUT &amp; LOGISTICS'!D14="",'SCOUT &amp; LOGISTICS'!D14=0),"",'SCOUT &amp; LOGISTICS'!B14 &amp; ": " &amp; 'SCOUT &amp; LOGISTICS'!D14) &amp; "     "</f>
        <v xml:space="preserve">L G M: : ELOI VERGÉ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6" thickBot="1" x14ac:dyDescent="0.5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5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5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5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6" thickBot="1" x14ac:dyDescent="0.5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5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5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5">
      <c r="A17" s="49"/>
      <c r="B17" s="168">
        <f>'SCOUT &amp; LOGISTICS'!D3</f>
        <v>558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3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5.3763440860215058E-3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6" thickBot="1" x14ac:dyDescent="0.5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5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5">
      <c r="A20" s="49"/>
      <c r="B20" s="161">
        <f>IF('SCOUT &amp; LOGISTICS'!AA17="","",'SCOUT &amp; LOGISTICS'!AA17)</f>
        <v>2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1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5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5">
      <c r="A22" s="49"/>
      <c r="B22" s="161">
        <f>'SCOUT &amp; LOGISTICS'!AG17</f>
        <v>0</v>
      </c>
      <c r="C22" s="161"/>
      <c r="D22" s="161"/>
      <c r="E22" s="161"/>
      <c r="F22" s="161"/>
      <c r="G22" s="161"/>
      <c r="H22" s="161">
        <f>'SCOUT &amp; LOGISTICS'!AG18</f>
        <v>2</v>
      </c>
      <c r="I22" s="161"/>
      <c r="J22" s="161"/>
      <c r="K22" s="161"/>
      <c r="L22" s="161"/>
      <c r="M22" s="161"/>
      <c r="N22" s="161">
        <f>'SCOUT &amp; LOGISTICS'!AG19</f>
        <v>0</v>
      </c>
      <c r="O22" s="161"/>
      <c r="P22" s="161"/>
      <c r="Q22" s="161"/>
      <c r="R22" s="161"/>
      <c r="S22" s="161"/>
      <c r="T22" s="161">
        <f>'SCOUT &amp; LOGISTICS'!AG20</f>
        <v>1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6" thickBot="1" x14ac:dyDescent="0.5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5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5">
      <c r="A25" s="49"/>
      <c r="B25" s="161">
        <f>'SCOUT &amp; LOGISTICS'!Y17</f>
        <v>3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5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5">
      <c r="A27" s="49"/>
      <c r="B27" s="161">
        <f>'SCOUT &amp; LOGISTICS'!AC18</f>
        <v>2</v>
      </c>
      <c r="C27" s="161"/>
      <c r="D27" s="161"/>
      <c r="E27" s="161"/>
      <c r="F27" s="161"/>
      <c r="G27" s="161">
        <f>'SCOUT &amp; LOGISTICS'!AC22</f>
        <v>0</v>
      </c>
      <c r="H27" s="161"/>
      <c r="I27" s="161"/>
      <c r="J27" s="161"/>
      <c r="K27" s="161"/>
      <c r="L27" s="161">
        <f>'SCOUT &amp; LOGISTICS'!AC23</f>
        <v>1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5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5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6" thickBot="1" x14ac:dyDescent="0.5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5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5">
      <c r="A32" s="49"/>
      <c r="B32" s="159" t="str">
        <f>IF('SCOUT &amp; LOGISTICS'!M4="","",'SCOUT &amp; LOGISTICS'!M4)</f>
        <v>Fantastic job! Just a quick reminder: if there's an official time review, the IRS/CC should be updated accordingly to reflect the new time.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5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5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5">
      <c r="A35" s="49"/>
      <c r="B35" s="160">
        <f>'SCOUT &amp; LOGISTICS'!M7</f>
        <v>4.0376344086021509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4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F943178-8C82-4692-BB2F-FA662DE71A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4415A51-EB8B-48B4-B197-DA553B45E2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DAFB87-3D65-44CA-B984-97A053FEF92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2025-10-02T20:49:17Z</cp:lastPrinted>
  <dcterms:created xsi:type="dcterms:W3CDTF">2023-09-19T19:50:35Z</dcterms:created>
  <dcterms:modified xsi:type="dcterms:W3CDTF">2025-10-02T20:49:24Z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