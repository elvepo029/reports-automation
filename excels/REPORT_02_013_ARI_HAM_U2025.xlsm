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7E4B3785-69E6-4758-8A70-23752C6C9A74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<sst xmlns="http://schemas.openxmlformats.org/spreadsheetml/2006/main" count="3252" uniqueCount="757">
  <si>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</si>
  <si>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</si>
  <si>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</si>
  <si>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</si>
  <si>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</si>
  <si>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</si>
  <si>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</si>
  <si>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</si>
  <si>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</si>
  <si>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</si>
  <si>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</si>
  <si>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</si>
  <si>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</si>
  <si>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</si>
  <si>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</si>
  <si>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</si>
  <si>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</si>
  <si>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</si>
  <si>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</si>
  <si>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</si>
  <si>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</si>
  <si>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</si>
  <si>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</si>
  <si>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</si>
  <si>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</si>
  <si>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</si>
  <si>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</si>
  <si>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</si>
  <si>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</si>
  <si>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</si>
  <si>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</si>
  <si>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</si>
  <si>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</si>
  <si>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</si>
  <si>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</si>
  <si>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</si>
  <si>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</si>
  <si>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</si>
  <si>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</si>
  <si>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</si>
  <si>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</si>
  <si>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</si>
  <si>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</si>
  <si>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</si>
  <si>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</si>
  <si>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</si>
  <si>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</si>
  <si>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</si>
  <si>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</si>
  <si>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</si>
  <si>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</si>
  <si>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</si>
  <si>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</si>
  <si>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</si>
  <si>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</si>
  <si>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</si>
  <si>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</si>
  <si>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</si>
  <si>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</si>
  <si>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</si>
  <si>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</si>
  <si>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</si>
  <si>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</si>
  <si>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</si>
  <si>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</si>
  <si>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</si>
  <si>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</si>
  <si>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</si>
  <si>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</si>
  <si>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</si>
  <si>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</si>
  <si>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</si>
  <si>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</si>
  <si>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</si>
  <si>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</si>
  <si>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</si>
  <si>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</si>
  <si>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</si>
  <si>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</si>
  <si>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</si>
  <si>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</si>
  <si>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</si>
  <si>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</si>
  <si>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</si>
  <si>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</si>
  <si>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</si>
  <si>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</si>
  <si>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</si>
  <si>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</si>
  <si>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</si>
  <si>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</si>
  <si>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</si>
  <si>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</si>
  <si>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</si>
  <si>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</si>
  <si>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</si>
  <si>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</si>
  <si>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</si>
  <si>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</si>
  <si>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</si>
  <si>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</si>
  <si>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</si>
  <si>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</si>
  <si>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</si>
  <si>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</si>
  <si>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</si>
  <si>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</si>
  <si>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</si>
  <si>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</si>
  <si>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</si>
  <si>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</si>
  <si>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</si>
  <si>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</si>
  <si>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</si>
  <si>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</si>
  <si>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</si>
  <si>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</si>
  <si>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</si>
  <si>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</si>
  <si>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</si>
  <si>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</si>
  <si>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</si>
  <si>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</si>
  <si>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</si>
  <si>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</si>
  <si>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</si>
  <si>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</si>
  <si>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</si>
  <si>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</si>
  <si>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</si>
  <si>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</si>
  <si>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</si>
  <si>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</si>
  <si>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</si>
  <si>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</si>
  <si>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</si>
  <si>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</si>
  <si>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</si>
  <si>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</si>
  <si>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</si>
  <si>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</si>
  <si>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</si>
  <si>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</si>
  <si>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</si>
  <si>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</si>
  <si>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</si>
  <si>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</si>
  <si>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</si>
  <si>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</si>
  <si>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</si>
  <si>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</si>
  <si>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</si>
  <si>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</si>
  <si>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</si>
  <si>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</si>
  <si>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</si>
  <si>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</si>
  <si>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</si>
  <si>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</si>
  <si>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</si>
  <si>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</si>
  <si>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</si>
  <si>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</si>
  <si>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</si>
  <si>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</si>
  <si>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</si>
  <si>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</si>
  <si>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</si>
  <si>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</si>
  <si>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</si>
  <si>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</si>
  <si>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</si>
  <si>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</si>
  <si>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</si>
  <si>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</si>
  <si>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</si>
  <si>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</si>
  <si>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</si>
  <si>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</si>
  <si>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</si>
  <si>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</si>
  <si>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</si>
  <si>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</si>
  <si>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</si>
  <si>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</si>
  <si>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</si>
  <si>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</si>
  <si>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</si>
  <si>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</si>
  <si>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</si>
  <si>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</si>
  <si>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</si>
  <si>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</si>
  <si>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</si>
  <si>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</si>
  <si>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</si>
  <si>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</si>
  <si>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</si>
  <si>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</si>
  <si>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</si>
  <si>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</si>
  <si>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</si>
  <si>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</si>
  <si>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</si>
  <si>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</si>
  <si>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</si>
  <si>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</si>
  <si>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</si>
  <si>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</si>
  <si>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</si>
  <si>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</si>
  <si>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</si>
  <si>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</si>
  <si>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</si>
  <si>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</si>
  <si>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</si>
  <si>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</si>
  <si>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</si>
  <si>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</si>
  <si>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</si>
  <si>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</si>
  <si>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</si>
  <si>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</si>
  <si>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</si>
  <si>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</si>
  <si>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</si>
  <si>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</si>
  <si>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</si>
  <si>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</si>
  <si>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</si>
  <si>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</si>
  <si>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</si>
  <si>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</si>
  <si>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</si>
  <si>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</si>
  <si>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</si>
  <si>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</si>
  <si>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</si>
  <si>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</si>
  <si>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</si>
  <si>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</si>
  <si>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</si>
  <si>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</si>
  <si>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</si>
  <si>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</si>
  <si>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</si>
  <si>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</si>
  <si>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</si>
  <si>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</si>
  <si>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</si>
  <si>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</si>
  <si>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</si>
  <si>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</si>
  <si>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</si>
  <si>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</si>
  <si>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</si>
  <si>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</si>
  <si>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</si>
  <si>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</si>
  <si>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</si>
  <si>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</si>
  <si>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</si>
  <si>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</si>
  <si>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</si>
  <si>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</si>
  <si>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</si>
  <si>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</si>
  <si>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</si>
  <si>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</si>
  <si>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</si>
  <si>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</si>
  <si>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</si>
  <si>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</si>
  <si>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</si>
  <si>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</si>
  <si>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</si>
  <si>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</si>
  <si>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</si>
  <si>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</si>
  <si>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</si>
  <si>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</si>
  <si>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</si>
  <si>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</si>
  <si>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</si>
  <si>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</si>
  <si>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</si>
  <si>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</si>
  <si>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</si>
  <si>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</si>
  <si>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</si>
  <si>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</si>
  <si>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</si>
  <si>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</si>
  <si>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</si>
  <si>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</si>
  <si>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</si>
  <si>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</si>
  <si>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</si>
  <si>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</si>
  <si>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</si>
  <si>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</si>
  <si>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</si>
  <si>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</si>
  <si>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</si>
  <si>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</si>
  <si>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</si>
  <si>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</si>
  <si>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</si>
  <si>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</si>
  <si>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</si>
  <si>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</si>
  <si>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</si>
  <si>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</si>
  <si>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</si>
  <si>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</si>
  <si>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</si>
  <si>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</si>
  <si>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</si>
  <si>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</si>
  <si>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</si>
  <si>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</si>
  <si>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</si>
  <si>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</si>
  <si>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</si>
  <si>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</si>
  <si>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</si>
  <si>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</si>
  <si>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</si>
  <si>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</si>
  <si>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</si>
  <si>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</si>
  <si>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</si>
  <si>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</si>
  <si>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</si>
  <si>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</si>
  <si>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</si>
  <si>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</si>
  <si>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</si>
  <si>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</si>
  <si>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</si>
  <si>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</si>
  <si>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</si>
  <si>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</si>
  <si>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</si>
  <si>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</si>
  <si>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</si>
  <si>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</si>
  <si>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</si>
  <si>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</si>
  <si>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</si>
  <si>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</si>
  <si>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</si>
  <si>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</si>
  <si>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</si>
  <si>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</si>
  <si>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</si>
  <si>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</si>
  <si>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</si>
  <si>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</si>
  <si>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</si>
  <si>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</si>
  <si>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</si>
  <si>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</si>
  <si>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</si>
  <si>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</si>
  <si>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</si>
  <si>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</si>
  <si>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</si>
  <si>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</si>
  <si>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</si>
  <si>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</si>
  <si>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</si>
  <si>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</si>
  <si>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</si>
  <si>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</si>
  <si>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</si>
  <si>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</si>
  <si>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</si>
  <si>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</si>
  <si>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</si>
  <si>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</si>
  <si>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</si>
  <si>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</si>
  <si>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</si>
  <si>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</si>
  <si>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</si>
  <si>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</si>
  <si>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</si>
  <si>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</si>
  <si>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</si>
  <si>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</si>
  <si>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</si>
  <si>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</si>
  <si>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</si>
  <si>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</si>
  <si>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</si>
  <si>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</si>
  <si>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</si>
  <si>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</si>
  <si>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</si>
  <si>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</si>
  <si>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</si>
  <si>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</si>
  <si>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</si>
  <si>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</si>
  <si>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</si>
  <si>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</si>
  <si>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</si>
  <si>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</si>
  <si>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</si>
  <si>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</si>
  <si>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</si>
  <si>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</si>
  <si>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</si>
  <si>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</si>
  <si>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</si>
  <si>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</si>
  <si>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</si>
  <si>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</si>
  <si>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</si>
  <si>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</si>
  <si>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</si>
  <si>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</si>
  <si>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</si>
  <si>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</si>
  <si>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</si>
  <si>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</si>
  <si>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</si>
  <si>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</si>
  <si>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</si>
  <si>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</si>
  <si>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</si>
  <si>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</si>
  <si>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</si>
  <si>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</si>
  <si>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</si>
  <si>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</si>
  <si>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</si>
  <si>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</si>
  <si>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</si>
  <si>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</si>
  <si>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</si>
  <si>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</si>
  <si>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</si>
  <si>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</si>
  <si>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</si>
  <si>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</si>
  <si>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</si>
  <si>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</si>
  <si>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</si>
  <si>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</si>
  <si>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</si>
  <si>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</si>
  <si>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</si>
  <si>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</si>
  <si>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</si>
  <si>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</si>
  <si>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</si>
  <si>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</si>
  <si>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</si>
  <si>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</si>
  <si>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</si>
  <si>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</si>
  <si>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</si>
  <si>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</si>
  <si>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</si>
  <si>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</si>
  <si>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</si>
  <si>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</si>
  <si>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</si>
  <si>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</si>
  <si>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</si>
  <si>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</si>
  <si>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</si>
  <si>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</si>
  <si>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</si>
  <si>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</si>
  <si>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</si>
  <si>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</si>
  <si>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</si>
  <si>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</si>
  <si>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</si>
  <si>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</si>
  <si>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</si>
  <si>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</si>
  <si>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</si>
  <si>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</si>
  <si>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</si>
  <si>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</si>
  <si>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</si>
  <si>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</si>
  <si>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</si>
  <si>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</si>
  <si>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</si>
  <si>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</si>
  <si>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</si>
  <si>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</si>
  <si>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</si>
  <si>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</si>
  <si>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</si>
  <si>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</si>
  <si>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</si>
  <si>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</si>
  <si>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</si>
  <si>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</si>
  <si>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</si>
  <si>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</si>
  <si>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</si>
  <si>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</si>
  <si>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</si>
  <si>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</si>
  <si>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</si>
  <si>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</si>
  <si>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</si>
  <si>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</si>
  <si>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</si>
  <si>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</si>
  <si>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</si>
  <si>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</si>
  <si>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</si>
  <si>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</si>
  <si>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</si>
  <si>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</si>
  <si>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</si>
  <si>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</si>
  <si>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</si>
  <si>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</si>
  <si>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</si>
  <si>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</si>
  <si>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</si>
  <si>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</si>
  <si>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</si>
  <si>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</si>
  <si>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</si>
  <si>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</si>
  <si>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</si>
  <si>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</si>
  <si>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</si>
  <si>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</si>
  <si>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</si>
  <si>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</si>
  <si>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</si>
  <si>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</si>
  <si>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</si>
  <si>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</si>
  <si>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</si>
  <si>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</si>
  <si>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</si>
  <si>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</si>
  <si>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</si>
  <si>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</si>
  <si>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</si>
  <si>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</si>
  <si>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</si>
  <si>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</si>
  <si>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</si>
  <si>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</si>
  <si>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</si>
  <si>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</si>
  <si>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</si>
  <si>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</si>
  <si>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</si>
  <si>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</si>
  <si>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</si>
  <si>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</si>
  <si>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</si>
  <si>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</si>
  <si>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</si>
  <si>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</si>
  <si>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</si>
  <si>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</si>
  <si>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</si>
  <si>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</si>
  <si>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</si>
  <si>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</si>
  <si>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</si>
  <si>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</si>
  <si>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</si>
  <si>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</si>
  <si>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</si>
  <si>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</si>
  <si>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</si>
  <si>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</si>
  <si>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</si>
  <si>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</si>
  <si>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</si>
  <si>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</si>
  <si>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</si>
  <si>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</si>
  <si>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</si>
  <si>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</si>
  <si>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</si>
  <si>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</si>
  <si>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</si>
  <si>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</si>
  <si>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</si>
  <si>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</si>
  <si>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</si>
  <si>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</si>
  <si>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</si>
  <si>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</si>
  <si>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</si>
  <si>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</si>
  <si>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</si>
  <si>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</si>
  <si>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</si>
  <si>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</si>
  <si>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</si>
  <si>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</si>
  <si>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</si>
  <si>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</si>
  <si>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</si>
  <si>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</si>
  <si>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</si>
  <si>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</si>
  <si>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</si>
  <si>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</si>
  <si>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</si>
  <si>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</si>
  <si>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</si>
  <si>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</si>
  <si>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</si>
  <si>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</si>
  <si>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</si>
  <si>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</si>
  <si>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</si>
  <si>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</si>
  <si>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</si>
  <si>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</si>
  <si>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</si>
  <si>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</si>
  <si>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</si>
  <si>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</si>
  <si>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</si>
  <si>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</si>
  <si>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</si>
  <si>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</si>
  <si>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</si>
  <si>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</si>
  <si>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</si>
  <si>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</si>
  <si>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</si>
  <si>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</si>
  <si>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</si>
  <si>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</si>
  <si>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</si>
  <si>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</si>
  <si>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</si>
  <si>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</si>
  <si>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</si>
  <si>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</si>
  <si>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</si>
  <si>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</si>
  <si>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</si>
  <si>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</si>
  <si>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</si>
  <si>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</si>
  <si>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</si>
  <si>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</si>
  <si>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</si>
  <si>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</si>
  <si>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</si>
  <si>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</si>
  <si>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</si>
  <si>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</si>
  <si>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</si>
  <si>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</si>
  <si>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</si>
  <si>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</si>
  <si>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</si>
  <si>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</si>
  <si>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</si>
  <si>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</si>
  <si>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</si>
  <si>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</si>
  <si>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</si>
  <si>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</si>
  <si>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</si>
  <si>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</si>
  <si>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</si>
  <si>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</si>
  <si>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</si>
  <si>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</si>
  <si>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</si>
  <si>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</si>
  <si>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</si>
  <si>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</si>
  <si>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</si>
  <si>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</si>
  <si>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</si>
  <si>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</si>
  <si>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</si>
  <si>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</si>
  <si>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</si>
  <si>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</si>
  <si>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</si>
  <si>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</si>
  <si>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</si>
  <si>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</si>
  <si>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</si>
  <si>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</si>
  <si>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</si>
  <si>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</si>
  <si>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</si>
  <si>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</si>
  <si>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</si>
  <si>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</si>
  <si>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</si>
  <si>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</si>
  <si>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</si>
  <si>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</si>
  <si>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</si>
  <si>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</si>
  <si>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</si>
  <si>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</si>
  <si>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</si>
  <si>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</si>
  <si>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</si>
  <si>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</si>
  <si>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</si>
  <si>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</si>
  <si>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</si>
  <si>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</si>
  <si>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</si>
  <si>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</si>
  <si>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</si>
  <si>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</si>
  <si>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</si>
  <si>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</si>
  <si>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</si>
  <si>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</si>
  <si>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</si>
  <si>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</si>
  <si>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</si>
  <si>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</si>
  <si>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</si>
  <si>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</si>
  <si>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</si>
  <si>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</si>
  <si>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</si>
  <si>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</si>
  <si>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</si>
  <si>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</si>
  <si>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U</t>
  </si>
  <si>
    <t>MARC VENTURA</t>
  </si>
  <si>
    <t>ELISAVET SAMARA</t>
  </si>
  <si>
    <t>VASILEIOS VOTSARIS</t>
  </si>
  <si>
    <t>TRIANTAFYLLIA KOSTOPOLOU</t>
  </si>
  <si>
    <t>RAMPANTI IAKOVOS</t>
  </si>
  <si>
    <t>05:26</t>
  </si>
  <si>
    <t>04:15</t>
  </si>
  <si>
    <t>OFF THE BALL FOUL</t>
  </si>
  <si>
    <t>3:44</t>
  </si>
  <si>
    <t>MISSING THE TURNOVER AFTER AN OFFENSIVE  UNSPORTMANSLIKE</t>
  </si>
  <si>
    <t>MISSING THE TURNOVER AFTER AN OFFENSIVE UNSPORTMANSLIKE</t>
  </si>
  <si>
    <t>GOOD JOB</t>
  </si>
  <si>
    <t>GOOD JOB. JUST 2 TIMES THE MISSING TURNOVER WHEN THE UF WAS IN OFFENSE. GOOD COMUNICATION!!!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</si>
</sst>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02</v>
      </c>
      <c r="D1" s="124" t="s">
        <v>743</v>
      </c>
      <c r="E1" s="125">
        <v>2025</v>
      </c>
      <c r="F1" s="120" t="str">
        <f>TEXT(C1,"00") &amp; "_" &amp; TEXT(C2,"000")&amp; "_" &amp; H4 &amp; "_" &amp; H5 &amp; "_" &amp; B2</f>
        <v>02_013_ARI_HAM_U2025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45938.833333333336</v>
      </c>
      <c r="C3" s="157"/>
      <c r="D3" s="39">
        <v>661</v>
      </c>
      <c r="E3" s="29"/>
      <c r="F3" s="26">
        <f>SUBTOTAL(3,I17:I106)</f>
        <v>3</v>
      </c>
      <c r="G3" s="27">
        <f>IF(OR(D3="",D3=0),"",F3/D3)</f>
        <v>4.5385779122541605E-3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Aris Thessaloniki Betsson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/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4.5385779122541605E-3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Veolia Towers Hamburg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0.45385779122541603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745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6.453857791225416</v>
      </c>
      <c r="N7" s="58"/>
      <c r="O7" s="2"/>
      <c r="P7" s="2"/>
      <c r="Q7" s="86">
        <f>SUM(R5,S5,AC16)</f>
        <v>6.453857791225416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746</v>
      </c>
      <c r="E8" s="182"/>
      <c r="F8" s="182"/>
      <c r="G8" s="183"/>
      <c r="H8" s="129" t="s">
        <v>709</v>
      </c>
      <c r="I8" s="129" t="s">
        <v>710</v>
      </c>
      <c r="J8" s="129" t="s">
        <v>711</v>
      </c>
      <c r="K8" s="129" t="s">
        <v>712</v>
      </c>
      <c r="L8" s="129" t="s">
        <v>713</v>
      </c>
      <c r="M8" s="129" t="s">
        <v>108</v>
      </c>
      <c r="N8" s="2"/>
      <c r="O8" s="2"/>
      <c r="P8" s="2"/>
      <c r="Q8" s="85">
        <f>SUM(R5:BA5)</f>
        <v>6.453857791225416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747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748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755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25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13</v>
      </c>
      <c r="D17" s="32" t="s">
        <v>749</v>
      </c>
      <c r="E17" s="33">
        <v>2</v>
      </c>
      <c r="F17" s="36">
        <v>34</v>
      </c>
      <c r="G17" s="36">
        <v>23</v>
      </c>
      <c r="H17" s="38" t="str">
        <f>IF(I17="","",$I$14)</f>
        <v>SCOUTING</v>
      </c>
      <c r="I17" s="34">
        <v>225</v>
      </c>
      <c r="J17" s="13" t="s">
        <v>4</v>
      </c>
      <c r="K17" s="13" t="s">
        <v>62</v>
      </c>
      <c r="L17" s="13" t="s">
        <v>7</v>
      </c>
      <c r="M17" s="13" t="s">
        <v>9</v>
      </c>
      <c r="N17" s="35" t="s">
        <v>754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13</v>
      </c>
      <c r="D18" s="32" t="s">
        <v>750</v>
      </c>
      <c r="E18" s="33">
        <v>2</v>
      </c>
      <c r="F18" s="36">
        <v>59</v>
      </c>
      <c r="G18" s="36">
        <v>41</v>
      </c>
      <c r="H18" s="38" t="str">
        <f t="shared" ref="H18:H81" si="8">IF(I18="","",$I$14)</f>
        <v>SCOUTING</v>
      </c>
      <c r="I18" s="34">
        <v>418</v>
      </c>
      <c r="J18" s="13" t="s">
        <v>4</v>
      </c>
      <c r="K18" s="13" t="s">
        <v>62</v>
      </c>
      <c r="L18" s="13" t="s">
        <v>6</v>
      </c>
      <c r="M18" s="13" t="s">
        <v>22</v>
      </c>
      <c r="N18" s="35" t="s">
        <v>751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25.5" x14ac:dyDescent="0.25">
      <c r="A19" s="20"/>
      <c r="B19" s="31" t="str">
        <f t="shared" si="2"/>
        <v>U2025</v>
      </c>
      <c r="C19" s="31">
        <f t="shared" si="3"/>
        <v>13</v>
      </c>
      <c r="D19" s="32" t="s">
        <v>752</v>
      </c>
      <c r="E19" s="33">
        <v>2</v>
      </c>
      <c r="F19" s="36">
        <v>37</v>
      </c>
      <c r="G19" s="36">
        <v>24</v>
      </c>
      <c r="H19" s="38" t="str">
        <f t="shared" si="8"/>
        <v>SCOUTING</v>
      </c>
      <c r="I19" s="34">
        <v>260</v>
      </c>
      <c r="J19" s="13" t="s">
        <v>4</v>
      </c>
      <c r="K19" s="13" t="s">
        <v>62</v>
      </c>
      <c r="L19" s="13" t="s">
        <v>7</v>
      </c>
      <c r="M19" s="13" t="s">
        <v>9</v>
      </c>
      <c r="N19" s="35" t="s">
        <v>753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NqM3FuG1JEWYXarucm/Dh3SRcrd2GBAEtWQbJW9lVzEOFKjVuvgjUbsLVxj26AyO1zjlv8CEB0bhseCX4pC90Q==" saltValue="3wwpIg9Ls7D5xToKAXMws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8" sqref="D8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REPORT_U2025013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"U2025013"</v>
      </c>
      <c r="F3" s="45" t="str">
        <f t="shared" ref="F3:F16" si="0">""""&amp;B3&amp;"""" &amp; " : " &amp;C3&amp;","</f>
        <v>"name" : "U2025013",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"U013"</v>
      </c>
      <c r="F4" s="45" t="str">
        <f t="shared" si="0"/>
        <v>"cod" : "U013",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013</v>
      </c>
      <c r="F6" s="45" t="str">
        <f t="shared" si="0"/>
        <v>"number" : 013,</v>
      </c>
    </row>
    <row r="7" spans="2:6" x14ac:dyDescent="0.2">
      <c r="B7" s="43" t="s">
        <v>116</v>
      </c>
      <c r="C7" s="43" t="str">
        <f ca="1">""""&amp;TEXT('SCOUT &amp; LOGISTICS'!B3,"dd/mm/aaaa")&amp;""""</f>
        <v>"08/10/2025"</v>
      </c>
      <c r="F7" s="45" t="str">
        <f t="shared" ca="1" si="0"/>
        <v>"date" : "08/10/2025",</v>
      </c>
    </row>
    <row r="8" spans="2:6" x14ac:dyDescent="0.2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"TRIANTAFYLLIA KOSTOPOLOU"</v>
      </c>
      <c r="F13" s="45" t="str">
        <f t="shared" si="0"/>
        <v>"Timerkeeper" : "TRIANTAFYLLIA KOSTOPOLOU",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"RAMPANTI IAKOVOS"</v>
      </c>
      <c r="F14" s="45" t="str">
        <f t="shared" si="0"/>
        <v>"Shotclock" : "RAMPANTI IAKOVOS",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661</v>
      </c>
      <c r="F25" s="45" t="str">
        <f t="shared" ref="F25:F48" si="1">""""&amp;C25&amp;"""" &amp; " : " &amp;D25&amp;","</f>
        <v>"total_actions" : 661,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JOB. JUST 2 TIMES THE MISSING TURNOVER WHEN THE UF WAS IN OFFENSE. GOOD COMUNICATION!!!"</v>
      </c>
      <c r="F51" s="45" t="str">
        <f>""""&amp;B51&amp;"""" &amp; " : " &amp;C51&amp;","</f>
        <v>"comments" : "GOOD JOB. JUST 2 TIMES THE MISSING TURNOVER WHEN THE UF WAS IN OFFENSE. GOOD COMUNICATION!!!",</v>
      </c>
    </row>
    <row r="52" spans="2:6" x14ac:dyDescent="0.2">
      <c r="B52" s="43" t="s">
        <v>153</v>
      </c>
      <c r="C52" s="43" t="str">
        <f>TEXT('SCOUT &amp; LOGISTICS'!F1,"0,0")</f>
        <v>02_013_ARI_HAM_U2025</v>
      </c>
      <c r="F52" s="45" t="str">
        <f>""""&amp;B52&amp;"""" &amp; " : " &amp;C52</f>
        <v>"result" : 02_013_ARI_HAM_U2025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U013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Aris Thessaloniki Betsson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Veolia Towers Hamburg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ELISAVET SAMARA</v>
      </c>
      <c r="H8" s="206"/>
      <c r="I8" s="206"/>
      <c r="J8" s="206"/>
      <c r="K8" s="206"/>
      <c r="L8" s="206" t="str">
        <f>IF('SCOUT &amp; LOGISTICS'!D8="","",'SCOUT &amp; LOGISTICS'!D8)</f>
        <v>VASILEIOS VOTSARIS</v>
      </c>
      <c r="M8" s="206"/>
      <c r="N8" s="206"/>
      <c r="O8" s="206"/>
      <c r="P8" s="206"/>
      <c r="Q8" s="206" t="str">
        <f>IF('SCOUT &amp; LOGISTICS'!D9="","",'SCOUT &amp; LOGISTICS'!D9)</f>
        <v>TRIANTAFYLLIA KOSTOPOLOU</v>
      </c>
      <c r="R8" s="206"/>
      <c r="S8" s="206"/>
      <c r="T8" s="206"/>
      <c r="U8" s="206"/>
      <c r="V8" s="206" t="str">
        <f>IF('SCOUT &amp; LOGISTICS'!D10="","",'SCOUT &amp; LOGISTICS'!D10)</f>
        <v>RAMPANTI IAKOVOS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661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4.5385779122541605E-3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GOOD JOB. JUST 2 TIMES THE MISSING TURNOVER WHEN THE UF WAS IN OFFENSE. GOOD COMUNICATION!!!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6.453857791225416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24CC2E1-D28E-40B4-B65F-6388AAF0E0ED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2025-10-08T20:39:38Z</cp:lastPrinted>
  <dcterms:created xsi:type="dcterms:W3CDTF">2023-09-19T19:50:35Z</dcterms:created>
  <dcterms:modified xsi:type="dcterms:W3CDTF">2025-10-08T20:39:47Z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