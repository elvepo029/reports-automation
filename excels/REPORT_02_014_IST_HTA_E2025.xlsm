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524141A-51F7-4EF0-9BB2-C26465ABC3C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<sst xmlns="http://schemas.openxmlformats.org/spreadsheetml/2006/main" count="273" uniqueCount="181">
  <si>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</si>
  <si>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</si>
  <si>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</si>
  <si>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</si>
  <si>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</si>
  <si>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</si>
  <si>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</si>
  <si>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</si>
  <si>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</si>
  <si>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</si>
  <si>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</si>
  <si>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</si>
  <si>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</si>
  <si>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</si>
  <si>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</si>
  <si>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</si>
  <si>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</si>
  <si>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</si>
  <si>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</si>
  <si>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</si>
  <si>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</si>
  <si>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</si>
  <si>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</si>
  <si>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</si>
  <si>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</si>
  <si>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</si>
  <si>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</si>
  <si>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</si>
  <si>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</si>
  <si>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</si>
  <si>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</si>
  <si>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</si>
  <si>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</si>
  <si>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</si>
  <si>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</si>
  <si>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</si>
  <si>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</si>
  <si>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</si>
  <si>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</si>
  <si>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</si>
  <si>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</si>
  <si>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</si>
  <si>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</si>
  <si>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</si>
  <si>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</si>
  <si>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</si>
  <si>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</si>
  <si>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</si>
  <si>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</si>
  <si>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</si>
  <si>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</si>
  <si>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</si>
  <si>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</si>
  <si>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</si>
  <si>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</si>
  <si>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</si>
  <si>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</si>
  <si>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</si>
  <si>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</si>
  <si>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</si>
  <si>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</si>
  <si>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</si>
  <si>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</si>
  <si>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</si>
  <si>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</si>
  <si>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</si>
  <si>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</si>
  <si>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</si>
  <si>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</si>
  <si>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</si>
  <si>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</si>
  <si>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</si>
  <si>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</si>
  <si>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</si>
  <si>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</si>
  <si>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</si>
  <si>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</si>
  <si>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</si>
  <si>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</si>
  <si>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</si>
  <si>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</si>
  <si>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</si>
  <si>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</si>
  <si>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</si>
  <si>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</si>
  <si>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</si>
  <si>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</si>
  <si>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</si>
  <si>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</si>
  <si>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</si>
  <si>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</si>
  <si>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</si>
  <si>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</si>
  <si>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</si>
  <si>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</si>
  <si>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</si>
  <si>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</si>
  <si>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</si>
  <si>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</si>
  <si>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</si>
  <si>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</si>
  <si>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</si>
  <si>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</si>
  <si>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</si>
  <si>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</si>
  <si>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</si>
  <si>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</si>
  <si>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</si>
  <si>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</si>
  <si>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</si>
  <si>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</si>
  <si>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</si>
  <si>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</si>
  <si>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</si>
  <si>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</si>
  <si>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</si>
  <si>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</si>
  <si>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</si>
  <si>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</si>
  <si>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</si>
  <si>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</si>
  <si>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</si>
  <si>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</si>
  <si>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</si>
  <si>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</si>
  <si>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</si>
  <si>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</si>
  <si>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</si>
  <si>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</si>
  <si>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</si>
  <si>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</si>
  <si>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</si>
  <si>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</si>
  <si>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</si>
  <si>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</si>
  <si>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</si>
  <si>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</si>
  <si>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</si>
  <si>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</si>
  <si>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</si>
  <si>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</si>
  <si>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</si>
  <si>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</si>
  <si>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</si>
  <si>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</si>
  <si>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</si>
  <si>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</si>
  <si>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</si>
  <si>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</si>
  <si>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</si>
  <si>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</si>
  <si>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</si>
  <si>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</si>
  <si>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</si>
  <si>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</si>
  <si>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</si>
  <si>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</si>
  <si>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</si>
  <si>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</si>
  <si>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</si>
  <si>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</si>
  <si>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</si>
  <si>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</si>
  <si>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</si>
  <si>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</si>
  <si>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</si>
  <si>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</si>
  <si>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</si>
  <si>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</si>
  <si>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</si>
  <si>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</si>
  <si>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</si>
  <si>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</si>
  <si>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</si>
  <si>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</si>
  <si>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</si>
  <si>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</si>
  <si>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</si>
  <si>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</si>
  <si>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</si>
  <si>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VISITOR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</si>
</sst>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179</v>
      </c>
      <c r="L1" s="58"/>
      <c r="M1" s="63" t="s">
        <v>165</v>
      </c>
      <c r="N1" s="42" t="s">
        <v>179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178</v>
      </c>
      <c r="C2" s="55">
        <v>14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E2025014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41" t="str">
        <f>IF(ISERROR(VLOOKUP($B$2&amp;TEXT($C$2,"000"),#REF!,4,FALSE)),"",VLOOKUP($B$2&amp;TEXT($C$2,"000"),#REF!,4,FALSE))</f>
        <v/>
      </c>
      <c r="C3" s="142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32" t="s">
        <v>86</v>
      </c>
      <c r="C4" s="133"/>
      <c r="D4" s="145" t="s">
        <v>62</v>
      </c>
      <c r="E4" s="146"/>
      <c r="F4" s="146"/>
      <c r="G4" s="147"/>
      <c r="H4" s="5"/>
      <c r="I4" s="5"/>
      <c r="J4" s="5"/>
      <c r="K4" s="5"/>
      <c r="L4" s="5"/>
      <c r="M4" s="149"/>
      <c r="N4" s="150"/>
      <c r="O4" s="2"/>
      <c r="P4" s="2"/>
      <c r="Q4" s="92" t="s">
        <v>177</v>
      </c>
      <c r="R4" s="102">
        <f>(IF(G3="",0,G3))</f>
        <v>0</v>
      </c>
      <c r="S4" s="69">
        <f>SUM(I13:M13)</f>
        <v>0</v>
      </c>
      <c r="T4" s="86"/>
      <c r="U4" s="69">
        <f>AC18</f>
        <v>0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36" t="s">
        <v>87</v>
      </c>
      <c r="C5" s="148"/>
      <c r="D5" s="155" t="s">
        <v>180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0</v>
      </c>
      <c r="S5" s="78">
        <f t="shared" ref="S5" si="0">S4*S3</f>
        <v>0</v>
      </c>
      <c r="T5" s="100"/>
      <c r="U5" s="78">
        <f t="shared" ref="U5:AG5" si="1">U4*U3</f>
        <v>0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32" t="s">
        <v>95</v>
      </c>
      <c r="C6" s="133"/>
      <c r="D6" s="117"/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34" t="s">
        <v>96</v>
      </c>
      <c r="C7" s="135"/>
      <c r="D7" s="120"/>
      <c r="E7" s="121"/>
      <c r="F7" s="121"/>
      <c r="G7" s="122"/>
      <c r="H7" s="5"/>
      <c r="I7" s="5"/>
      <c r="J7" s="5"/>
      <c r="K7" s="5"/>
      <c r="L7" s="5"/>
      <c r="M7" s="65">
        <f>Q7</f>
        <v>0</v>
      </c>
      <c r="N7" s="65"/>
      <c r="O7" s="2"/>
      <c r="P7" s="2"/>
      <c r="Q7" s="94">
        <f>SUM(R5,S5,AC16)</f>
        <v>0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36" t="s">
        <v>97</v>
      </c>
      <c r="C8" s="137"/>
      <c r="D8" s="123"/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0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32" t="s">
        <v>98</v>
      </c>
      <c r="C9" s="138"/>
      <c r="D9" s="117"/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39" t="s">
        <v>99</v>
      </c>
      <c r="C10" s="140"/>
      <c r="D10" s="126"/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15" t="s">
        <v>108</v>
      </c>
      <c r="C11" s="116"/>
      <c r="D11" s="129"/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/>
      </c>
      <c r="G12" s="51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15" t="s">
        <v>163</v>
      </c>
      <c r="C14" s="116"/>
      <c r="D14" s="129"/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0</v>
      </c>
      <c r="Z16" s="98" t="s">
        <v>110</v>
      </c>
      <c r="AA16" s="83">
        <f>SUM(AA17:AA24)</f>
        <v>0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83">
        <f>SUM(AD17:AD24)</f>
        <v>45</v>
      </c>
      <c r="AE16" s="84" t="s">
        <v>42</v>
      </c>
      <c r="AF16" s="83">
        <f>SUM(AF17:AF24)</f>
        <v>0</v>
      </c>
      <c r="AG16" s="83">
        <f>SUM(AG17:AG21)</f>
        <v>0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0</v>
      </c>
      <c r="Z17" s="113" t="s">
        <v>63</v>
      </c>
      <c r="AA17" s="70">
        <f>COUNTIF($K$17:$K$106,Z17)</f>
        <v>0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0</v>
      </c>
      <c r="AG17" s="70">
        <f>COUNTIF($E$17:$E$106,$AK17)</f>
        <v>0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0</v>
      </c>
      <c r="AB18" s="74" t="s">
        <v>5</v>
      </c>
      <c r="AC18" s="69">
        <f t="shared" si="5"/>
        <v>0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0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REPORT_E2025014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"E2025014"</v>
      </c>
      <c r="F3" s="46" t="str">
        <f t="shared" ref="F3:F16" si="0">""""&amp;B3&amp;"""" &amp; " : " &amp;C3&amp;","</f>
        <v>"name" : "E2025014",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"E014"</v>
      </c>
      <c r="F4" s="46" t="str">
        <f t="shared" si="0"/>
        <v>"cod" : "E014",</v>
      </c>
    </row>
    <row r="5" spans="2:6" x14ac:dyDescent="0.2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">
      <c r="B6" s="44" t="s">
        <v>118</v>
      </c>
      <c r="C6" s="44" t="str">
        <f>TEXT('SCOUT &amp; LOGISTICS'!C2,"000")</f>
        <v>014</v>
      </c>
      <c r="F6" s="46" t="str">
        <f t="shared" si="0"/>
        <v>"number" : 014,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"HOME TEAM"</v>
      </c>
      <c r="F8" s="46" t="str">
        <f t="shared" si="0"/>
        <v>"home_team" : "HOME TEAM",</v>
      </c>
    </row>
    <row r="9" spans="2:6" x14ac:dyDescent="0.2">
      <c r="B9" s="44" t="s">
        <v>126</v>
      </c>
      <c r="C9" s="44" t="str">
        <f>""""&amp;'SCOUT &amp; LOGISTICS'!D5&amp;""""</f>
        <v>"VISITOR TEAM"</v>
      </c>
      <c r="F9" s="46" t="str">
        <f t="shared" si="0"/>
        <v>"away_team" : "VISITOR TEAM",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""</v>
      </c>
      <c r="F10" s="46" t="str">
        <f t="shared" si="0"/>
        <v>"Data_entry" : "",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""</v>
      </c>
      <c r="F11" s="46" t="str">
        <f t="shared" si="0"/>
        <v>"Caller_1" : "",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""</v>
      </c>
      <c r="F12" s="46" t="str">
        <f t="shared" si="0"/>
        <v>"Caller_2" : "",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""</v>
      </c>
      <c r="F13" s="46" t="str">
        <f t="shared" si="0"/>
        <v>"Timerkeeper" : "",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""</v>
      </c>
      <c r="F14" s="46" t="str">
        <f t="shared" si="0"/>
        <v>"Shotclock" : "",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""</v>
      </c>
      <c r="F16" s="46" t="str">
        <f t="shared" si="0"/>
        <v>"Live_Game_Manager" : "",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""</v>
      </c>
      <c r="F18" s="46" t="str">
        <f>""""&amp;C18&amp;"""" &amp; " : " &amp;D18&amp;","</f>
        <v>"arrival_time" : "",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""</v>
      </c>
      <c r="F19" s="46" t="str">
        <f>""""&amp;C19&amp;"""" &amp; " : " &amp;D19&amp;","</f>
        <v>"check_list_on_time" : "",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""</v>
      </c>
      <c r="F20" s="46" t="str">
        <f>""""&amp;C20&amp;"""" &amp; " : " &amp;D20&amp;","</f>
        <v>"communication" : "",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""</v>
      </c>
      <c r="F21" s="46" t="str">
        <f>""""&amp;C21&amp;"""" &amp; " : " &amp;D21&amp;","</f>
        <v>"corrections" : "",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0</v>
      </c>
      <c r="F25" s="46" t="str">
        <f t="shared" ref="F25:F48" si="1">""""&amp;C25&amp;"""" &amp; " : " &amp;D25&amp;","</f>
        <v>"total_actions" : 0,</v>
      </c>
    </row>
    <row r="26" spans="2:6" x14ac:dyDescent="0.2">
      <c r="C26" s="44" t="s">
        <v>132</v>
      </c>
      <c r="D26" s="44">
        <f>'SCOUT &amp; LOGISTICS'!F3</f>
        <v>0</v>
      </c>
      <c r="F26" s="46" t="str">
        <f t="shared" si="1"/>
        <v>"total_correcions" : 0,</v>
      </c>
    </row>
    <row r="27" spans="2:6" x14ac:dyDescent="0.2">
      <c r="C27" s="44" t="s">
        <v>133</v>
      </c>
      <c r="D27" s="44" t="str">
        <f>""""&amp;IF(OR(D25="",D25=0),"",TEXT(D26/D25,"0,0%"))&amp;""""</f>
        <v>""</v>
      </c>
      <c r="F27" s="46" t="str">
        <f t="shared" si="1"/>
        <v>"%_corrections" : "",</v>
      </c>
    </row>
    <row r="28" spans="2:6" x14ac:dyDescent="0.2">
      <c r="C28" s="44" t="s">
        <v>125</v>
      </c>
      <c r="D28" s="44">
        <f>IF('SCOUT &amp; LOGISTICS'!AA17="","",'SCOUT &amp; LOGISTICS'!AA17)</f>
        <v>0</v>
      </c>
      <c r="F28" s="46" t="str">
        <f t="shared" si="1"/>
        <v>"home_team" : 0,</v>
      </c>
    </row>
    <row r="29" spans="2:6" x14ac:dyDescent="0.2">
      <c r="C29" s="44" t="s">
        <v>134</v>
      </c>
      <c r="D29" s="44">
        <f>IF('SCOUT &amp; LOGISTICS'!AA18="","",'SCOUT &amp; LOGISTICS'!AA18)</f>
        <v>0</v>
      </c>
      <c r="F29" s="46" t="str">
        <f t="shared" si="1"/>
        <v>"no_team" : 0,</v>
      </c>
    </row>
    <row r="30" spans="2:6" x14ac:dyDescent="0.2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">
      <c r="C31" s="44" t="s">
        <v>135</v>
      </c>
      <c r="D31" s="44">
        <f>'SCOUT &amp; LOGISTICS'!AG17</f>
        <v>0</v>
      </c>
      <c r="F31" s="46" t="str">
        <f t="shared" si="1"/>
        <v>"q1" : 0,</v>
      </c>
    </row>
    <row r="32" spans="2:6" x14ac:dyDescent="0.2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0</v>
      </c>
      <c r="F37" s="46" t="str">
        <f t="shared" si="1"/>
        <v>"scoresheet_corrections" : 0,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0</v>
      </c>
      <c r="F39" s="46" t="str">
        <f t="shared" si="1"/>
        <v>"missidentity" : 0,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""</v>
      </c>
      <c r="F51" s="46" t="str">
        <f>""""&amp;B51&amp;"""" &amp; " : " &amp;C51&amp;","</f>
        <v>"comments" : "",</v>
      </c>
    </row>
    <row r="52" spans="2:6" x14ac:dyDescent="0.2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35"/>
    <row r="2" spans="1:33" ht="42.6" customHeight="1" thickBot="1" x14ac:dyDescent="0.4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4">
      <c r="A3" s="49"/>
      <c r="B3" s="166" t="str">
        <f>"GAME: "&amp; LEFT('SCOUT &amp; LOGISTICS'!B2,1) &amp; TEXT('SCOUT &amp; LOGISTICS'!C2,"000") &amp; " " &amp; IF(LEFT('SCOUT &amp; LOGISTICS'!B2,1)="U","(EUROCUP)","(EUROLEAGUE)")</f>
        <v>GAME: E014 (EUROLEAGUE)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4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00000000000001" customHeight="1" thickBot="1" x14ac:dyDescent="0.4">
      <c r="A5" s="49"/>
      <c r="B5" s="168" t="str">
        <f>'SCOUT &amp; LOGISTICS'!D4</f>
        <v>HOME TEAM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VISITOR TEAM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" customHeight="1" thickBot="1" x14ac:dyDescent="0.4">
      <c r="A6" s="49"/>
      <c r="B6" s="161" t="str">
        <f>PROPER('SCOUT &amp; LOGISTICS'!D4)</f>
        <v>Home Team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Visitor Team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4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4">
      <c r="A8" s="49"/>
      <c r="B8" s="165" t="str">
        <f>IF('SCOUT &amp; LOGISTICS'!D6="","",'SCOUT &amp; LOGISTICS'!D6)</f>
        <v/>
      </c>
      <c r="C8" s="165"/>
      <c r="D8" s="165"/>
      <c r="E8" s="165"/>
      <c r="F8" s="165"/>
      <c r="G8" s="165" t="str">
        <f>IF('SCOUT &amp; LOGISTICS'!D7="","",'SCOUT &amp; LOGISTICS'!D7)</f>
        <v/>
      </c>
      <c r="H8" s="165"/>
      <c r="I8" s="165"/>
      <c r="J8" s="165"/>
      <c r="K8" s="165"/>
      <c r="L8" s="165" t="str">
        <f>IF('SCOUT &amp; LOGISTICS'!D8="","",'SCOUT &amp; LOGISTICS'!D8)</f>
        <v/>
      </c>
      <c r="M8" s="165"/>
      <c r="N8" s="165"/>
      <c r="O8" s="165"/>
      <c r="P8" s="165"/>
      <c r="Q8" s="165" t="str">
        <f>IF('SCOUT &amp; LOGISTICS'!D9="","",'SCOUT &amp; LOGISTICS'!D9)</f>
        <v/>
      </c>
      <c r="R8" s="165"/>
      <c r="S8" s="165"/>
      <c r="T8" s="165"/>
      <c r="U8" s="165"/>
      <c r="V8" s="165" t="str">
        <f>IF('SCOUT &amp; LOGISTICS'!D10="","",'SCOUT &amp; LOGISTICS'!D10)</f>
        <v/>
      </c>
      <c r="W8" s="165"/>
      <c r="X8" s="165"/>
      <c r="Y8" s="165"/>
      <c r="Z8" s="165"/>
      <c r="AA8" s="165" t="str">
        <f>IF('SCOUT &amp; LOGISTICS'!D11="","",'SCOUT &amp; LOGISTICS'!D11)</f>
        <v/>
      </c>
      <c r="AB8" s="165"/>
      <c r="AC8" s="165"/>
      <c r="AD8" s="165"/>
      <c r="AE8" s="165"/>
      <c r="AF8" s="49"/>
    </row>
    <row r="9" spans="1:33" ht="17.25" thickBot="1" x14ac:dyDescent="0.4">
      <c r="A9" s="49"/>
      <c r="B9" s="173" t="str">
        <f>IF(OR('SCOUT &amp; LOGISTICS'!D14="",'SCOUT &amp; LOGISTICS'!D14=0),"",'SCOUT &amp; LOGISTICS'!B14 &amp; ": " &amp; 'SCOUT &amp; LOGISTICS'!D14) &amp; "     "</f>
        <v xml:space="preserve">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7.25" thickBot="1" x14ac:dyDescent="0.4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00000000000001" customHeight="1" thickBot="1" x14ac:dyDescent="0.4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4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4">
      <c r="A13" s="49"/>
      <c r="B13" s="169" t="str">
        <f>IF('SCOUT &amp; LOGISTICS'!I12="","",'SCOUT &amp; LOGISTICS'!I12)</f>
        <v/>
      </c>
      <c r="C13" s="169"/>
      <c r="D13" s="169"/>
      <c r="E13" s="169"/>
      <c r="F13" s="169"/>
      <c r="G13" s="169"/>
      <c r="H13" s="169" t="str">
        <f>IF('SCOUT &amp; LOGISTICS'!J12="","",'SCOUT &amp; LOGISTICS'!J12)</f>
        <v/>
      </c>
      <c r="I13" s="169"/>
      <c r="J13" s="169"/>
      <c r="K13" s="169"/>
      <c r="L13" s="169"/>
      <c r="M13" s="169"/>
      <c r="N13" s="169" t="str">
        <f>IF('SCOUT &amp; LOGISTICS'!K12="","",'SCOUT &amp; LOGISTICS'!K12)</f>
        <v/>
      </c>
      <c r="O13" s="169"/>
      <c r="P13" s="169"/>
      <c r="Q13" s="169"/>
      <c r="R13" s="169"/>
      <c r="S13" s="169"/>
      <c r="T13" s="169" t="str">
        <f>IF('SCOUT &amp; LOGISTICS'!L12="","",'SCOUT &amp; LOGISTICS'!L12)</f>
        <v/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7.25" thickBot="1" x14ac:dyDescent="0.4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00000000000001" customHeight="1" thickBot="1" x14ac:dyDescent="0.4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4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4">
      <c r="A17" s="49"/>
      <c r="B17" s="167">
        <f>'SCOUT &amp; LOGISTICS'!D3</f>
        <v>0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0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 t="str">
        <f>IF(OR(B17="",B17=0),"",L17/B17)</f>
        <v/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7.25" thickBot="1" x14ac:dyDescent="0.4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4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4">
      <c r="A20" s="49"/>
      <c r="B20" s="163">
        <f>IF('SCOUT &amp; LOGISTICS'!AA17="","",'SCOUT &amp; LOGISTICS'!AA17)</f>
        <v>0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0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4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4">
      <c r="A22" s="49"/>
      <c r="B22" s="163">
        <f>'SCOUT &amp; LOGISTICS'!AG17</f>
        <v>0</v>
      </c>
      <c r="C22" s="163"/>
      <c r="D22" s="163"/>
      <c r="E22" s="163"/>
      <c r="F22" s="163"/>
      <c r="G22" s="163"/>
      <c r="H22" s="163">
        <f>'SCOUT &amp; LOGISTICS'!AG18</f>
        <v>0</v>
      </c>
      <c r="I22" s="163"/>
      <c r="J22" s="163"/>
      <c r="K22" s="163"/>
      <c r="L22" s="163"/>
      <c r="M22" s="163"/>
      <c r="N22" s="163">
        <f>'SCOUT &amp; LOGISTICS'!AG19</f>
        <v>0</v>
      </c>
      <c r="O22" s="163"/>
      <c r="P22" s="163"/>
      <c r="Q22" s="163"/>
      <c r="R22" s="163"/>
      <c r="S22" s="163"/>
      <c r="T22" s="163">
        <f>'SCOUT &amp; LOGISTICS'!AG20</f>
        <v>0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7.25" thickBot="1" x14ac:dyDescent="0.4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4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4">
      <c r="A25" s="49"/>
      <c r="B25" s="163">
        <f>'SCOUT &amp; LOGISTICS'!Y17</f>
        <v>0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4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4">
      <c r="A27" s="49"/>
      <c r="B27" s="163">
        <f>'SCOUT &amp; LOGISTICS'!AC18</f>
        <v>0</v>
      </c>
      <c r="C27" s="163"/>
      <c r="D27" s="163"/>
      <c r="E27" s="163"/>
      <c r="F27" s="163"/>
      <c r="G27" s="163">
        <f>'SCOUT &amp; LOGISTICS'!AC22</f>
        <v>0</v>
      </c>
      <c r="H27" s="163"/>
      <c r="I27" s="163"/>
      <c r="J27" s="163"/>
      <c r="K27" s="163"/>
      <c r="L27" s="163">
        <f>'SCOUT &amp; LOGISTICS'!AC23</f>
        <v>0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4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4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7.25" thickBot="1" x14ac:dyDescent="0.4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00000000000001" customHeight="1" thickBot="1" x14ac:dyDescent="0.4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" customHeight="1" thickBot="1" x14ac:dyDescent="0.4">
      <c r="A32" s="49"/>
      <c r="B32" s="175" t="str">
        <f>IF('SCOUT &amp; LOGISTICS'!M4="","",'SCOUT &amp; LOGISTICS'!M4)</f>
        <v/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00000000000001" customHeight="1" thickBot="1" x14ac:dyDescent="0.4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00000000000001" customHeight="1" thickBot="1" x14ac:dyDescent="0.4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4">
      <c r="A35" s="49"/>
      <c r="B35" s="176">
        <f>'SCOUT &amp; LOGISTICS'!M7</f>
        <v>0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35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10C456E-B35D-49EB-9C7A-9B254940BC57}"/>
</file>

<file path=customXml/itemProps2.xml><?xml version="1.0" encoding="utf-8"?>
<ds:datastoreItem xmlns:ds="http://schemas.openxmlformats.org/officeDocument/2006/customXml" ds:itemID="{BCD45B9B-C5D5-4BE2-B8B5-F8B423E5B94F}"/>
</file>

<file path=customXml/itemProps3.xml><?xml version="1.0" encoding="utf-8"?>
<ds:datastoreItem xmlns:ds="http://schemas.openxmlformats.org/officeDocument/2006/customXml" ds:itemID="{12675942-4052-4E95-AE05-85B0E454D82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2025-09-14T09:53:19Z</cp:lastPrinted>
  <dcterms:created xsi:type="dcterms:W3CDTF">2023-09-19T19:50:35Z</dcterms:created>
  <dcterms:modified xsi:type="dcterms:W3CDTF">2025-09-14T10:41:02Z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