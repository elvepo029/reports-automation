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10" documentId="8_{CDDAF2C7-9B1D-4743-9E42-A7882EADF367}" xr6:coauthVersionLast="47" xr6:coauthVersionMax="47" xr10:uidLastSave="{FC4C53A2-989F-45CE-AE52-398FA76E73ED}"/>
  <bookViews>
    <workbookView xWindow="-120" yWindow="-1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<sst xmlns="http://schemas.openxmlformats.org/spreadsheetml/2006/main" count="383" uniqueCount="205">
  <si>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</si>
  <si>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</si>
  <si>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</si>
  <si>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</si>
  <si>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</si>
  <si>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</si>
  <si>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</si>
  <si>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</si>
  <si>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</si>
  <si>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</si>
  <si>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</si>
  <si>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</si>
  <si>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</si>
  <si>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</si>
  <si>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</si>
  <si>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</si>
  <si>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</si>
  <si>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</si>
  <si>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</si>
  <si>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</si>
  <si>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</si>
  <si>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</si>
  <si>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</si>
  <si>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</si>
  <si>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</si>
  <si>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</si>
  <si>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</si>
  <si>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</si>
  <si>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</si>
  <si>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</si>
  <si>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</si>
  <si>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</si>
  <si>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</si>
  <si>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</si>
  <si>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</si>
  <si>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</si>
  <si>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</si>
  <si>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</si>
  <si>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</si>
  <si>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</si>
  <si>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</si>
  <si>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</si>
  <si>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</si>
  <si>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</si>
  <si>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</si>
  <si>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</si>
  <si>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</si>
  <si>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</si>
  <si>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</si>
  <si>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</si>
  <si>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</si>
  <si>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</si>
  <si>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</si>
  <si>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</si>
  <si>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</si>
  <si>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</si>
  <si>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</si>
  <si>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</si>
  <si>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</si>
  <si>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</si>
  <si>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</si>
  <si>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</si>
  <si>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</si>
  <si>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</si>
  <si>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</si>
  <si>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</si>
  <si>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</si>
  <si>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</si>
  <si>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</si>
  <si>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</si>
  <si>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</si>
  <si>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</si>
  <si>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</si>
  <si>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</si>
  <si>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</si>
  <si>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</si>
  <si>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</si>
  <si>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</si>
  <si>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</si>
  <si>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</si>
  <si>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</si>
  <si>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</si>
  <si>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</si>
  <si>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</si>
  <si>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</si>
  <si>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</si>
  <si>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</si>
  <si>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</si>
  <si>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</si>
  <si>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</si>
  <si>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</si>
  <si>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</si>
  <si>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</si>
  <si>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</si>
  <si>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</si>
  <si>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</si>
  <si>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</si>
  <si>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</si>
  <si>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</si>
  <si>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</si>
  <si>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</si>
  <si>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</si>
  <si>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</si>
  <si>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</si>
  <si>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</si>
  <si>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</si>
  <si>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</si>
  <si>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</si>
  <si>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</si>
  <si>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</si>
  <si>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</si>
  <si>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</si>
  <si>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</si>
  <si>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</si>
  <si>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</si>
  <si>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</si>
  <si>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</si>
  <si>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</si>
  <si>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</si>
  <si>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</si>
  <si>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</si>
  <si>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</si>
  <si>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</si>
  <si>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</si>
  <si>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</si>
  <si>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</si>
  <si>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</si>
  <si>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</si>
  <si>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</si>
  <si>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</si>
  <si>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</si>
  <si>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</si>
  <si>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</si>
  <si>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</si>
  <si>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</si>
  <si>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</si>
  <si>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</si>
  <si>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</si>
  <si>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</si>
  <si>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</si>
  <si>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</si>
  <si>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</si>
  <si>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</si>
  <si>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</si>
  <si>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</si>
  <si>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</si>
  <si>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</si>
  <si>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</si>
  <si>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</si>
  <si>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</si>
  <si>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</si>
  <si>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</si>
  <si>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</si>
  <si>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</si>
  <si>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</si>
  <si>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</si>
  <si>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</si>
  <si>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</si>
  <si>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</si>
  <si>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</si>
  <si>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</si>
  <si>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</si>
  <si>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</si>
  <si>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</si>
  <si>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</si>
  <si>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</si>
  <si>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</si>
  <si>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</si>
  <si>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</si>
  <si>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</si>
  <si>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</si>
  <si>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</si>
  <si>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</si>
  <si>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</si>
  <si>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</si>
  <si>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</si>
  <si>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</si>
  <si>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</si>
  <si>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</si>
  <si>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</si>
  <si>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08:27</t>
  </si>
  <si>
    <t>06:49</t>
  </si>
  <si>
    <t>08:53</t>
  </si>
  <si>
    <t>ORIOL GARCIA</t>
  </si>
  <si>
    <t>08:37</t>
  </si>
  <si>
    <t>07:47</t>
  </si>
  <si>
    <t>07:38</t>
  </si>
  <si>
    <t>07:06</t>
  </si>
  <si>
    <t>02:42</t>
  </si>
  <si>
    <t>06:48</t>
  </si>
  <si>
    <t>05:29</t>
  </si>
  <si>
    <t>02:32</t>
  </si>
  <si>
    <t>07:35</t>
  </si>
  <si>
    <t>06:07</t>
  </si>
  <si>
    <t>04:18</t>
  </si>
  <si>
    <t>04:05</t>
  </si>
  <si>
    <t>06:58</t>
  </si>
  <si>
    <t>NEPTUNAS KLAIPEDA</t>
  </si>
  <si>
    <t>U-BT CLUJ-NAPOCA</t>
  </si>
  <si>
    <t>KAROLIS KAVALENKA</t>
  </si>
  <si>
    <t>KAROLIS STIRBYS</t>
  </si>
  <si>
    <t>DOMANTAS TEVELIS</t>
  </si>
  <si>
    <t>OVIDIJUS SIDEIKIS</t>
  </si>
  <si>
    <t>GINTAUTAS PLATUKIS</t>
  </si>
  <si>
    <t>C:\Users\oriol.garcia\OneDrive - EUROLEAGUE\Documents\Season 25-26\Reports\Eurocup\Neptunas Klaipeda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</si>
</sst>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24" activePane="bottomRight" state="frozen"/>
      <selection pane="topRight" activeCell="H1" sqref="H1"/>
      <selection pane="bottomLeft" activeCell="A17" sqref="A17"/>
      <selection pane="bottomRight" activeCell="N2" sqref="N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178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179</v>
      </c>
      <c r="C2" s="55">
        <v>15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U2025015</v>
      </c>
      <c r="N2" s="42" t="s">
        <v>204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15" t="str">
        <f>IF(ISERROR(VLOOKUP($B$2&amp;TEXT($C$2,"000"),#REF!,4,FALSE)),"",VLOOKUP($B$2&amp;TEXT($C$2,"000"),#REF!,4,FALSE))</f>
        <v/>
      </c>
      <c r="C3" s="116"/>
      <c r="D3" s="39">
        <v>676</v>
      </c>
      <c r="E3" s="29"/>
      <c r="F3" s="26">
        <f>SUBTOTAL(3,I17:I106)</f>
        <v>20</v>
      </c>
      <c r="G3" s="27">
        <f>IF(OR(D3="",D3=0),"",F3/D3)</f>
        <v>2.9585798816568046E-2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22" t="s">
        <v>86</v>
      </c>
      <c r="C4" s="123"/>
      <c r="D4" s="119" t="s">
        <v>197</v>
      </c>
      <c r="E4" s="120"/>
      <c r="F4" s="120"/>
      <c r="G4" s="121"/>
      <c r="H4" s="5"/>
      <c r="I4" s="5"/>
      <c r="J4" s="5"/>
      <c r="K4" s="5"/>
      <c r="L4" s="5"/>
      <c r="M4" s="126"/>
      <c r="N4" s="127"/>
      <c r="O4" s="2"/>
      <c r="P4" s="2"/>
      <c r="Q4" s="92" t="s">
        <v>177</v>
      </c>
      <c r="R4" s="102">
        <f>(IF(G3="",0,G3))</f>
        <v>2.9585798816568046E-2</v>
      </c>
      <c r="S4" s="69">
        <f>SUM(I13:M13)</f>
        <v>6</v>
      </c>
      <c r="T4" s="86"/>
      <c r="U4" s="69">
        <f>AC18</f>
        <v>5</v>
      </c>
      <c r="V4" s="69">
        <f>+AC22</f>
        <v>7</v>
      </c>
      <c r="W4" s="69">
        <f>AC24</f>
        <v>0</v>
      </c>
      <c r="X4" s="69">
        <f>AC29</f>
        <v>1</v>
      </c>
      <c r="Y4" s="69">
        <f>AC25</f>
        <v>1</v>
      </c>
      <c r="Z4" s="92">
        <f>AC23</f>
        <v>6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24" t="s">
        <v>87</v>
      </c>
      <c r="C5" s="125"/>
      <c r="D5" s="132" t="s">
        <v>198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2.9585798816568047</v>
      </c>
      <c r="S5" s="78">
        <f t="shared" ref="S5" si="0">S4*S3</f>
        <v>6</v>
      </c>
      <c r="T5" s="100"/>
      <c r="U5" s="78">
        <f t="shared" ref="U5:AG5" si="1">U4*U3</f>
        <v>2.5</v>
      </c>
      <c r="V5" s="78">
        <f t="shared" si="1"/>
        <v>7</v>
      </c>
      <c r="W5" s="78">
        <f t="shared" si="1"/>
        <v>0</v>
      </c>
      <c r="X5" s="78">
        <f t="shared" si="1"/>
        <v>1</v>
      </c>
      <c r="Y5" s="78">
        <f t="shared" si="1"/>
        <v>2</v>
      </c>
      <c r="Z5" s="97">
        <f t="shared" si="1"/>
        <v>15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22" t="s">
        <v>95</v>
      </c>
      <c r="C6" s="123"/>
      <c r="D6" s="137" t="s">
        <v>199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52" t="s">
        <v>96</v>
      </c>
      <c r="C7" s="153"/>
      <c r="D7" s="140" t="s">
        <v>200</v>
      </c>
      <c r="E7" s="141"/>
      <c r="F7" s="141"/>
      <c r="G7" s="142"/>
      <c r="H7" s="5"/>
      <c r="I7" s="5"/>
      <c r="J7" s="5"/>
      <c r="K7" s="5"/>
      <c r="L7" s="5"/>
      <c r="M7" s="65">
        <f>Q7</f>
        <v>36.458579881656803</v>
      </c>
      <c r="N7" s="65"/>
      <c r="O7" s="2"/>
      <c r="P7" s="2"/>
      <c r="Q7" s="94">
        <f>SUM(R5,S5,AC16)</f>
        <v>36.458579881656803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24" t="s">
        <v>97</v>
      </c>
      <c r="C8" s="154"/>
      <c r="D8" s="143" t="s">
        <v>201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36.458579881656803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22" t="s">
        <v>98</v>
      </c>
      <c r="C9" s="155"/>
      <c r="D9" s="137" t="s">
        <v>202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56" t="s">
        <v>99</v>
      </c>
      <c r="C10" s="157"/>
      <c r="D10" s="146" t="s">
        <v>203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35" t="s">
        <v>108</v>
      </c>
      <c r="C11" s="136"/>
      <c r="D11" s="149"/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15</v>
      </c>
      <c r="H12" s="40" t="str">
        <f>$I$10</f>
        <v>LOGISTICS</v>
      </c>
      <c r="I12" s="14" t="s">
        <v>17</v>
      </c>
      <c r="J12" s="15" t="s">
        <v>15</v>
      </c>
      <c r="K12" s="15" t="s">
        <v>70</v>
      </c>
      <c r="L12" s="15" t="s">
        <v>17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5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35" t="s">
        <v>163</v>
      </c>
      <c r="C14" s="136"/>
      <c r="D14" s="149" t="s">
        <v>183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20</v>
      </c>
      <c r="J15" s="24">
        <f>SUBTOTAL(3,J17:J106)</f>
        <v>20</v>
      </c>
      <c r="K15" s="24">
        <f>SUBTOTAL(3,K17:K106)</f>
        <v>20</v>
      </c>
      <c r="L15" s="24">
        <f>SUBTOTAL(3,L17:L106)</f>
        <v>20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1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20</v>
      </c>
      <c r="Z16" s="98" t="s">
        <v>110</v>
      </c>
      <c r="AA16" s="83">
        <f>SUM(AA17:AA24)</f>
        <v>20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27.5</v>
      </c>
      <c r="AD16" s="83">
        <f>SUM(AD17:AD24)</f>
        <v>45</v>
      </c>
      <c r="AE16" s="84" t="s">
        <v>42</v>
      </c>
      <c r="AF16" s="83">
        <f>SUM(AF17:AF24)</f>
        <v>4</v>
      </c>
      <c r="AG16" s="83">
        <f>SUM(AG17:AG21)</f>
        <v>20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3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15</v>
      </c>
      <c r="D17" s="32" t="s">
        <v>180</v>
      </c>
      <c r="E17" s="33">
        <v>3</v>
      </c>
      <c r="F17" s="36">
        <v>56</v>
      </c>
      <c r="G17" s="36">
        <v>54</v>
      </c>
      <c r="H17" s="38" t="str">
        <f>IF(I17="","",$I$14)</f>
        <v>SCOUTING</v>
      </c>
      <c r="I17" s="34">
        <v>366</v>
      </c>
      <c r="J17" s="13" t="s">
        <v>4</v>
      </c>
      <c r="K17" s="13" t="s">
        <v>61</v>
      </c>
      <c r="L17" s="13" t="s">
        <v>7</v>
      </c>
      <c r="M17" s="13" t="s">
        <v>38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20</v>
      </c>
      <c r="Z17" s="113" t="s">
        <v>63</v>
      </c>
      <c r="AA17" s="70">
        <f>COUNTIF($K$17:$K$106,Z17)</f>
        <v>11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3</v>
      </c>
      <c r="AG17" s="70">
        <f>COUNTIF($E$17:$E$106,$AK17)</f>
        <v>12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>U2025</v>
      </c>
      <c r="C18" s="31">
        <f t="shared" si="3"/>
        <v>15</v>
      </c>
      <c r="D18" s="32" t="s">
        <v>181</v>
      </c>
      <c r="E18" s="33">
        <v>2</v>
      </c>
      <c r="F18" s="36">
        <v>39</v>
      </c>
      <c r="G18" s="36">
        <v>27</v>
      </c>
      <c r="H18" s="38" t="str">
        <f t="shared" ref="H18:H81" si="8">IF(I18="","",$I$14)</f>
        <v>SCOUTING</v>
      </c>
      <c r="I18" s="34">
        <v>219</v>
      </c>
      <c r="J18" s="13" t="s">
        <v>4</v>
      </c>
      <c r="K18" s="13" t="s">
        <v>61</v>
      </c>
      <c r="L18" s="13" t="s">
        <v>7</v>
      </c>
      <c r="M18" s="13" t="s">
        <v>38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6</v>
      </c>
      <c r="AB18" s="74" t="s">
        <v>5</v>
      </c>
      <c r="AC18" s="69">
        <f t="shared" si="5"/>
        <v>5</v>
      </c>
      <c r="AD18" s="69">
        <f t="shared" si="6"/>
        <v>0.5</v>
      </c>
      <c r="AE18" s="74" t="s">
        <v>12</v>
      </c>
      <c r="AF18" s="73">
        <f t="shared" si="7"/>
        <v>1</v>
      </c>
      <c r="AG18" s="70">
        <f>COUNTIF($E$17:$E$106,$AK18)</f>
        <v>5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>U2025</v>
      </c>
      <c r="C19" s="31">
        <f t="shared" si="3"/>
        <v>15</v>
      </c>
      <c r="D19" s="32" t="s">
        <v>182</v>
      </c>
      <c r="E19" s="33">
        <v>1</v>
      </c>
      <c r="F19" s="36">
        <v>0</v>
      </c>
      <c r="G19" s="36">
        <v>2</v>
      </c>
      <c r="H19" s="38" t="str">
        <f t="shared" si="8"/>
        <v>SCOUTING</v>
      </c>
      <c r="I19" s="34">
        <v>16</v>
      </c>
      <c r="J19" s="13" t="s">
        <v>4</v>
      </c>
      <c r="K19" s="13" t="s">
        <v>63</v>
      </c>
      <c r="L19" s="13" t="s">
        <v>75</v>
      </c>
      <c r="M19" s="13" t="s">
        <v>22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3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3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3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>U2025</v>
      </c>
      <c r="C20" s="31">
        <f t="shared" si="3"/>
        <v>15</v>
      </c>
      <c r="D20" s="32" t="s">
        <v>184</v>
      </c>
      <c r="E20" s="33">
        <v>1</v>
      </c>
      <c r="F20" s="36">
        <v>0</v>
      </c>
      <c r="G20" s="36">
        <v>2</v>
      </c>
      <c r="H20" s="38" t="str">
        <f t="shared" si="8"/>
        <v>SCOUTING</v>
      </c>
      <c r="I20" s="34">
        <v>18</v>
      </c>
      <c r="J20" s="13" t="s">
        <v>4</v>
      </c>
      <c r="K20" s="13" t="s">
        <v>61</v>
      </c>
      <c r="L20" s="13" t="s">
        <v>48</v>
      </c>
      <c r="M20" s="13" t="s">
        <v>10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>U2025</v>
      </c>
      <c r="C21" s="31">
        <f t="shared" si="3"/>
        <v>15</v>
      </c>
      <c r="D21" s="32" t="s">
        <v>185</v>
      </c>
      <c r="E21" s="33">
        <v>1</v>
      </c>
      <c r="F21" s="36">
        <v>7</v>
      </c>
      <c r="G21" s="36">
        <v>4</v>
      </c>
      <c r="H21" s="38" t="str">
        <f t="shared" si="8"/>
        <v>SCOUTING</v>
      </c>
      <c r="I21" s="34">
        <v>32</v>
      </c>
      <c r="J21" s="13" t="s">
        <v>4</v>
      </c>
      <c r="K21" s="13" t="s">
        <v>63</v>
      </c>
      <c r="L21" s="13" t="s">
        <v>7</v>
      </c>
      <c r="M21" s="13" t="s">
        <v>27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>U2025</v>
      </c>
      <c r="C22" s="31">
        <f t="shared" si="3"/>
        <v>15</v>
      </c>
      <c r="D22" s="32" t="s">
        <v>185</v>
      </c>
      <c r="E22" s="33">
        <v>1</v>
      </c>
      <c r="F22" s="36">
        <v>7</v>
      </c>
      <c r="G22" s="36">
        <v>4</v>
      </c>
      <c r="H22" s="38" t="str">
        <f t="shared" si="8"/>
        <v>SCOUTING</v>
      </c>
      <c r="I22" s="34">
        <v>33</v>
      </c>
      <c r="J22" s="13" t="s">
        <v>4</v>
      </c>
      <c r="K22" s="13" t="s">
        <v>63</v>
      </c>
      <c r="L22" s="13" t="s">
        <v>7</v>
      </c>
      <c r="M22" s="13" t="s">
        <v>28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7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>U2025</v>
      </c>
      <c r="C23" s="31">
        <f t="shared" si="3"/>
        <v>15</v>
      </c>
      <c r="D23" s="32" t="s">
        <v>185</v>
      </c>
      <c r="E23" s="33">
        <v>1</v>
      </c>
      <c r="F23" s="36">
        <v>7</v>
      </c>
      <c r="G23" s="36">
        <v>4</v>
      </c>
      <c r="H23" s="38" t="str">
        <f t="shared" si="8"/>
        <v>SCOUTING</v>
      </c>
      <c r="I23" s="34">
        <v>34</v>
      </c>
      <c r="J23" s="13" t="s">
        <v>4</v>
      </c>
      <c r="K23" s="13" t="s">
        <v>63</v>
      </c>
      <c r="L23" s="13" t="s">
        <v>6</v>
      </c>
      <c r="M23" s="13" t="s">
        <v>39</v>
      </c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6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>U2025</v>
      </c>
      <c r="C24" s="31">
        <f t="shared" si="3"/>
        <v>15</v>
      </c>
      <c r="D24" s="32" t="s">
        <v>186</v>
      </c>
      <c r="E24" s="33">
        <v>1</v>
      </c>
      <c r="F24" s="36">
        <v>7</v>
      </c>
      <c r="G24" s="36">
        <v>4</v>
      </c>
      <c r="H24" s="38" t="str">
        <f t="shared" si="8"/>
        <v>SCOUTING</v>
      </c>
      <c r="I24" s="34">
        <v>35</v>
      </c>
      <c r="J24" s="13" t="s">
        <v>4</v>
      </c>
      <c r="K24" s="13" t="s">
        <v>62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>U2025</v>
      </c>
      <c r="C25" s="31">
        <f t="shared" si="3"/>
        <v>15</v>
      </c>
      <c r="D25" s="32" t="s">
        <v>187</v>
      </c>
      <c r="E25" s="33">
        <v>1</v>
      </c>
      <c r="F25" s="36">
        <v>7</v>
      </c>
      <c r="G25" s="36">
        <v>4</v>
      </c>
      <c r="H25" s="38" t="str">
        <f t="shared" si="8"/>
        <v>SCOUTING</v>
      </c>
      <c r="I25" s="34">
        <v>39</v>
      </c>
      <c r="J25" s="13" t="s">
        <v>4</v>
      </c>
      <c r="K25" s="13" t="s">
        <v>62</v>
      </c>
      <c r="L25" s="13" t="s">
        <v>6</v>
      </c>
      <c r="M25" s="13" t="s">
        <v>9</v>
      </c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1</v>
      </c>
      <c r="AD25" s="69">
        <f t="shared" si="6"/>
        <v>2</v>
      </c>
      <c r="AE25" s="74" t="s">
        <v>22</v>
      </c>
      <c r="AF25" s="73">
        <f t="shared" si="7"/>
        <v>3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>U2025</v>
      </c>
      <c r="C26" s="31">
        <f t="shared" si="3"/>
        <v>15</v>
      </c>
      <c r="D26" s="32" t="s">
        <v>188</v>
      </c>
      <c r="E26" s="33">
        <v>1</v>
      </c>
      <c r="F26" s="36">
        <v>21</v>
      </c>
      <c r="G26" s="36">
        <v>15</v>
      </c>
      <c r="H26" s="38" t="str">
        <f t="shared" si="8"/>
        <v>SCOUTING</v>
      </c>
      <c r="I26" s="34">
        <v>103</v>
      </c>
      <c r="J26" s="13" t="s">
        <v>4</v>
      </c>
      <c r="K26" s="13" t="s">
        <v>63</v>
      </c>
      <c r="L26" s="13" t="s">
        <v>5</v>
      </c>
      <c r="M26" s="13" t="s">
        <v>10</v>
      </c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>U2025</v>
      </c>
      <c r="C27" s="31">
        <f t="shared" si="3"/>
        <v>15</v>
      </c>
      <c r="D27" s="32" t="s">
        <v>189</v>
      </c>
      <c r="E27" s="33">
        <v>1</v>
      </c>
      <c r="F27" s="36">
        <v>7</v>
      </c>
      <c r="G27" s="36">
        <v>6</v>
      </c>
      <c r="H27" s="38" t="str">
        <f t="shared" si="8"/>
        <v>SCOUTING</v>
      </c>
      <c r="I27" s="34">
        <v>42</v>
      </c>
      <c r="J27" s="13" t="s">
        <v>4</v>
      </c>
      <c r="K27" s="13" t="s">
        <v>63</v>
      </c>
      <c r="L27" s="13" t="s">
        <v>6</v>
      </c>
      <c r="M27" s="13" t="s">
        <v>39</v>
      </c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>U2025</v>
      </c>
      <c r="C28" s="31">
        <f t="shared" si="3"/>
        <v>15</v>
      </c>
      <c r="D28" s="32" t="s">
        <v>190</v>
      </c>
      <c r="E28" s="33">
        <v>1</v>
      </c>
      <c r="F28" s="36">
        <v>13</v>
      </c>
      <c r="G28" s="36">
        <v>10</v>
      </c>
      <c r="H28" s="38" t="str">
        <f t="shared" si="8"/>
        <v>SCOUTING</v>
      </c>
      <c r="I28" s="34">
        <v>67</v>
      </c>
      <c r="J28" s="13" t="s">
        <v>4</v>
      </c>
      <c r="K28" s="13" t="s">
        <v>62</v>
      </c>
      <c r="L28" s="13" t="s">
        <v>6</v>
      </c>
      <c r="M28" s="13" t="s">
        <v>39</v>
      </c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>U2025</v>
      </c>
      <c r="C29" s="31">
        <f t="shared" si="3"/>
        <v>15</v>
      </c>
      <c r="D29" s="32" t="s">
        <v>190</v>
      </c>
      <c r="E29" s="33">
        <v>1</v>
      </c>
      <c r="F29" s="36">
        <v>13</v>
      </c>
      <c r="G29" s="36">
        <v>10</v>
      </c>
      <c r="H29" s="38" t="str">
        <f t="shared" si="8"/>
        <v>SCOUTING</v>
      </c>
      <c r="I29" s="34">
        <v>66</v>
      </c>
      <c r="J29" s="13" t="s">
        <v>4</v>
      </c>
      <c r="K29" s="13" t="s">
        <v>62</v>
      </c>
      <c r="L29" s="13" t="s">
        <v>6</v>
      </c>
      <c r="M29" s="13" t="s">
        <v>28</v>
      </c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1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>U2025</v>
      </c>
      <c r="C30" s="31">
        <f t="shared" si="3"/>
        <v>15</v>
      </c>
      <c r="D30" s="32" t="s">
        <v>191</v>
      </c>
      <c r="E30" s="33">
        <v>1</v>
      </c>
      <c r="F30" s="36">
        <v>21</v>
      </c>
      <c r="G30" s="36">
        <v>15</v>
      </c>
      <c r="H30" s="38" t="str">
        <f t="shared" si="8"/>
        <v>SCOUTING</v>
      </c>
      <c r="I30" s="34">
        <v>110</v>
      </c>
      <c r="J30" s="13" t="s">
        <v>4</v>
      </c>
      <c r="K30" s="13" t="s">
        <v>63</v>
      </c>
      <c r="L30" s="13" t="s">
        <v>6</v>
      </c>
      <c r="M30" s="13" t="s">
        <v>28</v>
      </c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>U2025</v>
      </c>
      <c r="C31" s="31">
        <f t="shared" si="3"/>
        <v>15</v>
      </c>
      <c r="D31" s="32" t="s">
        <v>192</v>
      </c>
      <c r="E31" s="33">
        <v>2</v>
      </c>
      <c r="F31" s="36">
        <v>33</v>
      </c>
      <c r="G31" s="36">
        <v>25</v>
      </c>
      <c r="H31" s="38" t="str">
        <f t="shared" si="8"/>
        <v>SCOUTING</v>
      </c>
      <c r="I31" s="34">
        <v>203</v>
      </c>
      <c r="J31" s="13" t="s">
        <v>4</v>
      </c>
      <c r="K31" s="13" t="s">
        <v>63</v>
      </c>
      <c r="L31" s="13" t="s">
        <v>5</v>
      </c>
      <c r="M31" s="13" t="s">
        <v>11</v>
      </c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1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>U2025</v>
      </c>
      <c r="C32" s="31">
        <f t="shared" si="3"/>
        <v>15</v>
      </c>
      <c r="D32" s="32" t="s">
        <v>193</v>
      </c>
      <c r="E32" s="33">
        <v>2</v>
      </c>
      <c r="F32" s="36">
        <v>41</v>
      </c>
      <c r="G32" s="36">
        <v>29</v>
      </c>
      <c r="H32" s="38" t="str">
        <f t="shared" si="8"/>
        <v>SCOUTING</v>
      </c>
      <c r="I32" s="34">
        <v>230</v>
      </c>
      <c r="J32" s="13" t="s">
        <v>4</v>
      </c>
      <c r="K32" s="13" t="s">
        <v>62</v>
      </c>
      <c r="L32" s="13" t="s">
        <v>7</v>
      </c>
      <c r="M32" s="13" t="s">
        <v>22</v>
      </c>
      <c r="N32" s="35"/>
      <c r="O32" s="5"/>
      <c r="P32" s="5"/>
      <c r="Q32" s="92">
        <f t="shared" si="4"/>
        <v>1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>U2025</v>
      </c>
      <c r="C33" s="31">
        <f t="shared" si="3"/>
        <v>15</v>
      </c>
      <c r="D33" s="32" t="s">
        <v>194</v>
      </c>
      <c r="E33" s="33">
        <v>2</v>
      </c>
      <c r="F33" s="36">
        <v>46</v>
      </c>
      <c r="G33" s="36">
        <v>33</v>
      </c>
      <c r="H33" s="38" t="str">
        <f t="shared" si="8"/>
        <v>SCOUTING</v>
      </c>
      <c r="I33" s="34">
        <v>250</v>
      </c>
      <c r="J33" s="13" t="s">
        <v>4</v>
      </c>
      <c r="K33" s="13" t="s">
        <v>63</v>
      </c>
      <c r="L33" s="13" t="s">
        <v>7</v>
      </c>
      <c r="M33" s="13" t="s">
        <v>12</v>
      </c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3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>U2025</v>
      </c>
      <c r="C34" s="31">
        <f t="shared" si="3"/>
        <v>15</v>
      </c>
      <c r="D34" s="32" t="s">
        <v>195</v>
      </c>
      <c r="E34" s="33">
        <v>2</v>
      </c>
      <c r="F34" s="36">
        <v>46</v>
      </c>
      <c r="G34" s="36">
        <v>33</v>
      </c>
      <c r="H34" s="38" t="str">
        <f t="shared" si="8"/>
        <v>SCOUTING</v>
      </c>
      <c r="I34" s="34">
        <v>255</v>
      </c>
      <c r="J34" s="13" t="s">
        <v>4</v>
      </c>
      <c r="K34" s="13" t="s">
        <v>62</v>
      </c>
      <c r="L34" s="13" t="s">
        <v>5</v>
      </c>
      <c r="M34" s="13" t="s">
        <v>10</v>
      </c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>U2025</v>
      </c>
      <c r="C35" s="31">
        <f t="shared" si="3"/>
        <v>15</v>
      </c>
      <c r="D35" s="32" t="s">
        <v>196</v>
      </c>
      <c r="E35" s="33">
        <v>3</v>
      </c>
      <c r="F35" s="36">
        <v>64</v>
      </c>
      <c r="G35" s="36">
        <v>56</v>
      </c>
      <c r="H35" s="38" t="str">
        <f t="shared" si="8"/>
        <v>SCOUTING</v>
      </c>
      <c r="I35" s="34">
        <v>378</v>
      </c>
      <c r="J35" s="13" t="s">
        <v>4</v>
      </c>
      <c r="K35" s="13" t="s">
        <v>63</v>
      </c>
      <c r="L35" s="13" t="s">
        <v>5</v>
      </c>
      <c r="M35" s="13" t="s">
        <v>11</v>
      </c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3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>U2025</v>
      </c>
      <c r="C36" s="31">
        <f t="shared" si="3"/>
        <v>15</v>
      </c>
      <c r="D36" s="32" t="s">
        <v>181</v>
      </c>
      <c r="E36" s="33">
        <v>3</v>
      </c>
      <c r="F36" s="36">
        <v>64</v>
      </c>
      <c r="G36" s="36">
        <v>58</v>
      </c>
      <c r="H36" s="38" t="str">
        <f t="shared" si="8"/>
        <v>SCOUTING</v>
      </c>
      <c r="I36" s="34">
        <v>381</v>
      </c>
      <c r="J36" s="13" t="s">
        <v>4</v>
      </c>
      <c r="K36" s="13" t="s">
        <v>63</v>
      </c>
      <c r="L36" s="13" t="s">
        <v>5</v>
      </c>
      <c r="M36" s="13" t="s">
        <v>11</v>
      </c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1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2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3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REPORT_U2025015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"U2025015"</v>
      </c>
      <c r="F3" s="46" t="str">
        <f t="shared" ref="F3:F16" si="0">""""&amp;B3&amp;"""" &amp; " : " &amp;C3&amp;","</f>
        <v>"name" : "U2025015",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"U015"</v>
      </c>
      <c r="F4" s="46" t="str">
        <f t="shared" si="0"/>
        <v>"cod" : "U015",</v>
      </c>
    </row>
    <row r="5" spans="2:6" x14ac:dyDescent="0.2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">
      <c r="B6" s="44" t="s">
        <v>118</v>
      </c>
      <c r="C6" s="44" t="str">
        <f>TEXT('SCOUT &amp; LOGISTICS'!C2,"000")</f>
        <v>015</v>
      </c>
      <c r="F6" s="46" t="str">
        <f t="shared" si="0"/>
        <v>"number" : 015,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"NEPTUNAS KLAIPEDA"</v>
      </c>
      <c r="F8" s="46" t="str">
        <f t="shared" si="0"/>
        <v>"home_team" : "NEPTUNAS KLAIPEDA",</v>
      </c>
    </row>
    <row r="9" spans="2:6" x14ac:dyDescent="0.2">
      <c r="B9" s="44" t="s">
        <v>126</v>
      </c>
      <c r="C9" s="44" t="str">
        <f>""""&amp;'SCOUT &amp; LOGISTICS'!D5&amp;""""</f>
        <v>"U-BT CLUJ-NAPOCA"</v>
      </c>
      <c r="F9" s="46" t="str">
        <f t="shared" si="0"/>
        <v>"away_team" : "U-BT CLUJ-NAPOCA",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"KAROLIS KAVALENKA"</v>
      </c>
      <c r="F10" s="46" t="str">
        <f t="shared" si="0"/>
        <v>"Data_entry" : "KAROLIS KAVALENKA",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"KAROLIS STIRBYS"</v>
      </c>
      <c r="F11" s="46" t="str">
        <f t="shared" si="0"/>
        <v>"Caller_1" : "KAROLIS STIRBYS",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"DOMANTAS TEVELIS"</v>
      </c>
      <c r="F12" s="46" t="str">
        <f t="shared" si="0"/>
        <v>"Caller_2" : "DOMANTAS TEVELIS",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"OVIDIJUS SIDEIKIS"</v>
      </c>
      <c r="F13" s="46" t="str">
        <f t="shared" si="0"/>
        <v>"Timerkeeper" : "OVIDIJUS SIDEIKIS",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"GINTAUTAS PLATUKIS"</v>
      </c>
      <c r="F14" s="46" t="str">
        <f t="shared" si="0"/>
        <v>"Shotclock" : "GINTAUTAS PLATUKIS",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"ORIOL GARCIA"</v>
      </c>
      <c r="F16" s="46" t="str">
        <f t="shared" si="0"/>
        <v>"Live_Game_Manager" : "ORIOL GARCIA",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"NO"</v>
      </c>
      <c r="F19" s="46" t="str">
        <f>""""&amp;C19&amp;"""" &amp; " : " &amp;D19&amp;","</f>
        <v>"check_list_on_time" : "NO",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"OK"</v>
      </c>
      <c r="F21" s="46" t="str">
        <f>""""&amp;C21&amp;"""" &amp; " : " &amp;D21&amp;","</f>
        <v>"corrections" : "OK",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676</v>
      </c>
      <c r="F25" s="46" t="str">
        <f t="shared" ref="F25:F48" si="1">""""&amp;C25&amp;"""" &amp; " : " &amp;D25&amp;","</f>
        <v>"total_actions" : 676,</v>
      </c>
    </row>
    <row r="26" spans="2:6" x14ac:dyDescent="0.2">
      <c r="C26" s="44" t="s">
        <v>132</v>
      </c>
      <c r="D26" s="44">
        <f>'SCOUT &amp; LOGISTICS'!F3</f>
        <v>20</v>
      </c>
      <c r="F26" s="46" t="str">
        <f t="shared" si="1"/>
        <v>"total_correcions" : 20,</v>
      </c>
    </row>
    <row r="27" spans="2:6" x14ac:dyDescent="0.2">
      <c r="C27" s="44" t="s">
        <v>133</v>
      </c>
      <c r="D27" s="44" t="str">
        <f>""""&amp;IF(OR(D25="",D25=0),"",TEXT(D26/D25,"0,0%"))&amp;""""</f>
        <v>"03%"</v>
      </c>
      <c r="F27" s="46" t="str">
        <f t="shared" si="1"/>
        <v>"%_corrections" : "03%",</v>
      </c>
    </row>
    <row r="28" spans="2:6" x14ac:dyDescent="0.2">
      <c r="C28" s="44" t="s">
        <v>125</v>
      </c>
      <c r="D28" s="44">
        <f>IF('SCOUT &amp; LOGISTICS'!AA17="","",'SCOUT &amp; LOGISTICS'!AA17)</f>
        <v>11</v>
      </c>
      <c r="F28" s="46" t="str">
        <f t="shared" si="1"/>
        <v>"home_team" : 11,</v>
      </c>
    </row>
    <row r="29" spans="2:6" x14ac:dyDescent="0.2">
      <c r="C29" s="44" t="s">
        <v>134</v>
      </c>
      <c r="D29" s="44">
        <f>IF('SCOUT &amp; LOGISTICS'!AA18="","",'SCOUT &amp; LOGISTICS'!AA18)</f>
        <v>6</v>
      </c>
      <c r="F29" s="46" t="str">
        <f t="shared" si="1"/>
        <v>"no_team" : 6,</v>
      </c>
    </row>
    <row r="30" spans="2:6" x14ac:dyDescent="0.2">
      <c r="C30" s="44" t="s">
        <v>126</v>
      </c>
      <c r="D30" s="44">
        <f>IF('SCOUT &amp; LOGISTICS'!AA19="","",'SCOUT &amp; LOGISTICS'!AA19)</f>
        <v>3</v>
      </c>
      <c r="F30" s="46" t="str">
        <f t="shared" si="1"/>
        <v>"away_team" : 3,</v>
      </c>
    </row>
    <row r="31" spans="2:6" x14ac:dyDescent="0.2">
      <c r="C31" s="44" t="s">
        <v>135</v>
      </c>
      <c r="D31" s="44">
        <f>'SCOUT &amp; LOGISTICS'!AG17</f>
        <v>12</v>
      </c>
      <c r="F31" s="46" t="str">
        <f t="shared" si="1"/>
        <v>"q1" : 12,</v>
      </c>
    </row>
    <row r="32" spans="2:6" x14ac:dyDescent="0.2">
      <c r="C32" s="44" t="s">
        <v>136</v>
      </c>
      <c r="D32" s="44">
        <f>'SCOUT &amp; LOGISTICS'!AG18</f>
        <v>5</v>
      </c>
      <c r="F32" s="46" t="str">
        <f t="shared" si="1"/>
        <v>"q2" : 5,</v>
      </c>
    </row>
    <row r="33" spans="3:6" x14ac:dyDescent="0.2">
      <c r="C33" s="44" t="s">
        <v>137</v>
      </c>
      <c r="D33" s="44">
        <f>'SCOUT &amp; LOGISTICS'!AG19</f>
        <v>3</v>
      </c>
      <c r="F33" s="46" t="str">
        <f t="shared" si="1"/>
        <v>"q3" : 3,</v>
      </c>
    </row>
    <row r="34" spans="3:6" x14ac:dyDescent="0.2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20</v>
      </c>
      <c r="F37" s="46" t="str">
        <f t="shared" si="1"/>
        <v>"scoresheet_corrections" : 20,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5</v>
      </c>
      <c r="F39" s="46" t="str">
        <f t="shared" si="1"/>
        <v>"missidentity" : 5,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2</v>
      </c>
      <c r="F42" s="46" t="str">
        <f t="shared" si="1"/>
        <v>"substitution" : 2,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6</v>
      </c>
      <c r="F46" s="46" t="str">
        <f t="shared" si="1"/>
        <v>"part_of_a_sequence" : 6,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1</v>
      </c>
      <c r="F49" s="46" t="str">
        <f>""""&amp;C49&amp;"""" &amp; " : " &amp;D49</f>
        <v>"points" : 1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""</v>
      </c>
      <c r="F51" s="46" t="str">
        <f>""""&amp;B51&amp;"""" &amp; " : " &amp;C51&amp;","</f>
        <v>"comments" : "",</v>
      </c>
    </row>
    <row r="52" spans="2:6" x14ac:dyDescent="0.2">
      <c r="B52" s="44" t="s">
        <v>153</v>
      </c>
      <c r="C52" s="44" t="str">
        <f>TEXT('SCOUT &amp; LOGISTICS'!N2,"0,0")</f>
        <v>C:\Users\oriol.garcia\OneDrive - EUROLEAGUE\Documents\Season 25-26\Reports\Eurocup\Neptunas Klaipeda</v>
      </c>
      <c r="F52" s="46" t="str">
        <f>""""&amp;B52&amp;"""" &amp; " : " &amp;C52</f>
        <v>"result" : C:\Users\oriol.garcia\OneDrive - EUROLEAGUE\Documents\Season 25-26\Reports\Eurocup\Neptunas Klaipeda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2"/>
    <row r="2" spans="1:33" ht="42.6" customHeight="1" thickBot="1" x14ac:dyDescent="0.25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25">
      <c r="A3" s="49"/>
      <c r="B3" s="172" t="str">
        <f>"GAME: "&amp; LEFT('SCOUT &amp; LOGISTICS'!B2,1) &amp; TEXT('SCOUT &amp; LOGISTICS'!C2,"000") &amp; " " &amp; IF(LEFT('SCOUT &amp; LOGISTICS'!B2,1)="U","(EUROCUP)","(EUROLEAGUE)")</f>
        <v>GAME: U015 (EUROCUP)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25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00000000000001" customHeight="1" thickBot="1" x14ac:dyDescent="0.25">
      <c r="A5" s="49"/>
      <c r="B5" s="173" t="str">
        <f>'SCOUT &amp; LOGISTICS'!D4</f>
        <v>NEPTUNAS KLAIPEDA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U-BT CLUJ-NAPOCA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" customHeight="1" thickBot="1" x14ac:dyDescent="0.25">
      <c r="A6" s="49"/>
      <c r="B6" s="176" t="str">
        <f>PROPER('SCOUT &amp; LOGISTICS'!D4)</f>
        <v>Neptunas Klaipeda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U-Bt Cluj-Napoca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25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25">
      <c r="A8" s="49"/>
      <c r="B8" s="170" t="str">
        <f>IF('SCOUT &amp; LOGISTICS'!D6="","",'SCOUT &amp; LOGISTICS'!D6)</f>
        <v>KAROLIS KAVALENKA</v>
      </c>
      <c r="C8" s="170"/>
      <c r="D8" s="170"/>
      <c r="E8" s="170"/>
      <c r="F8" s="170"/>
      <c r="G8" s="170" t="str">
        <f>IF('SCOUT &amp; LOGISTICS'!D7="","",'SCOUT &amp; LOGISTICS'!D7)</f>
        <v>KAROLIS STIRBYS</v>
      </c>
      <c r="H8" s="170"/>
      <c r="I8" s="170"/>
      <c r="J8" s="170"/>
      <c r="K8" s="170"/>
      <c r="L8" s="170" t="str">
        <f>IF('SCOUT &amp; LOGISTICS'!D8="","",'SCOUT &amp; LOGISTICS'!D8)</f>
        <v>DOMANTAS TEVELIS</v>
      </c>
      <c r="M8" s="170"/>
      <c r="N8" s="170"/>
      <c r="O8" s="170"/>
      <c r="P8" s="170"/>
      <c r="Q8" s="170" t="str">
        <f>IF('SCOUT &amp; LOGISTICS'!D9="","",'SCOUT &amp; LOGISTICS'!D9)</f>
        <v>OVIDIJUS SIDEIKIS</v>
      </c>
      <c r="R8" s="170"/>
      <c r="S8" s="170"/>
      <c r="T8" s="170"/>
      <c r="U8" s="170"/>
      <c r="V8" s="170" t="str">
        <f>IF('SCOUT &amp; LOGISTICS'!D10="","",'SCOUT &amp; LOGISTICS'!D10)</f>
        <v>GINTAUTAS PLATUKIS</v>
      </c>
      <c r="W8" s="170"/>
      <c r="X8" s="170"/>
      <c r="Y8" s="170"/>
      <c r="Z8" s="170"/>
      <c r="AA8" s="170" t="str">
        <f>IF('SCOUT &amp; LOGISTICS'!D11="","",'SCOUT &amp; LOGISTICS'!D11)</f>
        <v/>
      </c>
      <c r="AB8" s="170"/>
      <c r="AC8" s="170"/>
      <c r="AD8" s="170"/>
      <c r="AE8" s="170"/>
      <c r="AF8" s="49"/>
    </row>
    <row r="9" spans="1:33" ht="13.5" thickBot="1" x14ac:dyDescent="0.25">
      <c r="A9" s="49"/>
      <c r="B9" s="164" t="str">
        <f>IF(OR('SCOUT &amp; LOGISTICS'!D14="",'SCOUT &amp; LOGISTICS'!D14=0),"",'SCOUT &amp; LOGISTICS'!B14 &amp; ": " &amp; 'SCOUT &amp; LOGISTICS'!D14) &amp; "     "</f>
        <v xml:space="preserve">L G M: : ORIOL GARCIA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.5" thickBot="1" x14ac:dyDescent="0.25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00000000000001" customHeight="1" thickBot="1" x14ac:dyDescent="0.25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2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25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NO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OK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.5" thickBot="1" x14ac:dyDescent="0.25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00000000000001" customHeight="1" thickBot="1" x14ac:dyDescent="0.25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2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25">
      <c r="A17" s="49"/>
      <c r="B17" s="168">
        <f>'SCOUT &amp; LOGISTICS'!D3</f>
        <v>676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20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2.9585798816568046E-2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.5" thickBot="1" x14ac:dyDescent="0.25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2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25">
      <c r="A20" s="49"/>
      <c r="B20" s="161">
        <f>IF('SCOUT &amp; LOGISTICS'!AA17="","",'SCOUT &amp; LOGISTICS'!AA17)</f>
        <v>11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6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3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2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25">
      <c r="A22" s="49"/>
      <c r="B22" s="161">
        <f>'SCOUT &amp; LOGISTICS'!AG17</f>
        <v>12</v>
      </c>
      <c r="C22" s="161"/>
      <c r="D22" s="161"/>
      <c r="E22" s="161"/>
      <c r="F22" s="161"/>
      <c r="G22" s="161"/>
      <c r="H22" s="161">
        <f>'SCOUT &amp; LOGISTICS'!AG18</f>
        <v>5</v>
      </c>
      <c r="I22" s="161"/>
      <c r="J22" s="161"/>
      <c r="K22" s="161"/>
      <c r="L22" s="161"/>
      <c r="M22" s="161"/>
      <c r="N22" s="161">
        <f>'SCOUT &amp; LOGISTICS'!AG19</f>
        <v>3</v>
      </c>
      <c r="O22" s="161"/>
      <c r="P22" s="161"/>
      <c r="Q22" s="161"/>
      <c r="R22" s="161"/>
      <c r="S22" s="161"/>
      <c r="T22" s="161">
        <f>'SCOUT &amp; LOGISTICS'!AG20</f>
        <v>0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.5" thickBot="1" x14ac:dyDescent="0.25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2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25">
      <c r="A25" s="49"/>
      <c r="B25" s="161">
        <f>'SCOUT &amp; LOGISTICS'!Y17</f>
        <v>20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2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25">
      <c r="A27" s="49"/>
      <c r="B27" s="161">
        <f>'SCOUT &amp; LOGISTICS'!AC18</f>
        <v>5</v>
      </c>
      <c r="C27" s="161"/>
      <c r="D27" s="161"/>
      <c r="E27" s="161"/>
      <c r="F27" s="161"/>
      <c r="G27" s="161">
        <f>'SCOUT &amp; LOGISTICS'!AC22</f>
        <v>7</v>
      </c>
      <c r="H27" s="161"/>
      <c r="I27" s="161"/>
      <c r="J27" s="161"/>
      <c r="K27" s="161"/>
      <c r="L27" s="161">
        <f>'SCOUT &amp; LOGISTICS'!AC23</f>
        <v>6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2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25">
      <c r="A29" s="49"/>
      <c r="B29" s="161">
        <f>'SCOUT &amp; LOGISTICS'!AC25</f>
        <v>1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1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.5" thickBot="1" x14ac:dyDescent="0.25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00000000000001" customHeight="1" thickBot="1" x14ac:dyDescent="0.25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" customHeight="1" thickBot="1" x14ac:dyDescent="0.25">
      <c r="A32" s="49"/>
      <c r="B32" s="159" t="str">
        <f>IF('SCOUT &amp; LOGISTICS'!M4="","",'SCOUT &amp; LOGISTICS'!M4)</f>
        <v/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00000000000001" customHeight="1" thickBot="1" x14ac:dyDescent="0.25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00000000000001" customHeight="1" thickBot="1" x14ac:dyDescent="0.25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25">
      <c r="A35" s="49"/>
      <c r="B35" s="160">
        <f>'SCOUT &amp; LOGISTICS'!M7</f>
        <v>36.458579881656803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2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828332-7651-408D-95F0-F1DDB018EAB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70B5D00-E907-448F-91E9-629202F469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ADB0625-6D38-4314-AC64-A47618DFEA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2025-09-14T09:53:19Z</cp:lastPrinted>
  <dcterms:created xsi:type="dcterms:W3CDTF">2023-09-19T19:50:35Z</dcterms:created>
  <dcterms:modified xsi:type="dcterms:W3CDTF">2025-10-08T15:56:33Z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