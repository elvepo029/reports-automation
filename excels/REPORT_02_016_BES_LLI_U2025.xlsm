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95" documentId="6_{EF23DC9F-44F8-4D84-9965-47FFDEC3210B}" xr6:coauthVersionLast="47" xr6:coauthVersionMax="47" xr10:uidLastSave="{324A443F-A9CF-4533-9BA6-44B63BAB0708}"/>
  <bookViews>
    <workbookView xWindow="-3825" yWindow="-14520" windowWidth="2160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 l="1"/>
  <c r="D9" i="1"/>
  <c r="D8" i="1"/>
  <c r="D7" i="1"/>
  <c r="D6" i="1"/>
  <c r="B2" i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H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<sst xmlns="http://schemas.openxmlformats.org/spreadsheetml/2006/main" count="3273" uniqueCount="755">
  <si>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</si>
  <si>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</si>
  <si>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</si>
  <si>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</si>
  <si>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</si>
  <si>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</si>
  <si>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</si>
  <si>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</si>
  <si>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</si>
  <si>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</si>
  <si>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</si>
  <si>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</si>
  <si>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</si>
  <si>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</si>
  <si>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</si>
  <si>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</si>
  <si>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</si>
  <si>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</si>
  <si>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</si>
  <si>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</si>
  <si>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</si>
  <si>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</si>
  <si>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</si>
  <si>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</si>
  <si>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</si>
  <si>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</si>
  <si>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</si>
  <si>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</si>
  <si>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</si>
  <si>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</si>
  <si>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</si>
  <si>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</si>
  <si>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</si>
  <si>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</si>
  <si>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</si>
  <si>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</si>
  <si>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</si>
  <si>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</si>
  <si>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</si>
  <si>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</si>
  <si>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</si>
  <si>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</si>
  <si>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</si>
  <si>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</si>
  <si>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</si>
  <si>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</si>
  <si>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</si>
  <si>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</si>
  <si>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</si>
  <si>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</si>
  <si>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</si>
  <si>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</si>
  <si>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</si>
  <si>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</si>
  <si>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</si>
  <si>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</si>
  <si>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</si>
  <si>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</si>
  <si>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</si>
  <si>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</si>
  <si>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</si>
  <si>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</si>
  <si>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</si>
  <si>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</si>
  <si>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</si>
  <si>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</si>
  <si>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</si>
  <si>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</si>
  <si>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</si>
  <si>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</si>
  <si>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</si>
  <si>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</si>
  <si>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</si>
  <si>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</si>
  <si>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</si>
  <si>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</si>
  <si>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</si>
  <si>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</si>
  <si>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</si>
  <si>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</si>
  <si>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</si>
  <si>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</si>
  <si>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</si>
  <si>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</si>
  <si>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</si>
  <si>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</si>
  <si>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</si>
  <si>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</si>
  <si>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</si>
  <si>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</si>
  <si>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</si>
  <si>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</si>
  <si>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</si>
  <si>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</si>
  <si>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</si>
  <si>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</si>
  <si>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</si>
  <si>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</si>
  <si>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</si>
  <si>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</si>
  <si>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</si>
  <si>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</si>
  <si>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</si>
  <si>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</si>
  <si>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</si>
  <si>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</si>
  <si>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</si>
  <si>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</si>
  <si>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</si>
  <si>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</si>
  <si>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</si>
  <si>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</si>
  <si>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</si>
  <si>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</si>
  <si>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</si>
  <si>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</si>
  <si>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</si>
  <si>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</si>
  <si>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</si>
  <si>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</si>
  <si>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</si>
  <si>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</si>
  <si>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</si>
  <si>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</si>
  <si>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</si>
  <si>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</si>
  <si>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</si>
  <si>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</si>
  <si>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</si>
  <si>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</si>
  <si>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</si>
  <si>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</si>
  <si>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</si>
  <si>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</si>
  <si>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</si>
  <si>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</si>
  <si>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</si>
  <si>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</si>
  <si>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</si>
  <si>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</si>
  <si>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</si>
  <si>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</si>
  <si>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</si>
  <si>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</si>
  <si>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</si>
  <si>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</si>
  <si>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</si>
  <si>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</si>
  <si>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</si>
  <si>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</si>
  <si>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</si>
  <si>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</si>
  <si>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</si>
  <si>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</si>
  <si>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</si>
  <si>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</si>
  <si>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</si>
  <si>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</si>
  <si>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</si>
  <si>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</si>
  <si>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</si>
  <si>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</si>
  <si>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</si>
  <si>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</si>
  <si>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</si>
  <si>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</si>
  <si>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</si>
  <si>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</si>
  <si>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</si>
  <si>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</si>
  <si>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</si>
  <si>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</si>
  <si>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</si>
  <si>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</si>
  <si>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</si>
  <si>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</si>
  <si>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</si>
  <si>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</si>
  <si>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</si>
  <si>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</si>
  <si>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</si>
  <si>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</si>
  <si>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</si>
  <si>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</si>
  <si>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</si>
  <si>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</si>
  <si>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</si>
  <si>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</si>
  <si>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</si>
  <si>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</si>
  <si>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</si>
  <si>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</si>
  <si>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</si>
  <si>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</si>
  <si>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</si>
  <si>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</si>
  <si>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</si>
  <si>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</si>
  <si>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</si>
  <si>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</si>
  <si>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</si>
  <si>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</si>
  <si>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</si>
  <si>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</si>
  <si>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</si>
  <si>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</si>
  <si>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</si>
  <si>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</si>
  <si>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</si>
  <si>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</si>
  <si>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</si>
  <si>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</si>
  <si>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</si>
  <si>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</si>
  <si>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</si>
  <si>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</si>
  <si>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</si>
  <si>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</si>
  <si>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</si>
  <si>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</si>
  <si>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</si>
  <si>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</si>
  <si>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</si>
  <si>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</si>
  <si>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</si>
  <si>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</si>
  <si>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</si>
  <si>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</si>
  <si>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</si>
  <si>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</si>
  <si>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</si>
  <si>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</si>
  <si>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</si>
  <si>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</si>
  <si>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</si>
  <si>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</si>
  <si>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</si>
  <si>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</si>
  <si>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</si>
  <si>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</si>
  <si>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</si>
  <si>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</si>
  <si>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</si>
  <si>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</si>
  <si>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</si>
  <si>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</si>
  <si>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</si>
  <si>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</si>
  <si>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</si>
  <si>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</si>
  <si>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</si>
  <si>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</si>
  <si>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</si>
  <si>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</si>
  <si>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</si>
  <si>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</si>
  <si>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</si>
  <si>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</si>
  <si>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</si>
  <si>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</si>
  <si>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</si>
  <si>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</si>
  <si>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</si>
  <si>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</si>
  <si>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</si>
  <si>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</si>
  <si>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</si>
  <si>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</si>
  <si>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</si>
  <si>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</si>
  <si>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</si>
  <si>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</si>
  <si>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</si>
  <si>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</si>
  <si>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</si>
  <si>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</si>
  <si>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</si>
  <si>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</si>
  <si>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</si>
  <si>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</si>
  <si>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</si>
  <si>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</si>
  <si>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</si>
  <si>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</si>
  <si>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</si>
  <si>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</si>
  <si>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</si>
  <si>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</si>
  <si>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</si>
  <si>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</si>
  <si>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</si>
  <si>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</si>
  <si>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</si>
  <si>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</si>
  <si>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</si>
  <si>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</si>
  <si>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</si>
  <si>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</si>
  <si>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</si>
  <si>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</si>
  <si>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</si>
  <si>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</si>
  <si>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</si>
  <si>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</si>
  <si>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</si>
  <si>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</si>
  <si>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</si>
  <si>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</si>
  <si>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</si>
  <si>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</si>
  <si>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</si>
  <si>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</si>
  <si>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</si>
  <si>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</si>
  <si>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</si>
  <si>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</si>
  <si>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</si>
  <si>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</si>
  <si>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</si>
  <si>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</si>
  <si>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</si>
  <si>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</si>
  <si>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</si>
  <si>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</si>
  <si>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</si>
  <si>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</si>
  <si>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</si>
  <si>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</si>
  <si>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</si>
  <si>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</si>
  <si>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</si>
  <si>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</si>
  <si>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</si>
  <si>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</si>
  <si>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</si>
  <si>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</si>
  <si>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</si>
  <si>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</si>
  <si>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</si>
  <si>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</si>
  <si>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</si>
  <si>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</si>
  <si>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</si>
  <si>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</si>
  <si>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</si>
  <si>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</si>
  <si>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</si>
  <si>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</si>
  <si>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</si>
  <si>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</si>
  <si>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</si>
  <si>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</si>
  <si>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</si>
  <si>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</si>
  <si>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</si>
  <si>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</si>
  <si>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</si>
  <si>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</si>
  <si>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</si>
  <si>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</si>
  <si>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</si>
  <si>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</si>
  <si>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</si>
  <si>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</si>
  <si>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</si>
  <si>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</si>
  <si>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</si>
  <si>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</si>
  <si>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</si>
  <si>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</si>
  <si>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</si>
  <si>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</si>
  <si>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</si>
  <si>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</si>
  <si>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</si>
  <si>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</si>
  <si>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</si>
  <si>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</si>
  <si>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</si>
  <si>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</si>
  <si>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</si>
  <si>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</si>
  <si>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</si>
  <si>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</si>
  <si>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</si>
  <si>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</si>
  <si>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</si>
  <si>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</si>
  <si>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</si>
  <si>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</si>
  <si>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</si>
  <si>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</si>
  <si>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</si>
  <si>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</si>
  <si>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</si>
  <si>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</si>
  <si>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</si>
  <si>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</si>
  <si>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</si>
  <si>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</si>
  <si>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</si>
  <si>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</si>
  <si>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</si>
  <si>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</si>
  <si>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</si>
  <si>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</si>
  <si>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</si>
  <si>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</si>
  <si>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</si>
  <si>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</si>
  <si>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</si>
  <si>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</si>
  <si>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</si>
  <si>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</si>
  <si>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</si>
  <si>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</si>
  <si>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</si>
  <si>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</si>
  <si>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</si>
  <si>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</si>
  <si>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</si>
  <si>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</si>
  <si>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</si>
  <si>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</si>
  <si>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</si>
  <si>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</si>
  <si>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</si>
  <si>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</si>
  <si>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</si>
  <si>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</si>
  <si>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</si>
  <si>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</si>
  <si>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</si>
  <si>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</si>
  <si>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</si>
  <si>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</si>
  <si>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</si>
  <si>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</si>
  <si>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</si>
  <si>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</si>
  <si>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</si>
  <si>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</si>
  <si>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</si>
  <si>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</si>
  <si>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</si>
  <si>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</si>
  <si>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</si>
  <si>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</si>
  <si>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</si>
  <si>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</si>
  <si>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</si>
  <si>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</si>
  <si>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</si>
  <si>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</si>
  <si>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</si>
  <si>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</si>
  <si>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</si>
  <si>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</si>
  <si>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</si>
  <si>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</si>
  <si>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</si>
  <si>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</si>
  <si>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</si>
  <si>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</si>
  <si>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</si>
  <si>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</si>
  <si>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</si>
  <si>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</si>
  <si>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</si>
  <si>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</si>
  <si>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</si>
  <si>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</si>
  <si>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</si>
  <si>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</si>
  <si>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</si>
  <si>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</si>
  <si>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</si>
  <si>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</si>
  <si>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</si>
  <si>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</si>
  <si>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</si>
  <si>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</si>
  <si>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</si>
  <si>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</si>
  <si>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</si>
  <si>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</si>
  <si>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</si>
  <si>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</si>
  <si>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</si>
  <si>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</si>
  <si>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</si>
  <si>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</si>
  <si>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</si>
  <si>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</si>
  <si>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</si>
  <si>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</si>
  <si>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</si>
  <si>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</si>
  <si>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</si>
  <si>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</si>
  <si>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</si>
  <si>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</si>
  <si>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</si>
  <si>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</si>
  <si>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</si>
  <si>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</si>
  <si>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</si>
  <si>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</si>
  <si>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</si>
  <si>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</si>
  <si>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</si>
  <si>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</si>
  <si>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</si>
  <si>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</si>
  <si>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</si>
  <si>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</si>
  <si>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</si>
  <si>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</si>
  <si>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</si>
  <si>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</si>
  <si>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</si>
  <si>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</si>
  <si>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</si>
  <si>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</si>
  <si>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</si>
  <si>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</si>
  <si>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</si>
  <si>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</si>
  <si>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</si>
  <si>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</si>
  <si>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</si>
  <si>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</si>
  <si>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</si>
  <si>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</si>
  <si>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</si>
  <si>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</si>
  <si>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</si>
  <si>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</si>
  <si>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</si>
  <si>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</si>
  <si>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</si>
  <si>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</si>
  <si>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</si>
  <si>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</si>
  <si>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</si>
  <si>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</si>
  <si>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</si>
  <si>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</si>
  <si>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</si>
  <si>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</si>
  <si>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</si>
  <si>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</si>
  <si>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</si>
  <si>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</si>
  <si>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</si>
  <si>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</si>
  <si>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</si>
  <si>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</si>
  <si>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</si>
  <si>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</si>
  <si>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</si>
  <si>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</si>
  <si>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</si>
  <si>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</si>
  <si>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</si>
  <si>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</si>
  <si>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</si>
  <si>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</si>
  <si>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</si>
  <si>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</si>
  <si>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</si>
  <si>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</si>
  <si>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</si>
  <si>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</si>
  <si>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</si>
  <si>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</si>
  <si>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</si>
  <si>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</si>
  <si>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</si>
  <si>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</si>
  <si>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</si>
  <si>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</si>
  <si>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</si>
  <si>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</si>
  <si>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</si>
  <si>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</si>
  <si>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</si>
  <si>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</si>
  <si>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</si>
  <si>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</si>
  <si>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</si>
  <si>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</si>
  <si>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</si>
  <si>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</si>
  <si>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</si>
  <si>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</si>
  <si>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</si>
  <si>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</si>
  <si>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</si>
  <si>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</si>
  <si>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</si>
  <si>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</si>
  <si>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</si>
  <si>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</si>
  <si>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</si>
  <si>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</si>
  <si>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</si>
  <si>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</si>
  <si>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</si>
  <si>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</si>
  <si>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</si>
  <si>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</si>
  <si>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</si>
  <si>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</si>
  <si>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</si>
  <si>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</si>
  <si>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</si>
  <si>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</si>
  <si>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</si>
  <si>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</si>
  <si>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</si>
  <si>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</si>
  <si>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</si>
  <si>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</si>
  <si>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</si>
  <si>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</si>
  <si>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</si>
  <si>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</si>
  <si>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</si>
  <si>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</si>
  <si>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</si>
  <si>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</si>
  <si>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</si>
  <si>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</si>
  <si>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</si>
  <si>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</si>
  <si>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</si>
  <si>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</si>
  <si>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</si>
  <si>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</si>
  <si>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</si>
  <si>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</si>
  <si>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</si>
  <si>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</si>
  <si>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</si>
  <si>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</si>
  <si>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</si>
  <si>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</si>
  <si>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</si>
  <si>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</si>
  <si>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</si>
  <si>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</si>
  <si>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</si>
  <si>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</si>
  <si>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</si>
  <si>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</si>
  <si>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</si>
  <si>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</si>
  <si>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</si>
  <si>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</si>
  <si>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</si>
  <si>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</si>
  <si>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</si>
  <si>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</si>
  <si>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</si>
  <si>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</si>
  <si>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</si>
  <si>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</si>
  <si>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</si>
  <si>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</si>
  <si>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</si>
  <si>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</si>
  <si>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</si>
  <si>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</si>
  <si>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</si>
  <si>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</si>
  <si>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</si>
  <si>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</si>
  <si>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</si>
  <si>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</si>
  <si>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</si>
  <si>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</si>
  <si>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</si>
  <si>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</si>
  <si>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</si>
  <si>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</si>
  <si>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</si>
  <si>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</si>
  <si>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</si>
  <si>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</si>
  <si>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</si>
  <si>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</si>
  <si>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</si>
  <si>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</si>
  <si>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</si>
  <si>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</si>
  <si>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</si>
  <si>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</si>
  <si>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</si>
  <si>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</si>
  <si>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</si>
  <si>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</si>
  <si>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</si>
  <si>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</si>
  <si>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</si>
  <si>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</si>
  <si>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</si>
  <si>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</si>
  <si>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</si>
  <si>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</si>
  <si>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</si>
  <si>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</si>
  <si>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</si>
  <si>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</si>
  <si>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</si>
  <si>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</si>
  <si>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Mario Enjuanes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</si>
  <si>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</si>
  <si>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</si>
  <si>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</si>
  <si>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</si>
  <si>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</si>
  <si>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</si>
  <si>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</si>
  <si>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</si>
  <si>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</si>
  <si>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</si>
  <si>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</si>
  <si>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</si>
  <si>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</si>
  <si>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</si>
  <si>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</si>
  <si>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</si>
  <si>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</si>
  <si>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</si>
  <si>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</si>
  <si>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</si>
  <si>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</si>
  <si>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</si>
  <si>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</si>
  <si>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</si>
  <si>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</si>
  <si>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</si>
  <si>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U</t>
  </si>
  <si>
    <t>C:\Users\eloi.verge\OneDrive - EUROLEAGUE\Desktop\GAME REPORTS\25-26</t>
  </si>
  <si>
    <t>Very good job! Just a reminder to be careful with missimg or missplaced actions. Keep it up!!</t>
  </si>
  <si>
    <t>07:12</t>
  </si>
  <si>
    <t>02:34</t>
  </si>
  <si>
    <t>09:36</t>
  </si>
  <si>
    <t>06:22</t>
  </si>
  <si>
    <t>07:54</t>
  </si>
  <si>
    <t>02:35</t>
  </si>
  <si>
    <t>01:21</t>
  </si>
  <si>
    <t>04:18</t>
  </si>
  <si>
    <t>02:13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</si>
</sst>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11" sqref="D11:G1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02</v>
      </c>
      <c r="D1" s="124" t="s">
        <v>743</v>
      </c>
      <c r="E1" s="125">
        <v>2025</v>
      </c>
      <c r="F1" s="120" t="str">
        <f>TEXT(C1,"00") &amp; "_" &amp; TEXT(C2,"000")&amp; "_" &amp; H4 &amp; "_" &amp; H5 &amp; "_" &amp; B2</f>
        <v>02_016_BES_LLI_U2025</v>
      </c>
      <c r="G1" s="5"/>
      <c r="H1" s="5"/>
      <c r="I1" s="5"/>
      <c r="J1" s="8" t="s">
        <v>707</v>
      </c>
      <c r="K1" s="121" t="s">
        <v>744</v>
      </c>
      <c r="L1" s="121"/>
      <c r="M1" s="122" t="s">
        <v>239</v>
      </c>
      <c r="N1" s="121" t="s">
        <v>744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45937.833333333336</v>
      </c>
      <c r="C3" s="157"/>
      <c r="D3" s="39">
        <v>0</v>
      </c>
      <c r="E3" s="29"/>
      <c r="F3" s="26">
        <f>SUBTOTAL(3,I17:I106)</f>
        <v>9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Besiktas GAIN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BES</v>
      </c>
      <c r="I4" s="5"/>
      <c r="J4" s="119" t="s">
        <v>714</v>
      </c>
      <c r="K4" s="54"/>
      <c r="L4" s="5"/>
      <c r="M4" s="167" t="s">
        <v>745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3</v>
      </c>
      <c r="V4" s="61">
        <f>+AC22</f>
        <v>4</v>
      </c>
      <c r="W4" s="61">
        <f>AC24</f>
        <v>1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London Lions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LLI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4</v>
      </c>
      <c r="W5" s="70">
        <f t="shared" si="1"/>
        <v>1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tr">
        <f>H8</f>
        <v>Data entry Name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tr">
        <f>I8</f>
        <v>Caller 1 Name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9</v>
      </c>
      <c r="N7" s="58"/>
      <c r="O7" s="2"/>
      <c r="P7" s="2"/>
      <c r="Q7" s="86">
        <f>SUM(R5,S5,AC16)</f>
        <v>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tr">
        <f>J8</f>
        <v>Caller 2 Name</v>
      </c>
      <c r="E8" s="182"/>
      <c r="F8" s="182"/>
      <c r="G8" s="183"/>
      <c r="H8" s="129" t="s">
        <v>709</v>
      </c>
      <c r="I8" s="129" t="s">
        <v>710</v>
      </c>
      <c r="J8" s="129" t="s">
        <v>711</v>
      </c>
      <c r="K8" s="129" t="s">
        <v>712</v>
      </c>
      <c r="L8" s="129" t="s">
        <v>713</v>
      </c>
      <c r="M8" s="129" t="s">
        <v>108</v>
      </c>
      <c r="N8" s="2"/>
      <c r="O8" s="2"/>
      <c r="P8" s="2"/>
      <c r="Q8" s="85">
        <f>SUM(R5:BA5)</f>
        <v>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tr">
        <f>K8</f>
        <v>Timerkeeper Name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tr">
        <f>L8</f>
        <v>Shotclock Name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716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1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9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16</v>
      </c>
      <c r="D17" s="32" t="s">
        <v>746</v>
      </c>
      <c r="E17" s="33">
        <v>1</v>
      </c>
      <c r="F17" s="36">
        <v>8</v>
      </c>
      <c r="G17" s="36">
        <v>4</v>
      </c>
      <c r="H17" s="38" t="str">
        <f>IF(I17="","",$I$14)</f>
        <v>SCOUTING</v>
      </c>
      <c r="I17" s="34">
        <v>27</v>
      </c>
      <c r="J17" s="13" t="s">
        <v>4</v>
      </c>
      <c r="K17" s="13" t="s">
        <v>62</v>
      </c>
      <c r="L17" s="13" t="s">
        <v>6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16</v>
      </c>
      <c r="D18" s="32" t="s">
        <v>747</v>
      </c>
      <c r="E18" s="33">
        <v>1</v>
      </c>
      <c r="F18" s="36">
        <v>17</v>
      </c>
      <c r="G18" s="36">
        <v>11</v>
      </c>
      <c r="H18" s="38" t="str">
        <f t="shared" ref="H18:H81" si="8">IF(I18="","",$I$14)</f>
        <v>SCOUTING</v>
      </c>
      <c r="I18" s="34">
        <v>114</v>
      </c>
      <c r="J18" s="13" t="s">
        <v>4</v>
      </c>
      <c r="K18" s="13" t="s">
        <v>62</v>
      </c>
      <c r="L18" s="13" t="s">
        <v>6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16</v>
      </c>
      <c r="D19" s="32" t="s">
        <v>748</v>
      </c>
      <c r="E19" s="33">
        <v>2</v>
      </c>
      <c r="F19" s="36">
        <v>26</v>
      </c>
      <c r="G19" s="36">
        <v>15</v>
      </c>
      <c r="H19" s="38" t="str">
        <f t="shared" si="8"/>
        <v>SCOUTING</v>
      </c>
      <c r="I19" s="34">
        <v>171</v>
      </c>
      <c r="J19" s="13" t="s">
        <v>4</v>
      </c>
      <c r="K19" s="13" t="s">
        <v>63</v>
      </c>
      <c r="L19" s="13" t="s">
        <v>47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U2025</v>
      </c>
      <c r="C20" s="31">
        <f t="shared" si="3"/>
        <v>16</v>
      </c>
      <c r="D20" s="32" t="s">
        <v>749</v>
      </c>
      <c r="E20" s="33">
        <v>2</v>
      </c>
      <c r="F20" s="36">
        <v>33</v>
      </c>
      <c r="G20" s="36">
        <v>16</v>
      </c>
      <c r="H20" s="38" t="str">
        <f t="shared" si="8"/>
        <v>SCOUTING</v>
      </c>
      <c r="I20" s="34">
        <v>224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U2025</v>
      </c>
      <c r="C21" s="31">
        <f t="shared" si="3"/>
        <v>16</v>
      </c>
      <c r="D21" s="32" t="s">
        <v>750</v>
      </c>
      <c r="E21" s="33">
        <v>3</v>
      </c>
      <c r="F21" s="36">
        <v>56</v>
      </c>
      <c r="G21" s="36">
        <v>44</v>
      </c>
      <c r="H21" s="38" t="str">
        <f t="shared" si="8"/>
        <v>SCOUTING</v>
      </c>
      <c r="I21" s="34">
        <v>355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>U2025</v>
      </c>
      <c r="C22" s="31">
        <f t="shared" si="3"/>
        <v>16</v>
      </c>
      <c r="D22" s="32" t="s">
        <v>751</v>
      </c>
      <c r="E22" s="33">
        <v>3</v>
      </c>
      <c r="F22" s="36">
        <v>64</v>
      </c>
      <c r="G22" s="36">
        <v>51</v>
      </c>
      <c r="H22" s="38" t="str">
        <f t="shared" si="8"/>
        <v>SCOUTING</v>
      </c>
      <c r="I22" s="34">
        <v>434</v>
      </c>
      <c r="J22" s="13" t="s">
        <v>4</v>
      </c>
      <c r="K22" s="13" t="s">
        <v>63</v>
      </c>
      <c r="L22" s="13" t="s">
        <v>6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>U2025</v>
      </c>
      <c r="C23" s="31">
        <f t="shared" si="3"/>
        <v>16</v>
      </c>
      <c r="D23" s="32" t="s">
        <v>752</v>
      </c>
      <c r="E23" s="33">
        <v>3</v>
      </c>
      <c r="F23" s="36">
        <v>69</v>
      </c>
      <c r="G23" s="36">
        <v>53</v>
      </c>
      <c r="H23" s="38" t="str">
        <f t="shared" si="8"/>
        <v>SCOUTING</v>
      </c>
      <c r="I23" s="34">
        <v>453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>U2025</v>
      </c>
      <c r="C24" s="31">
        <f t="shared" si="3"/>
        <v>16</v>
      </c>
      <c r="D24" s="32" t="s">
        <v>753</v>
      </c>
      <c r="E24" s="33">
        <v>4</v>
      </c>
      <c r="F24" s="36">
        <v>87</v>
      </c>
      <c r="G24" s="36">
        <v>63</v>
      </c>
      <c r="H24" s="38" t="str">
        <f t="shared" si="8"/>
        <v>SCOUTING</v>
      </c>
      <c r="I24" s="34">
        <v>550</v>
      </c>
      <c r="J24" s="13" t="s">
        <v>4</v>
      </c>
      <c r="K24" s="13" t="s">
        <v>63</v>
      </c>
      <c r="L24" s="13" t="s">
        <v>7</v>
      </c>
      <c r="M24" s="13" t="s">
        <v>22</v>
      </c>
      <c r="N24" s="35"/>
      <c r="O24" s="5" t="s">
        <v>47</v>
      </c>
      <c r="P24" s="5">
        <v>1</v>
      </c>
      <c r="Q24" s="84">
        <f t="shared" si="4"/>
        <v>1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>U2025</v>
      </c>
      <c r="C25" s="31">
        <f t="shared" si="3"/>
        <v>16</v>
      </c>
      <c r="D25" s="32" t="s">
        <v>754</v>
      </c>
      <c r="E25" s="33">
        <v>4</v>
      </c>
      <c r="F25" s="36">
        <v>95</v>
      </c>
      <c r="G25" s="36">
        <v>68</v>
      </c>
      <c r="H25" s="38" t="str">
        <f t="shared" si="8"/>
        <v>SCOUTING</v>
      </c>
      <c r="I25" s="34">
        <v>573</v>
      </c>
      <c r="J25" s="13" t="s">
        <v>4</v>
      </c>
      <c r="K25" s="13" t="s">
        <v>63</v>
      </c>
      <c r="L25" s="13" t="s">
        <v>6</v>
      </c>
      <c r="M25" s="13" t="s">
        <v>28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2fCmKILHW3+VjHglgQUrRqh4QVdsaQ3JqBhnmu+/C0+GqClQoaUZZIQ7AIJx0X09S7k71kdploqwjNB9xUrNiw==" saltValue="GCZEmY0464W2YV+qhSp06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8" sqref="D8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717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717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718</v>
      </c>
      <c r="K8" s="137" t="s">
        <v>719</v>
      </c>
      <c r="L8" s="137" t="s">
        <v>720</v>
      </c>
      <c r="M8" s="137" t="s">
        <v>721</v>
      </c>
      <c r="N8" s="140" t="s">
        <v>722</v>
      </c>
      <c r="O8" s="138" t="s">
        <v>723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724</v>
      </c>
      <c r="E12" s="137" t="s">
        <v>725</v>
      </c>
      <c r="F12" s="137" t="s">
        <v>726</v>
      </c>
      <c r="G12" s="137" t="s">
        <v>727</v>
      </c>
      <c r="H12" s="137" t="s">
        <v>728</v>
      </c>
      <c r="I12" s="138" t="s">
        <v>729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730</v>
      </c>
      <c r="E15" s="137" t="s">
        <v>731</v>
      </c>
      <c r="F15" s="137" t="s">
        <v>732</v>
      </c>
      <c r="G15" s="137" t="s">
        <v>733</v>
      </c>
      <c r="H15" s="137" t="s">
        <v>734</v>
      </c>
      <c r="I15" s="138" t="s">
        <v>735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/>
      <c r="E16" s="137"/>
      <c r="F16" s="137"/>
      <c r="G16" s="137"/>
      <c r="H16" s="137"/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736</v>
      </c>
      <c r="E20" s="137" t="s">
        <v>737</v>
      </c>
      <c r="F20" s="137" t="s">
        <v>738</v>
      </c>
      <c r="G20" s="137" t="s">
        <v>739</v>
      </c>
      <c r="H20" s="137" t="s">
        <v>740</v>
      </c>
      <c r="I20" s="138" t="s">
        <v>741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/>
      <c r="E30" s="137"/>
      <c r="F30" s="137"/>
      <c r="G30" s="137"/>
      <c r="H30" s="137"/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742</v>
      </c>
      <c r="E46" s="25" t="s">
        <v>719</v>
      </c>
      <c r="F46" s="25" t="s">
        <v>720</v>
      </c>
      <c r="G46" s="25" t="s">
        <v>721</v>
      </c>
      <c r="H46" s="25" t="s">
        <v>722</v>
      </c>
      <c r="I46" s="134" t="s">
        <v>723</v>
      </c>
    </row>
  </sheetData>
  <sheetProtection algorithmName="SHA-512" hashValue="IvGT1q7dU/P3WAj6sUEDE0B8G9eaNdEDQ0Gvy7S9yALv6qgClFAP4SQPjGkjQsrRTI32OW1JfQUFTvi2Z8gdpg==" saltValue="k1HIyoddlF62wo4SbIwQR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REPORT_U2025016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"U2025016"</v>
      </c>
      <c r="F3" s="45" t="str">
        <f t="shared" ref="F3:F16" si="0">""""&amp;B3&amp;"""" &amp; " : " &amp;C3&amp;","</f>
        <v>"name" : "U2025016",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"U016"</v>
      </c>
      <c r="F4" s="45" t="str">
        <f t="shared" si="0"/>
        <v>"cod" : "U016",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016</v>
      </c>
      <c r="F6" s="45" t="str">
        <f t="shared" si="0"/>
        <v>"number" : 016,</v>
      </c>
    </row>
    <row r="7" spans="2:6" x14ac:dyDescent="0.2">
      <c r="B7" s="43" t="s">
        <v>116</v>
      </c>
      <c r="C7" s="43" t="str">
        <f ca="1">""""&amp;TEXT('SCOUT &amp; LOGISTICS'!B3,"dd/mm/aaaa")&amp;""""</f>
        <v>"07/10/Tuesday"</v>
      </c>
      <c r="F7" s="45" t="str">
        <f t="shared" ca="1" si="0"/>
        <v>"date" : "07/10/Tuesday",</v>
      </c>
    </row>
    <row r="8" spans="2:6" x14ac:dyDescent="0.2">
      <c r="B8" s="43" t="s">
        <v>125</v>
      </c>
      <c r="C8" s="43" t="str">
        <f>""""&amp;'SCOUT &amp; LOGISTICS'!D4 &amp;""""</f>
        <v>"Besiktas GAIN Istanbul"</v>
      </c>
      <c r="F8" s="45" t="str">
        <f t="shared" si="0"/>
        <v>"home_team" : "Besiktas GAIN Istanbul",</v>
      </c>
    </row>
    <row r="9" spans="2:6" x14ac:dyDescent="0.2">
      <c r="B9" s="43" t="s">
        <v>126</v>
      </c>
      <c r="C9" s="43" t="str">
        <f>""""&amp;'SCOUT &amp; LOGISTICS'!D5&amp;""""</f>
        <v>"London Lions"</v>
      </c>
      <c r="F9" s="45" t="str">
        <f t="shared" si="0"/>
        <v>"away_team" : "London Lions",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1</v>
      </c>
      <c r="F49" s="45" t="str">
        <f>""""&amp;C49&amp;"""" &amp; " : " &amp;D49</f>
        <v>"points" : 1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 Just a reminder to be careful with missimg or missplaced actions. Keep it up!!"</v>
      </c>
      <c r="F51" s="45" t="str">
        <f>""""&amp;B51&amp;"""" &amp; " : " &amp;C51&amp;","</f>
        <v>"comments" : "Very good job! Just a reminder to be careful with missimg or missplaced actions. Keep it up!!",</v>
      </c>
    </row>
    <row r="52" spans="2:6" x14ac:dyDescent="0.2">
      <c r="B52" s="43" t="s">
        <v>153</v>
      </c>
      <c r="C52" s="43" t="str">
        <f>TEXT('SCOUT &amp; LOGISTICS'!F1,"0,0")</f>
        <v>02_016_BES_LLI_U2025</v>
      </c>
      <c r="F52" s="45" t="str">
        <f>""""&amp;B52&amp;"""" &amp; " : " &amp;C52</f>
        <v>"result" : 02_016_BES_LLI_U2025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U016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07/10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Besiktas Gain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London Lions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Data entry Name</v>
      </c>
      <c r="C8" s="206"/>
      <c r="D8" s="206"/>
      <c r="E8" s="206"/>
      <c r="F8" s="206"/>
      <c r="G8" s="206" t="str">
        <f>IF('SCOUT &amp; LOGISTICS'!D7="","",'SCOUT &amp; LOGISTICS'!D7)</f>
        <v>Caller 1 Name</v>
      </c>
      <c r="H8" s="206"/>
      <c r="I8" s="206"/>
      <c r="J8" s="206"/>
      <c r="K8" s="206"/>
      <c r="L8" s="206" t="str">
        <f>IF('SCOUT &amp; LOGISTICS'!D8="","",'SCOUT &amp; LOGISTICS'!D8)</f>
        <v>Caller 2 Name</v>
      </c>
      <c r="M8" s="206"/>
      <c r="N8" s="206"/>
      <c r="O8" s="206"/>
      <c r="P8" s="206"/>
      <c r="Q8" s="206" t="str">
        <f>IF('SCOUT &amp; LOGISTICS'!D9="","",'SCOUT &amp; LOGISTICS'!D9)</f>
        <v>Timerkeeper Name</v>
      </c>
      <c r="R8" s="206"/>
      <c r="S8" s="206"/>
      <c r="T8" s="206"/>
      <c r="U8" s="206"/>
      <c r="V8" s="206" t="str">
        <f>IF('SCOUT &amp; LOGISTICS'!D10="","",'SCOUT &amp; LOGISTICS'!D10)</f>
        <v>Shotclock Name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9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9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4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1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job! Just a reminder to be careful with missimg or missplaced actions. Keep it up!!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986DBBF-FB1E-4DF7-A897-20E8EBF83074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2025-10-07T17:03:09Z</cp:lastPrinted>
  <dcterms:created xsi:type="dcterms:W3CDTF">2023-09-19T19:50:35Z</dcterms:created>
  <dcterms:modified xsi:type="dcterms:W3CDTF">2025-10-07T19:45:04Z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