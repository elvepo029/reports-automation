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232" documentId="8_{CCC3E197-4DCB-44F7-BC3D-B393A94F2CB3}" xr6:coauthVersionLast="47" xr6:coauthVersionMax="47" xr10:uidLastSave="{DC923D54-5A9B-4C01-8199-F1497229143B}"/>
  <bookViews>
    <workbookView xWindow="-120" yWindow="-1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B3" i="1"/>
  <c r="B4" i="2" s="1"/>
  <c r="V27" i="2"/>
  <c r="Q27" i="2"/>
  <c r="Q29" i="2"/>
  <c r="AA27" i="2"/>
  <c r="V29" i="2"/>
  <c r="AF5" i="1"/>
  <c r="AE5" i="1"/>
  <c r="AD5" i="1"/>
  <c r="M9" i="1" l="1"/>
  <c r="L9" i="1"/>
  <c r="K9" i="1"/>
  <c r="J9" i="1"/>
  <c r="I9" i="1"/>
  <c r="H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<sst xmlns="http://schemas.openxmlformats.org/spreadsheetml/2006/main" count="3342" uniqueCount="769">
  <si>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</si>
  <si>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</si>
  <si>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</si>
  <si>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</si>
  <si>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</si>
  <si>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</si>
  <si>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</si>
  <si>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</si>
  <si>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</si>
  <si>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</si>
  <si>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</si>
  <si>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</si>
  <si>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</si>
  <si>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</si>
  <si>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</si>
  <si>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</si>
  <si>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</si>
  <si>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</si>
  <si>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</si>
  <si>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</si>
  <si>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</si>
  <si>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</si>
  <si>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</si>
  <si>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</si>
  <si>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</si>
  <si>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</si>
  <si>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</si>
  <si>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</si>
  <si>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</si>
  <si>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</si>
  <si>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</si>
  <si>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</si>
  <si>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</si>
  <si>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</si>
  <si>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</si>
  <si>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</si>
  <si>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</si>
  <si>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</si>
  <si>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</si>
  <si>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</si>
  <si>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</si>
  <si>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</si>
  <si>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</si>
  <si>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</si>
  <si>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</si>
  <si>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</si>
  <si>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</si>
  <si>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</si>
  <si>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</si>
  <si>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</si>
  <si>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</si>
  <si>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</si>
  <si>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</si>
  <si>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</si>
  <si>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</si>
  <si>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</si>
  <si>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</si>
  <si>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</si>
  <si>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</si>
  <si>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</si>
  <si>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</si>
  <si>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</si>
  <si>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</si>
  <si>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</si>
  <si>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</si>
  <si>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</si>
  <si>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</si>
  <si>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</si>
  <si>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</si>
  <si>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</si>
  <si>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</si>
  <si>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</si>
  <si>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</si>
  <si>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</si>
  <si>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</si>
  <si>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</si>
  <si>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</si>
  <si>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</si>
  <si>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</si>
  <si>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</si>
  <si>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</si>
  <si>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</si>
  <si>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</si>
  <si>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</si>
  <si>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</si>
  <si>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</si>
  <si>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</si>
  <si>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</si>
  <si>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</si>
  <si>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</si>
  <si>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</si>
  <si>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</si>
  <si>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</si>
  <si>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</si>
  <si>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</si>
  <si>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</si>
  <si>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</si>
  <si>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</si>
  <si>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</si>
  <si>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</si>
  <si>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</si>
  <si>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</si>
  <si>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</si>
  <si>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</si>
  <si>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</si>
  <si>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</si>
  <si>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</si>
  <si>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</si>
  <si>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</si>
  <si>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</si>
  <si>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</si>
  <si>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</si>
  <si>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</si>
  <si>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</si>
  <si>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</si>
  <si>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</si>
  <si>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</si>
  <si>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</si>
  <si>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</si>
  <si>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</si>
  <si>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</si>
  <si>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</si>
  <si>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</si>
  <si>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</si>
  <si>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</si>
  <si>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</si>
  <si>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</si>
  <si>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</si>
  <si>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</si>
  <si>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</si>
  <si>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</si>
  <si>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</si>
  <si>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</si>
  <si>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</si>
  <si>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</si>
  <si>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</si>
  <si>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</si>
  <si>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</si>
  <si>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</si>
  <si>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</si>
  <si>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</si>
  <si>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</si>
  <si>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</si>
  <si>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</si>
  <si>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</si>
  <si>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</si>
  <si>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</si>
  <si>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</si>
  <si>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</si>
  <si>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</si>
  <si>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</si>
  <si>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</si>
  <si>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</si>
  <si>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</si>
  <si>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</si>
  <si>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</si>
  <si>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</si>
  <si>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</si>
  <si>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</si>
  <si>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</si>
  <si>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</si>
  <si>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</si>
  <si>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</si>
  <si>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</si>
  <si>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</si>
  <si>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</si>
  <si>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</si>
  <si>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</si>
  <si>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</si>
  <si>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</si>
  <si>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</si>
  <si>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</si>
  <si>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</si>
  <si>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</si>
  <si>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</si>
  <si>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</si>
  <si>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</si>
  <si>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</si>
  <si>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</si>
  <si>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</si>
  <si>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</si>
  <si>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</si>
  <si>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</si>
  <si>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</si>
  <si>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</si>
  <si>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</si>
  <si>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</si>
  <si>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</si>
  <si>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</si>
  <si>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</si>
  <si>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</si>
  <si>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</si>
  <si>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</si>
  <si>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</si>
  <si>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</si>
  <si>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</si>
  <si>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</si>
  <si>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</si>
  <si>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</si>
  <si>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</si>
  <si>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</si>
  <si>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</si>
  <si>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</si>
  <si>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</si>
  <si>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</si>
  <si>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</si>
  <si>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</si>
  <si>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</si>
  <si>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</si>
  <si>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</si>
  <si>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</si>
  <si>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</si>
  <si>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</si>
  <si>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</si>
  <si>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</si>
  <si>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</si>
  <si>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</si>
  <si>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</si>
  <si>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</si>
  <si>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</si>
  <si>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</si>
  <si>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</si>
  <si>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</si>
  <si>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</si>
  <si>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</si>
  <si>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</si>
  <si>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</si>
  <si>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</si>
  <si>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</si>
  <si>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</si>
  <si>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</si>
  <si>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</si>
  <si>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</si>
  <si>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</si>
  <si>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</si>
  <si>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</si>
  <si>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</si>
  <si>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</si>
  <si>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</si>
  <si>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</si>
  <si>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</si>
  <si>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</si>
  <si>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</si>
  <si>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</si>
  <si>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</si>
  <si>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</si>
  <si>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</si>
  <si>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</si>
  <si>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</si>
  <si>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</si>
  <si>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</si>
  <si>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</si>
  <si>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</si>
  <si>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</si>
  <si>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</si>
  <si>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</si>
  <si>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</si>
  <si>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</si>
  <si>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</si>
  <si>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</si>
  <si>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</si>
  <si>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</si>
  <si>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</si>
  <si>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</si>
  <si>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</si>
  <si>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</si>
  <si>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</si>
  <si>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</si>
  <si>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</si>
  <si>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</si>
  <si>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</si>
  <si>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</si>
  <si>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</si>
  <si>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</si>
  <si>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</si>
  <si>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</si>
  <si>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</si>
  <si>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</si>
  <si>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</si>
  <si>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</si>
  <si>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</si>
  <si>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</si>
  <si>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</si>
  <si>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</si>
  <si>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</si>
  <si>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</si>
  <si>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</si>
  <si>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</si>
  <si>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</si>
  <si>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</si>
  <si>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</si>
  <si>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</si>
  <si>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</si>
  <si>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</si>
  <si>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</si>
  <si>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</si>
  <si>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</si>
  <si>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</si>
  <si>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</si>
  <si>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</si>
  <si>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</si>
  <si>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</si>
  <si>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</si>
  <si>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</si>
  <si>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</si>
  <si>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</si>
  <si>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</si>
  <si>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</si>
  <si>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</si>
  <si>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</si>
  <si>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</si>
  <si>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</si>
  <si>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</si>
  <si>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</si>
  <si>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</si>
  <si>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</si>
  <si>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</si>
  <si>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</si>
  <si>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</si>
  <si>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</si>
  <si>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</si>
  <si>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</si>
  <si>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</si>
  <si>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</si>
  <si>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</si>
  <si>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</si>
  <si>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</si>
  <si>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</si>
  <si>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</si>
  <si>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</si>
  <si>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</si>
  <si>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</si>
  <si>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</si>
  <si>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</si>
  <si>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</si>
  <si>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</si>
  <si>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</si>
  <si>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</si>
  <si>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</si>
  <si>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</si>
  <si>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</si>
  <si>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</si>
  <si>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</si>
  <si>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</si>
  <si>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</si>
  <si>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</si>
  <si>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</si>
  <si>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</si>
  <si>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</si>
  <si>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</si>
  <si>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</si>
  <si>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</si>
  <si>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</si>
  <si>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</si>
  <si>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</si>
  <si>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</si>
  <si>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</si>
  <si>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</si>
  <si>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</si>
  <si>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</si>
  <si>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</si>
  <si>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</si>
  <si>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</si>
  <si>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</si>
  <si>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</si>
  <si>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</si>
  <si>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</si>
  <si>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</si>
  <si>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</si>
  <si>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</si>
  <si>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</si>
  <si>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</si>
  <si>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</si>
  <si>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</si>
  <si>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</si>
  <si>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</si>
  <si>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</si>
  <si>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</si>
  <si>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</si>
  <si>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</si>
  <si>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</si>
  <si>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</si>
  <si>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</si>
  <si>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</si>
  <si>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</si>
  <si>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</si>
  <si>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</si>
  <si>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</si>
  <si>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</si>
  <si>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</si>
  <si>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</si>
  <si>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</si>
  <si>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</si>
  <si>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</si>
  <si>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</si>
  <si>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</si>
  <si>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</si>
  <si>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</si>
  <si>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</si>
  <si>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</si>
  <si>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</si>
  <si>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</si>
  <si>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</si>
  <si>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</si>
  <si>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</si>
  <si>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</si>
  <si>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</si>
  <si>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</si>
  <si>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</si>
  <si>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</si>
  <si>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</si>
  <si>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</si>
  <si>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</si>
  <si>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</si>
  <si>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</si>
  <si>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</si>
  <si>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</si>
  <si>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</si>
  <si>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</si>
  <si>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</si>
  <si>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</si>
  <si>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</si>
  <si>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</si>
  <si>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</si>
  <si>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</si>
  <si>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</si>
  <si>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</si>
  <si>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</si>
  <si>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</si>
  <si>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</si>
  <si>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</si>
  <si>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</si>
  <si>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</si>
  <si>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</si>
  <si>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</si>
  <si>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</si>
  <si>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</si>
  <si>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</si>
  <si>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</si>
  <si>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</si>
  <si>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</si>
  <si>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</si>
  <si>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</si>
  <si>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</si>
  <si>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</si>
  <si>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</si>
  <si>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</si>
  <si>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</si>
  <si>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</si>
  <si>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</si>
  <si>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</si>
  <si>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</si>
  <si>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</si>
  <si>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</si>
  <si>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</si>
  <si>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</si>
  <si>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</si>
  <si>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</si>
  <si>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</si>
  <si>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</si>
  <si>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</si>
  <si>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</si>
  <si>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</si>
  <si>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</si>
  <si>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</si>
  <si>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</si>
  <si>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</si>
  <si>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</si>
  <si>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</si>
  <si>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</si>
  <si>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</si>
  <si>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</si>
  <si>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</si>
  <si>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</si>
  <si>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</si>
  <si>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</si>
  <si>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</si>
  <si>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</si>
  <si>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</si>
  <si>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</si>
  <si>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</si>
  <si>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</si>
  <si>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</si>
  <si>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</si>
  <si>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</si>
  <si>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</si>
  <si>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</si>
  <si>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</si>
  <si>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</si>
  <si>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</si>
  <si>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</si>
  <si>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</si>
  <si>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</si>
  <si>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</si>
  <si>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</si>
  <si>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</si>
  <si>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</si>
  <si>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</si>
  <si>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</si>
  <si>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</si>
  <si>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</si>
  <si>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</si>
  <si>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</si>
  <si>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</si>
  <si>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</si>
  <si>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</si>
  <si>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</si>
  <si>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</si>
  <si>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</si>
  <si>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</si>
  <si>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</si>
  <si>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</si>
  <si>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</si>
  <si>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</si>
  <si>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</si>
  <si>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</si>
  <si>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</si>
  <si>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</si>
  <si>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</si>
  <si>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</si>
  <si>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</si>
  <si>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</si>
  <si>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</si>
  <si>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</si>
  <si>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</si>
  <si>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</si>
  <si>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</si>
  <si>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</si>
  <si>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</si>
  <si>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</si>
  <si>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</si>
  <si>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</si>
  <si>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</si>
  <si>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</si>
  <si>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</si>
  <si>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</si>
  <si>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</si>
  <si>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</si>
  <si>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</si>
  <si>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</si>
  <si>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</si>
  <si>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</si>
  <si>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</si>
  <si>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</si>
  <si>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</si>
  <si>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</si>
  <si>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</si>
  <si>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</si>
  <si>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</si>
  <si>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</si>
  <si>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</si>
  <si>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</si>
  <si>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</si>
  <si>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</si>
  <si>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</si>
  <si>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</si>
  <si>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</si>
  <si>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</si>
  <si>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</si>
  <si>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</si>
  <si>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</si>
  <si>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</si>
  <si>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</si>
  <si>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</si>
  <si>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</si>
  <si>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</si>
  <si>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</si>
  <si>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</si>
  <si>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</si>
  <si>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</si>
  <si>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</si>
  <si>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</si>
  <si>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</si>
  <si>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</si>
  <si>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</si>
  <si>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</si>
  <si>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</si>
  <si>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</si>
  <si>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</si>
  <si>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</si>
  <si>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</si>
  <si>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</si>
  <si>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</si>
  <si>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</si>
  <si>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</si>
  <si>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</si>
  <si>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</si>
  <si>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</si>
  <si>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</si>
  <si>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</si>
  <si>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</si>
  <si>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</si>
  <si>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</si>
  <si>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</si>
  <si>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</si>
  <si>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</si>
  <si>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</si>
  <si>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</si>
  <si>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</si>
  <si>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</si>
  <si>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</si>
  <si>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</si>
  <si>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</si>
  <si>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</si>
  <si>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</si>
  <si>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</si>
  <si>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</si>
  <si>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</si>
  <si>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</si>
  <si>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</si>
  <si>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</si>
  <si>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</si>
  <si>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</si>
  <si>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</si>
  <si>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</si>
  <si>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</si>
  <si>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</si>
  <si>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</si>
  <si>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</si>
  <si>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</si>
  <si>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</si>
  <si>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</si>
  <si>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</si>
  <si>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</si>
  <si>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</si>
  <si>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</si>
  <si>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</si>
  <si>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</si>
  <si>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</si>
  <si>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</si>
  <si>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</si>
  <si>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</si>
  <si>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</si>
  <si>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</si>
  <si>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</si>
  <si>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</si>
  <si>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</si>
  <si>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</si>
  <si>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</si>
  <si>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</si>
  <si>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</si>
  <si>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</si>
  <si>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</si>
  <si>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</si>
  <si>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</si>
  <si>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</si>
  <si>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</si>
  <si>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</si>
  <si>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</si>
  <si>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</si>
  <si>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</si>
  <si>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</si>
  <si>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</si>
  <si>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</si>
  <si>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</si>
  <si>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</si>
  <si>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</si>
  <si>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</si>
  <si>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</si>
  <si>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</si>
  <si>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</si>
  <si>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</si>
  <si>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</si>
  <si>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</si>
  <si>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</si>
  <si>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</si>
  <si>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</si>
  <si>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</si>
  <si>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</si>
  <si>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</si>
  <si>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</si>
  <si>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</si>
  <si>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</si>
  <si>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</si>
  <si>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</si>
  <si>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</si>
  <si>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</si>
  <si>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</si>
  <si>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</si>
  <si>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</si>
  <si>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</si>
  <si>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</si>
  <si>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</si>
  <si>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</si>
  <si>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</si>
  <si>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</si>
  <si>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</si>
  <si>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</si>
  <si>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</si>
  <si>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</si>
  <si>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</si>
  <si>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</si>
  <si>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</si>
  <si>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</si>
  <si>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</si>
  <si>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</si>
  <si>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</si>
  <si>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</si>
  <si>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</si>
  <si>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</si>
  <si>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</si>
  <si>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</si>
  <si>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</si>
  <si>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</si>
  <si>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</si>
  <si>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</si>
  <si>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</si>
  <si>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</si>
  <si>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</si>
  <si>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</si>
  <si>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</si>
  <si>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</si>
  <si>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</si>
  <si>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</si>
  <si>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</si>
  <si>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</si>
  <si>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</si>
  <si>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</si>
  <si>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</si>
  <si>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</si>
  <si>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</si>
  <si>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</si>
  <si>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</si>
  <si>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</si>
  <si>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</si>
  <si>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</si>
  <si>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</si>
  <si>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</si>
  <si>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</si>
  <si>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</si>
  <si>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</si>
  <si>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</si>
  <si>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</si>
  <si>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</si>
  <si>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</si>
  <si>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</si>
  <si>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</si>
  <si>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</si>
  <si>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</si>
  <si>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</si>
  <si>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</si>
  <si>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</si>
  <si>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</si>
  <si>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U</t>
  </si>
  <si>
    <t>Oriol Garcia</t>
  </si>
  <si>
    <t>GUILLAUME VORS</t>
  </si>
  <si>
    <t>MAXIME VASSELINE</t>
  </si>
  <si>
    <t>STEPHANE GUILLY</t>
  </si>
  <si>
    <t>NATHALIE LARUE</t>
  </si>
  <si>
    <t>SANDRINE BARNIER</t>
  </si>
  <si>
    <t>01:52</t>
  </si>
  <si>
    <t>09:30</t>
  </si>
  <si>
    <t>09:04</t>
  </si>
  <si>
    <t>06:59</t>
  </si>
  <si>
    <t>06:19</t>
  </si>
  <si>
    <t>03:18</t>
  </si>
  <si>
    <t>09:16</t>
  </si>
  <si>
    <t>08:21</t>
  </si>
  <si>
    <t>06:32</t>
  </si>
  <si>
    <t>04:35</t>
  </si>
  <si>
    <t>02:41</t>
  </si>
  <si>
    <t>00:26</t>
  </si>
  <si>
    <t>08:43</t>
  </si>
  <si>
    <t>05:23</t>
  </si>
  <si>
    <t>04:41</t>
  </si>
  <si>
    <t>00:16</t>
  </si>
  <si>
    <t>00:03</t>
  </si>
  <si>
    <t>This perfomance is not acceptable. The checklist was done without testing backup PC and not sharing captains, you were not aware about the correct pregame procedures. The communication was poor, even when we had critical things in game I got no answer. The scouting was not good, you missed 2 points and a foul was correctly credited in a short period of time. The criteria of Team RB is not clear, if no player have control of the ball it is TEAM RB. Please work on this things and make sure not won't repeat on next games.</t>
  </si>
  <si>
    <t>C:\Users\oriol.garcia\OneDrive - EUROLEAGUE\Documents\Season 25-26\Reports\Eurocup\JL Bourg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</si>
</sst>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31" sqref="N31"/>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02</v>
      </c>
      <c r="D1" s="124" t="s">
        <v>743</v>
      </c>
      <c r="E1" s="125">
        <v>2025</v>
      </c>
      <c r="F1" s="120" t="str">
        <f>TEXT(C1,"00") &amp; "_" &amp; TEXT(C2,"000")&amp; "_" &amp; H4 &amp; "_" &amp; H5 &amp; "_" &amp; B2</f>
        <v>02_019_BOU_TTK_U2025</v>
      </c>
      <c r="G1" s="5"/>
      <c r="H1" s="5"/>
      <c r="I1" s="5"/>
      <c r="J1" s="8" t="s">
        <v>707</v>
      </c>
      <c r="K1" s="121" t="s">
        <v>742</v>
      </c>
      <c r="L1" s="121"/>
      <c r="M1" s="122" t="s">
        <v>239</v>
      </c>
      <c r="N1" s="121" t="s">
        <v>768</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U2025</v>
      </c>
      <c r="C2" s="123">
        <v>19</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56">
        <f ca="1">IF(ISERROR(VLOOKUP($B$2&amp;TEXT($C$2,"000"),GAMES!$A$3:$I$562,8,FALSE)),NOW(),VLOOKUP($B$2&amp;TEXT($C$2,"000"),GAMES!$A$3:$I$562,8,FALSE))</f>
        <v>45938.8125</v>
      </c>
      <c r="C3" s="157"/>
      <c r="D3" s="39">
        <v>606</v>
      </c>
      <c r="E3" s="29"/>
      <c r="F3" s="26">
        <f>SUBTOTAL(3,I17:I106)</f>
        <v>22</v>
      </c>
      <c r="G3" s="27">
        <f>IF(OR(D3="",D3=0),"",F3/D3)</f>
        <v>3.6303630363036306E-2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3" t="s">
        <v>86</v>
      </c>
      <c r="C4" s="164"/>
      <c r="D4" s="160" t="str">
        <f>IF(ISERROR(VLOOKUP(H4,Teams!$B$2:$C$44,2,FALSE)),"Local Team",VLOOKUP(H4,Teams!$B$2:$C$44,2,FALSE))</f>
        <v>Cosea JL Bourg-en-Bresse</v>
      </c>
      <c r="E4" s="161"/>
      <c r="F4" s="161"/>
      <c r="G4" s="162"/>
      <c r="H4" s="118" t="str">
        <f>IF(ISERROR(VLOOKUP($B$2&amp;TEXT($C$2,"000"),GAMES!$A$3:$I$562,6,FALSE)),"LOC",VLOOKUP($B$2&amp;TEXT($C$2,"000"),GAMES!$A$3:$I$562,6,FALSE))</f>
        <v>BOU</v>
      </c>
      <c r="I4" s="5"/>
      <c r="J4" s="119" t="s">
        <v>714</v>
      </c>
      <c r="K4" s="54"/>
      <c r="L4" s="5"/>
      <c r="M4" s="167" t="s">
        <v>767</v>
      </c>
      <c r="N4" s="168"/>
      <c r="O4" s="2"/>
      <c r="P4" s="2"/>
      <c r="Q4" s="84" t="s">
        <v>175</v>
      </c>
      <c r="R4" s="94">
        <f>(IF(G3="",0,G3))</f>
        <v>3.6303630363036306E-2</v>
      </c>
      <c r="S4" s="61">
        <f>SUM(I13:M13)</f>
        <v>8</v>
      </c>
      <c r="T4" s="78"/>
      <c r="U4" s="61">
        <f>AC18</f>
        <v>10</v>
      </c>
      <c r="V4" s="61">
        <f>+AC22</f>
        <v>4</v>
      </c>
      <c r="W4" s="61">
        <f>AC24</f>
        <v>0</v>
      </c>
      <c r="X4" s="61">
        <f>AC29</f>
        <v>0</v>
      </c>
      <c r="Y4" s="61">
        <f>AC25</f>
        <v>1</v>
      </c>
      <c r="Z4" s="84">
        <f>AC23</f>
        <v>5</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65" t="s">
        <v>87</v>
      </c>
      <c r="C5" s="166"/>
      <c r="D5" s="173" t="str">
        <f>IF(ISERROR(VLOOKUP(H5,Teams!$B$2:$C$44,2,FALSE)),"Visitor Team",VLOOKUP(H5,Teams!$B$2:$C$44,2,FALSE))</f>
        <v>Turk Telekom Ankara</v>
      </c>
      <c r="E5" s="174"/>
      <c r="F5" s="174"/>
      <c r="G5" s="175"/>
      <c r="H5" s="118" t="str">
        <f>IF(ISERROR(VLOOKUP($B$2&amp;TEXT($C$2,"000"),GAMES!$A$3:$I$562,7,FALSE)),"VIS",VLOOKUP($B$2&amp;TEXT($C$2,"000"),GAMES!$A$3:$I$562,7,FALSE))</f>
        <v>TTK</v>
      </c>
      <c r="I5" s="5"/>
      <c r="J5" s="5"/>
      <c r="K5" s="5"/>
      <c r="L5" s="5"/>
      <c r="M5" s="169"/>
      <c r="N5" s="170"/>
      <c r="O5" s="2"/>
      <c r="P5" s="2"/>
      <c r="Q5" s="89" t="s">
        <v>174</v>
      </c>
      <c r="R5" s="94">
        <f>R4*R3</f>
        <v>3.6303630363036308</v>
      </c>
      <c r="S5" s="70">
        <f t="shared" ref="S5" si="0">S4*S3</f>
        <v>8</v>
      </c>
      <c r="T5" s="92"/>
      <c r="U5" s="70">
        <f t="shared" ref="U5:AG5" si="1">U4*U3</f>
        <v>5</v>
      </c>
      <c r="V5" s="70">
        <f t="shared" si="1"/>
        <v>4</v>
      </c>
      <c r="W5" s="70">
        <f t="shared" si="1"/>
        <v>0</v>
      </c>
      <c r="X5" s="70">
        <f t="shared" si="1"/>
        <v>0</v>
      </c>
      <c r="Y5" s="70">
        <f t="shared" si="1"/>
        <v>2</v>
      </c>
      <c r="Z5" s="89">
        <f t="shared" si="1"/>
        <v>12.5</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3" t="s">
        <v>95</v>
      </c>
      <c r="C6" s="164"/>
      <c r="D6" s="178" t="s">
        <v>745</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87" t="s">
        <v>96</v>
      </c>
      <c r="C7" s="188"/>
      <c r="D7" s="178" t="s">
        <v>746</v>
      </c>
      <c r="E7" s="179"/>
      <c r="F7" s="179"/>
      <c r="G7" s="180"/>
      <c r="H7" s="129" t="s">
        <v>709</v>
      </c>
      <c r="I7" s="129" t="s">
        <v>710</v>
      </c>
      <c r="J7" s="129" t="s">
        <v>711</v>
      </c>
      <c r="K7" s="129" t="s">
        <v>712</v>
      </c>
      <c r="L7" s="129" t="s">
        <v>713</v>
      </c>
      <c r="M7" s="58">
        <f>Q7</f>
        <v>70.130363036303635</v>
      </c>
      <c r="N7" s="58"/>
      <c r="O7" s="2"/>
      <c r="P7" s="2"/>
      <c r="Q7" s="86">
        <f>SUM(R5,S5,AC16)</f>
        <v>70.130363036303635</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65" t="s">
        <v>97</v>
      </c>
      <c r="C8" s="189"/>
      <c r="D8" s="181" t="s">
        <v>747</v>
      </c>
      <c r="E8" s="182"/>
      <c r="F8" s="182"/>
      <c r="G8" s="183"/>
      <c r="H8" s="129" t="s">
        <v>709</v>
      </c>
      <c r="I8" s="129" t="s">
        <v>710</v>
      </c>
      <c r="J8" s="129" t="s">
        <v>711</v>
      </c>
      <c r="K8" s="129" t="s">
        <v>712</v>
      </c>
      <c r="L8" s="129" t="s">
        <v>713</v>
      </c>
      <c r="M8" s="129" t="s">
        <v>108</v>
      </c>
      <c r="N8" s="2"/>
      <c r="O8" s="2"/>
      <c r="P8" s="2"/>
      <c r="Q8" s="85">
        <f>SUM(R5:BA5)</f>
        <v>50.130363036303635</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3" t="s">
        <v>98</v>
      </c>
      <c r="C9" s="190"/>
      <c r="D9" s="178" t="s">
        <v>748</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65" t="s">
        <v>99</v>
      </c>
      <c r="C10" s="189"/>
      <c r="D10" s="181" t="s">
        <v>749</v>
      </c>
      <c r="E10" s="182"/>
      <c r="F10" s="182"/>
      <c r="G10" s="183"/>
      <c r="H10" s="8"/>
      <c r="I10" s="10">
        <v>4</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76" t="s">
        <v>108</v>
      </c>
      <c r="C11" s="177"/>
      <c r="D11" s="191"/>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U2025</v>
      </c>
      <c r="G12" s="50">
        <f>IF(I12="","",$C$2)</f>
        <v>19</v>
      </c>
      <c r="H12" s="40">
        <f>$I$10</f>
        <v>4</v>
      </c>
      <c r="I12" s="14" t="s">
        <v>17</v>
      </c>
      <c r="J12" s="15" t="s">
        <v>15</v>
      </c>
      <c r="K12" s="15" t="s">
        <v>71</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5</v>
      </c>
      <c r="K13" s="5">
        <f>IF(ISERROR(VLOOKUP(K12,AT17:AU19,2,FALSE)),0,VLOOKUP(K12,AT17:AU19,2,FALSE))</f>
        <v>2</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76" t="s">
        <v>162</v>
      </c>
      <c r="C14" s="177"/>
      <c r="D14" s="184" t="s">
        <v>744</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22</v>
      </c>
      <c r="J15" s="24">
        <f>SUBTOTAL(3,J17:J106)</f>
        <v>22</v>
      </c>
      <c r="K15" s="24">
        <f>SUBTOTAL(3,K17:K106)</f>
        <v>22</v>
      </c>
      <c r="L15" s="24">
        <f>SUBTOTAL(3,L17:L106)</f>
        <v>22</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2</v>
      </c>
      <c r="X16" s="67" t="s">
        <v>58</v>
      </c>
      <c r="Y16" s="75">
        <f>SUM(Y17:Y24)</f>
        <v>22</v>
      </c>
      <c r="Z16" s="90" t="s">
        <v>110</v>
      </c>
      <c r="AA16" s="75">
        <f>SUM(AA17:AA24)</f>
        <v>22</v>
      </c>
      <c r="AB16" s="76" t="s">
        <v>54</v>
      </c>
      <c r="AC16" s="75">
        <f>SUM(AC17*AD17,AC18*AD18,AC19*AD19,AC20*AD20,AC21*AD21,AC22*AD22,AC23*AD23,AC24*AD24,AC25*AD25,AC26*AD26,AC27*AD27,AC28*AD28,AC29*AD29,AC30*AD30,AC30*AD30,AC31*AD31,AC32*AD32,AC33*AD33,AC34*AD34,AC35*AD35,AC36*AD36)</f>
        <v>58.5</v>
      </c>
      <c r="AD16" s="75">
        <f>SUM(AD17:AD24)</f>
        <v>45</v>
      </c>
      <c r="AE16" s="76" t="s">
        <v>42</v>
      </c>
      <c r="AF16" s="75">
        <f>SUM(AF17:AF24)</f>
        <v>15</v>
      </c>
      <c r="AG16" s="75">
        <f>SUM(AG17:AG21)</f>
        <v>22</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2.75" x14ac:dyDescent="0.25">
      <c r="A17" s="20"/>
      <c r="B17" s="31" t="str">
        <f t="shared" ref="B17:B48" si="2">IF(C17="","",$B$2)</f>
        <v>U2025</v>
      </c>
      <c r="C17" s="31">
        <f t="shared" ref="C17:C48" si="3">IF(I17="","",$C$2)</f>
        <v>19</v>
      </c>
      <c r="D17" s="32" t="s">
        <v>750</v>
      </c>
      <c r="E17" s="33">
        <v>1</v>
      </c>
      <c r="F17" s="36">
        <v>24</v>
      </c>
      <c r="G17" s="36">
        <v>12</v>
      </c>
      <c r="H17" s="38" t="str">
        <f>IF(I17="","",$I$14)</f>
        <v>SCOUTING</v>
      </c>
      <c r="I17" s="34">
        <v>102</v>
      </c>
      <c r="J17" s="13" t="s">
        <v>4</v>
      </c>
      <c r="K17" s="13" t="s">
        <v>62</v>
      </c>
      <c r="L17" s="13" t="s">
        <v>7</v>
      </c>
      <c r="M17" s="13" t="s">
        <v>168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20</v>
      </c>
      <c r="Z17" s="105" t="s">
        <v>63</v>
      </c>
      <c r="AA17" s="62">
        <f>COUNTIF($K$17:$K$106,Z17)</f>
        <v>11</v>
      </c>
      <c r="AB17" s="66" t="s">
        <v>19</v>
      </c>
      <c r="AC17" s="61">
        <f t="shared" ref="AC17:AC29" si="5">COUNTIF($L$17:$L$106,AB17)</f>
        <v>0</v>
      </c>
      <c r="AD17" s="61">
        <f t="shared" ref="AD17:AD25" si="6">P17</f>
        <v>10</v>
      </c>
      <c r="AE17" s="66" t="s">
        <v>11</v>
      </c>
      <c r="AF17" s="65">
        <f t="shared" ref="AF17:AF48" si="7">COUNTIF($M$17:$M$106,AE17)</f>
        <v>7</v>
      </c>
      <c r="AG17" s="62">
        <f>COUNTIF($E$17:$E$106,$AK17)</f>
        <v>3</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U2025</v>
      </c>
      <c r="C18" s="31">
        <f t="shared" si="3"/>
        <v>19</v>
      </c>
      <c r="D18" s="32" t="s">
        <v>750</v>
      </c>
      <c r="E18" s="33">
        <v>1</v>
      </c>
      <c r="F18" s="36">
        <v>24</v>
      </c>
      <c r="G18" s="36">
        <v>12</v>
      </c>
      <c r="H18" s="38" t="str">
        <f t="shared" ref="H18:H81" si="8">IF(I18="","",$I$14)</f>
        <v>SCOUTING</v>
      </c>
      <c r="I18" s="34">
        <v>103</v>
      </c>
      <c r="J18" s="13" t="s">
        <v>3</v>
      </c>
      <c r="K18" s="13" t="s">
        <v>63</v>
      </c>
      <c r="L18" s="13" t="s">
        <v>77</v>
      </c>
      <c r="M18" s="13" t="s">
        <v>39</v>
      </c>
      <c r="N18" s="35"/>
      <c r="O18" s="5" t="s">
        <v>5</v>
      </c>
      <c r="P18" s="5">
        <v>0.5</v>
      </c>
      <c r="Q18" s="84">
        <f t="shared" si="4"/>
        <v>0</v>
      </c>
      <c r="R18" s="5" t="s">
        <v>171</v>
      </c>
      <c r="U18" s="66" t="s">
        <v>21</v>
      </c>
      <c r="V18" s="65">
        <f t="shared" ref="V18:V24" si="9">COUNTIF($M$17:$M$106,$U18)</f>
        <v>0</v>
      </c>
      <c r="W18" s="70"/>
      <c r="X18" s="79" t="s">
        <v>3</v>
      </c>
      <c r="Y18" s="62">
        <f>COUNTIF($J$17:$J$106,X18)</f>
        <v>2</v>
      </c>
      <c r="Z18" s="105" t="s">
        <v>62</v>
      </c>
      <c r="AA18" s="62">
        <f>COUNTIF($K$17:$K$106,Z18)</f>
        <v>11</v>
      </c>
      <c r="AB18" s="66" t="s">
        <v>5</v>
      </c>
      <c r="AC18" s="61">
        <f t="shared" si="5"/>
        <v>10</v>
      </c>
      <c r="AD18" s="61">
        <f t="shared" si="6"/>
        <v>0.5</v>
      </c>
      <c r="AE18" s="66" t="s">
        <v>12</v>
      </c>
      <c r="AF18" s="65">
        <f t="shared" si="7"/>
        <v>1</v>
      </c>
      <c r="AG18" s="62">
        <f>COUNTIF($E$17:$E$106,$AK18)</f>
        <v>6</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U2025</v>
      </c>
      <c r="C19" s="31">
        <f t="shared" si="3"/>
        <v>19</v>
      </c>
      <c r="D19" s="32" t="s">
        <v>750</v>
      </c>
      <c r="E19" s="33">
        <v>1</v>
      </c>
      <c r="F19" s="36">
        <v>24</v>
      </c>
      <c r="G19" s="36">
        <v>12</v>
      </c>
      <c r="H19" s="38" t="str">
        <f t="shared" si="8"/>
        <v>SCOUTING</v>
      </c>
      <c r="I19" s="34">
        <v>104</v>
      </c>
      <c r="J19" s="13" t="s">
        <v>4</v>
      </c>
      <c r="K19" s="13" t="s">
        <v>63</v>
      </c>
      <c r="L19" s="13" t="s">
        <v>7</v>
      </c>
      <c r="M19" s="13" t="s">
        <v>11</v>
      </c>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1</v>
      </c>
      <c r="AD19" s="61">
        <f t="shared" si="6"/>
        <v>15</v>
      </c>
      <c r="AE19" s="66" t="s">
        <v>19</v>
      </c>
      <c r="AF19" s="65">
        <f t="shared" si="7"/>
        <v>0</v>
      </c>
      <c r="AG19" s="62">
        <f>COUNTIF($E$17:$E$106,$AK19)</f>
        <v>6</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1</v>
      </c>
      <c r="BG19" s="4"/>
      <c r="BH19" s="4"/>
      <c r="BI19" s="4"/>
      <c r="BJ19" s="4"/>
      <c r="BK19" s="4"/>
      <c r="BL19" s="4"/>
      <c r="BM19" s="4"/>
      <c r="BN19" s="4"/>
      <c r="BO19" s="4"/>
      <c r="BP19" s="4"/>
      <c r="BQ19" s="4"/>
      <c r="BR19" s="4"/>
      <c r="BS19" s="4"/>
    </row>
    <row r="20" spans="1:71" s="63" customFormat="1" ht="12.75" x14ac:dyDescent="0.25">
      <c r="A20" s="20"/>
      <c r="B20" s="31" t="str">
        <f t="shared" si="2"/>
        <v>U2025</v>
      </c>
      <c r="C20" s="31">
        <f t="shared" si="3"/>
        <v>19</v>
      </c>
      <c r="D20" s="32" t="s">
        <v>751</v>
      </c>
      <c r="E20" s="33">
        <v>2</v>
      </c>
      <c r="F20" s="36">
        <v>33</v>
      </c>
      <c r="G20" s="36">
        <v>17</v>
      </c>
      <c r="H20" s="38" t="str">
        <f t="shared" si="8"/>
        <v>SCOUTING</v>
      </c>
      <c r="I20" s="34">
        <v>147</v>
      </c>
      <c r="J20" s="13" t="s">
        <v>4</v>
      </c>
      <c r="K20" s="13" t="s">
        <v>62</v>
      </c>
      <c r="L20" s="13" t="s">
        <v>5</v>
      </c>
      <c r="M20" s="13" t="s">
        <v>11</v>
      </c>
      <c r="N20" s="35"/>
      <c r="O20" s="5" t="s">
        <v>24</v>
      </c>
      <c r="P20" s="5">
        <v>10</v>
      </c>
      <c r="Q20" s="84">
        <f t="shared" si="4"/>
        <v>0</v>
      </c>
      <c r="R20" s="5" t="s">
        <v>171</v>
      </c>
      <c r="U20" s="66" t="s">
        <v>29</v>
      </c>
      <c r="V20" s="65">
        <f t="shared" si="9"/>
        <v>1</v>
      </c>
      <c r="X20" s="82"/>
      <c r="Y20" s="83"/>
      <c r="Z20" s="88"/>
      <c r="AA20" s="65"/>
      <c r="AB20" s="66" t="s">
        <v>24</v>
      </c>
      <c r="AC20" s="61">
        <f t="shared" si="5"/>
        <v>0</v>
      </c>
      <c r="AD20" s="61">
        <f t="shared" si="6"/>
        <v>10</v>
      </c>
      <c r="AE20" s="66" t="s">
        <v>168</v>
      </c>
      <c r="AF20" s="65">
        <f t="shared" si="7"/>
        <v>6</v>
      </c>
      <c r="AG20" s="62">
        <f>COUNTIF($E$17:$E$106,$AK20)</f>
        <v>7</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U2025</v>
      </c>
      <c r="C21" s="31">
        <f t="shared" si="3"/>
        <v>19</v>
      </c>
      <c r="D21" s="32" t="s">
        <v>752</v>
      </c>
      <c r="E21" s="33">
        <v>2</v>
      </c>
      <c r="F21" s="36">
        <v>33</v>
      </c>
      <c r="G21" s="36">
        <v>21</v>
      </c>
      <c r="H21" s="38" t="str">
        <f t="shared" si="8"/>
        <v>SCOUTING</v>
      </c>
      <c r="I21" s="34">
        <v>153</v>
      </c>
      <c r="J21" s="13" t="s">
        <v>3</v>
      </c>
      <c r="K21" s="13" t="s">
        <v>62</v>
      </c>
      <c r="L21" s="13" t="s">
        <v>76</v>
      </c>
      <c r="M21" s="13" t="s">
        <v>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U2025</v>
      </c>
      <c r="C22" s="31">
        <f t="shared" si="3"/>
        <v>19</v>
      </c>
      <c r="D22" s="32" t="s">
        <v>753</v>
      </c>
      <c r="E22" s="33">
        <v>2</v>
      </c>
      <c r="F22" s="36">
        <v>35</v>
      </c>
      <c r="G22" s="36">
        <v>23</v>
      </c>
      <c r="H22" s="38" t="str">
        <f t="shared" si="8"/>
        <v>SCOUTING</v>
      </c>
      <c r="I22" s="34">
        <v>188</v>
      </c>
      <c r="J22" s="13" t="s">
        <v>4</v>
      </c>
      <c r="K22" s="13" t="s">
        <v>62</v>
      </c>
      <c r="L22" s="13" t="s">
        <v>5</v>
      </c>
      <c r="M22" s="13" t="s">
        <v>11</v>
      </c>
      <c r="N22" s="35"/>
      <c r="O22" s="5" t="s">
        <v>6</v>
      </c>
      <c r="P22" s="5">
        <v>1</v>
      </c>
      <c r="Q22" s="84">
        <f t="shared" si="4"/>
        <v>0</v>
      </c>
      <c r="R22" s="5"/>
      <c r="U22" s="66" t="s">
        <v>32</v>
      </c>
      <c r="V22" s="65">
        <f t="shared" si="9"/>
        <v>0</v>
      </c>
      <c r="X22" s="82"/>
      <c r="Y22" s="83"/>
      <c r="Z22" s="105"/>
      <c r="AA22" s="65"/>
      <c r="AB22" s="66" t="s">
        <v>6</v>
      </c>
      <c r="AC22" s="61">
        <f t="shared" si="5"/>
        <v>4</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U2025</v>
      </c>
      <c r="C23" s="31">
        <f t="shared" si="3"/>
        <v>19</v>
      </c>
      <c r="D23" s="32" t="s">
        <v>754</v>
      </c>
      <c r="E23" s="33">
        <v>2</v>
      </c>
      <c r="F23" s="36">
        <v>35</v>
      </c>
      <c r="G23" s="36">
        <v>25</v>
      </c>
      <c r="H23" s="38" t="str">
        <f t="shared" si="8"/>
        <v>SCOUTING</v>
      </c>
      <c r="I23" s="34">
        <v>196</v>
      </c>
      <c r="J23" s="13" t="s">
        <v>4</v>
      </c>
      <c r="K23" s="13" t="s">
        <v>63</v>
      </c>
      <c r="L23" s="13" t="s">
        <v>5</v>
      </c>
      <c r="M23" s="13" t="s">
        <v>28</v>
      </c>
      <c r="N23" s="35"/>
      <c r="O23" s="5" t="s">
        <v>7</v>
      </c>
      <c r="P23" s="5">
        <v>2.5</v>
      </c>
      <c r="Q23" s="84">
        <f t="shared" si="4"/>
        <v>0</v>
      </c>
      <c r="R23" s="5"/>
      <c r="U23" s="66" t="s">
        <v>33</v>
      </c>
      <c r="V23" s="65">
        <f t="shared" si="9"/>
        <v>0</v>
      </c>
      <c r="X23" s="82"/>
      <c r="Y23" s="83"/>
      <c r="Z23" s="105"/>
      <c r="AA23" s="65"/>
      <c r="AB23" s="66" t="s">
        <v>7</v>
      </c>
      <c r="AC23" s="61">
        <f t="shared" si="5"/>
        <v>5</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U2025</v>
      </c>
      <c r="C24" s="31">
        <f t="shared" si="3"/>
        <v>19</v>
      </c>
      <c r="D24" s="32" t="s">
        <v>755</v>
      </c>
      <c r="E24" s="33">
        <v>2</v>
      </c>
      <c r="F24" s="36">
        <v>43</v>
      </c>
      <c r="G24" s="36">
        <v>32</v>
      </c>
      <c r="H24" s="38" t="str">
        <f t="shared" si="8"/>
        <v>SCOUTING</v>
      </c>
      <c r="I24" s="34">
        <v>252</v>
      </c>
      <c r="J24" s="13" t="s">
        <v>4</v>
      </c>
      <c r="K24" s="13" t="s">
        <v>62</v>
      </c>
      <c r="L24" s="13" t="s">
        <v>5</v>
      </c>
      <c r="M24" s="13" t="s">
        <v>168</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U2025</v>
      </c>
      <c r="C25" s="31">
        <f t="shared" si="3"/>
        <v>19</v>
      </c>
      <c r="D25" s="32" t="s">
        <v>755</v>
      </c>
      <c r="E25" s="33">
        <v>2</v>
      </c>
      <c r="F25" s="36">
        <v>43</v>
      </c>
      <c r="G25" s="36">
        <v>32</v>
      </c>
      <c r="H25" s="38" t="str">
        <f t="shared" si="8"/>
        <v>SCOUTING</v>
      </c>
      <c r="I25" s="34">
        <v>254</v>
      </c>
      <c r="J25" s="13" t="s">
        <v>4</v>
      </c>
      <c r="K25" s="13" t="s">
        <v>62</v>
      </c>
      <c r="L25" s="13" t="s">
        <v>6</v>
      </c>
      <c r="M25" s="13" t="s">
        <v>22</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U2025</v>
      </c>
      <c r="C26" s="31">
        <f t="shared" si="3"/>
        <v>19</v>
      </c>
      <c r="D26" s="32" t="s">
        <v>756</v>
      </c>
      <c r="E26" s="33">
        <v>3</v>
      </c>
      <c r="F26" s="36">
        <v>52</v>
      </c>
      <c r="G26" s="36">
        <v>39</v>
      </c>
      <c r="H26" s="38" t="str">
        <f t="shared" si="8"/>
        <v>SCOUTING</v>
      </c>
      <c r="I26" s="34">
        <v>313</v>
      </c>
      <c r="J26" s="13" t="s">
        <v>4</v>
      </c>
      <c r="K26" s="13" t="s">
        <v>62</v>
      </c>
      <c r="L26" s="13" t="s">
        <v>5</v>
      </c>
      <c r="M26" s="13" t="s">
        <v>11</v>
      </c>
      <c r="N26" s="35"/>
      <c r="O26" s="5" t="s">
        <v>77</v>
      </c>
      <c r="P26" s="5">
        <v>20</v>
      </c>
      <c r="Q26" s="84">
        <f t="shared" si="4"/>
        <v>0</v>
      </c>
      <c r="R26" s="5" t="s">
        <v>172</v>
      </c>
      <c r="U26" s="73"/>
      <c r="X26" s="82"/>
      <c r="Y26" s="83"/>
      <c r="Z26" s="105"/>
      <c r="AA26" s="65"/>
      <c r="AB26" s="66" t="s">
        <v>77</v>
      </c>
      <c r="AC26" s="61">
        <f t="shared" si="5"/>
        <v>1</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U2025</v>
      </c>
      <c r="C27" s="31">
        <f t="shared" si="3"/>
        <v>19</v>
      </c>
      <c r="D27" s="32" t="s">
        <v>757</v>
      </c>
      <c r="E27" s="33">
        <v>3</v>
      </c>
      <c r="F27" s="36">
        <v>53</v>
      </c>
      <c r="G27" s="36">
        <v>41</v>
      </c>
      <c r="H27" s="38" t="str">
        <f t="shared" si="8"/>
        <v>SCOUTING</v>
      </c>
      <c r="I27" s="34">
        <v>326</v>
      </c>
      <c r="J27" s="13" t="s">
        <v>4</v>
      </c>
      <c r="K27" s="13" t="s">
        <v>62</v>
      </c>
      <c r="L27" s="13" t="s">
        <v>5</v>
      </c>
      <c r="M27" s="13" t="s">
        <v>11</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U2025</v>
      </c>
      <c r="C28" s="31">
        <f t="shared" si="3"/>
        <v>19</v>
      </c>
      <c r="D28" s="32" t="s">
        <v>758</v>
      </c>
      <c r="E28" s="33">
        <v>3</v>
      </c>
      <c r="F28" s="36">
        <v>53</v>
      </c>
      <c r="G28" s="36">
        <v>46</v>
      </c>
      <c r="H28" s="38" t="str">
        <f t="shared" si="8"/>
        <v>SCOUTING</v>
      </c>
      <c r="I28" s="34">
        <v>354</v>
      </c>
      <c r="J28" s="13" t="s">
        <v>4</v>
      </c>
      <c r="K28" s="13" t="s">
        <v>63</v>
      </c>
      <c r="L28" s="13" t="s">
        <v>5</v>
      </c>
      <c r="M28" s="13" t="s">
        <v>11</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U2025</v>
      </c>
      <c r="C29" s="31">
        <f t="shared" si="3"/>
        <v>19</v>
      </c>
      <c r="D29" s="32" t="s">
        <v>759</v>
      </c>
      <c r="E29" s="33">
        <v>3</v>
      </c>
      <c r="F29" s="36">
        <v>56</v>
      </c>
      <c r="G29" s="36">
        <v>47</v>
      </c>
      <c r="H29" s="38" t="str">
        <f t="shared" si="8"/>
        <v>SCOUTING</v>
      </c>
      <c r="I29" s="34">
        <v>380</v>
      </c>
      <c r="J29" s="13" t="s">
        <v>4</v>
      </c>
      <c r="K29" s="13" t="s">
        <v>62</v>
      </c>
      <c r="L29" s="13" t="s">
        <v>5</v>
      </c>
      <c r="M29" s="13" t="s">
        <v>11</v>
      </c>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U2025</v>
      </c>
      <c r="C30" s="31">
        <f t="shared" si="3"/>
        <v>19</v>
      </c>
      <c r="D30" s="32" t="s">
        <v>760</v>
      </c>
      <c r="E30" s="33">
        <v>3</v>
      </c>
      <c r="F30" s="36">
        <v>57</v>
      </c>
      <c r="G30" s="36">
        <v>54</v>
      </c>
      <c r="H30" s="38" t="str">
        <f t="shared" si="8"/>
        <v>SCOUTING</v>
      </c>
      <c r="I30" s="34">
        <v>403</v>
      </c>
      <c r="J30" s="13" t="s">
        <v>4</v>
      </c>
      <c r="K30" s="13" t="s">
        <v>62</v>
      </c>
      <c r="L30" s="13" t="s">
        <v>5</v>
      </c>
      <c r="M30" s="13" t="s">
        <v>168</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U2025</v>
      </c>
      <c r="C31" s="31">
        <f t="shared" si="3"/>
        <v>19</v>
      </c>
      <c r="D31" s="32" t="s">
        <v>761</v>
      </c>
      <c r="E31" s="33">
        <v>3</v>
      </c>
      <c r="F31" s="36">
        <v>60</v>
      </c>
      <c r="G31" s="36">
        <v>60</v>
      </c>
      <c r="H31" s="38" t="str">
        <f t="shared" si="8"/>
        <v>SCOUTING</v>
      </c>
      <c r="I31" s="34">
        <v>433</v>
      </c>
      <c r="J31" s="13" t="s">
        <v>4</v>
      </c>
      <c r="K31" s="13" t="s">
        <v>63</v>
      </c>
      <c r="L31" s="13" t="s">
        <v>6</v>
      </c>
      <c r="M31" s="13" t="s">
        <v>22</v>
      </c>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U2025</v>
      </c>
      <c r="C32" s="31">
        <f t="shared" si="3"/>
        <v>19</v>
      </c>
      <c r="D32" s="32" t="s">
        <v>762</v>
      </c>
      <c r="E32" s="33">
        <v>4</v>
      </c>
      <c r="F32" s="36">
        <v>63</v>
      </c>
      <c r="G32" s="36">
        <v>67</v>
      </c>
      <c r="H32" s="38" t="str">
        <f t="shared" si="8"/>
        <v>SCOUTING</v>
      </c>
      <c r="I32" s="34">
        <v>463</v>
      </c>
      <c r="J32" s="13" t="s">
        <v>4</v>
      </c>
      <c r="K32" s="13" t="s">
        <v>63</v>
      </c>
      <c r="L32" s="13" t="s">
        <v>6</v>
      </c>
      <c r="M32" s="13" t="s">
        <v>9</v>
      </c>
      <c r="N32" s="35"/>
      <c r="O32" s="5"/>
      <c r="P32" s="5"/>
      <c r="Q32" s="84">
        <f t="shared" si="4"/>
        <v>0</v>
      </c>
      <c r="R32" s="5"/>
      <c r="U32" s="73"/>
      <c r="X32" s="82"/>
      <c r="Y32" s="83"/>
      <c r="Z32" s="105"/>
      <c r="AA32" s="65"/>
      <c r="AB32" s="66"/>
      <c r="AC32" s="74"/>
      <c r="AD32" s="61"/>
      <c r="AE32" s="66" t="s">
        <v>29</v>
      </c>
      <c r="AF32" s="65">
        <f t="shared" si="7"/>
        <v>1</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U2025</v>
      </c>
      <c r="C33" s="31">
        <f t="shared" si="3"/>
        <v>19</v>
      </c>
      <c r="D33" s="32" t="s">
        <v>763</v>
      </c>
      <c r="E33" s="33">
        <v>4</v>
      </c>
      <c r="F33" s="36">
        <v>70</v>
      </c>
      <c r="G33" s="36">
        <v>71</v>
      </c>
      <c r="H33" s="38" t="str">
        <f t="shared" si="8"/>
        <v>SCOUTING</v>
      </c>
      <c r="I33" s="34">
        <v>509</v>
      </c>
      <c r="J33" s="13" t="s">
        <v>4</v>
      </c>
      <c r="K33" s="13" t="s">
        <v>63</v>
      </c>
      <c r="L33" s="13" t="s">
        <v>5</v>
      </c>
      <c r="M33" s="13" t="s">
        <v>168</v>
      </c>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U2025</v>
      </c>
      <c r="C34" s="31">
        <f t="shared" si="3"/>
        <v>19</v>
      </c>
      <c r="D34" s="32" t="s">
        <v>764</v>
      </c>
      <c r="E34" s="33">
        <v>4</v>
      </c>
      <c r="F34" s="36">
        <v>73</v>
      </c>
      <c r="G34" s="36">
        <v>71</v>
      </c>
      <c r="H34" s="38" t="str">
        <f t="shared" si="8"/>
        <v>SCOUTING</v>
      </c>
      <c r="I34" s="34">
        <v>517</v>
      </c>
      <c r="J34" s="13" t="s">
        <v>4</v>
      </c>
      <c r="K34" s="13" t="s">
        <v>63</v>
      </c>
      <c r="L34" s="13" t="s">
        <v>48</v>
      </c>
      <c r="M34" s="13" t="s">
        <v>29</v>
      </c>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U2025</v>
      </c>
      <c r="C35" s="31">
        <f t="shared" si="3"/>
        <v>19</v>
      </c>
      <c r="D35" s="32" t="s">
        <v>765</v>
      </c>
      <c r="E35" s="33">
        <v>4</v>
      </c>
      <c r="F35" s="36">
        <v>86</v>
      </c>
      <c r="G35" s="36">
        <v>80</v>
      </c>
      <c r="H35" s="38" t="str">
        <f t="shared" si="8"/>
        <v>SCOUTING</v>
      </c>
      <c r="I35" s="34">
        <v>593</v>
      </c>
      <c r="J35" s="13" t="s">
        <v>4</v>
      </c>
      <c r="K35" s="13" t="s">
        <v>63</v>
      </c>
      <c r="L35" s="13" t="s">
        <v>7</v>
      </c>
      <c r="M35" s="13" t="s">
        <v>168</v>
      </c>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U2025</v>
      </c>
      <c r="C36" s="31">
        <f t="shared" si="3"/>
        <v>19</v>
      </c>
      <c r="D36" s="32" t="s">
        <v>765</v>
      </c>
      <c r="E36" s="33">
        <v>4</v>
      </c>
      <c r="F36" s="36">
        <v>86</v>
      </c>
      <c r="G36" s="36">
        <v>80</v>
      </c>
      <c r="H36" s="38" t="str">
        <f t="shared" si="8"/>
        <v>SCOUTING</v>
      </c>
      <c r="I36" s="34">
        <v>594</v>
      </c>
      <c r="J36" s="13" t="s">
        <v>4</v>
      </c>
      <c r="K36" s="13" t="s">
        <v>63</v>
      </c>
      <c r="L36" s="13" t="s">
        <v>7</v>
      </c>
      <c r="M36" s="13" t="s">
        <v>9</v>
      </c>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U2025</v>
      </c>
      <c r="C37" s="31">
        <f t="shared" si="3"/>
        <v>19</v>
      </c>
      <c r="D37" s="32" t="s">
        <v>766</v>
      </c>
      <c r="E37" s="33">
        <v>4</v>
      </c>
      <c r="F37" s="36">
        <v>86</v>
      </c>
      <c r="G37" s="36">
        <v>80</v>
      </c>
      <c r="H37" s="38" t="str">
        <f t="shared" si="8"/>
        <v>SCOUTING</v>
      </c>
      <c r="I37" s="34">
        <v>597</v>
      </c>
      <c r="J37" s="13" t="s">
        <v>4</v>
      </c>
      <c r="K37" s="13" t="s">
        <v>63</v>
      </c>
      <c r="L37" s="13" t="s">
        <v>7</v>
      </c>
      <c r="M37" s="13" t="s">
        <v>12</v>
      </c>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U2025</v>
      </c>
      <c r="C38" s="31">
        <f t="shared" si="3"/>
        <v>19</v>
      </c>
      <c r="D38" s="32" t="s">
        <v>766</v>
      </c>
      <c r="E38" s="33">
        <v>4</v>
      </c>
      <c r="F38" s="36">
        <v>86</v>
      </c>
      <c r="G38" s="36">
        <v>80</v>
      </c>
      <c r="H38" s="38" t="str">
        <f t="shared" si="8"/>
        <v>SCOUTING</v>
      </c>
      <c r="I38" s="34">
        <v>598</v>
      </c>
      <c r="J38" s="13" t="s">
        <v>4</v>
      </c>
      <c r="K38" s="13" t="s">
        <v>62</v>
      </c>
      <c r="L38" s="13" t="s">
        <v>6</v>
      </c>
      <c r="M38" s="13" t="s">
        <v>168</v>
      </c>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2</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1</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7SogzE2IiUKxzOFNreW8e4r+i5vBBRRuWjomTnWzqq2qNiSKh3TM3l+4QLtda8MwY7U+xBuSE15PL4wXh1HDA==" saltValue="pT5OsinYYNdFDXJ0ccPKMw=="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8" sqref="D8"/>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c r="E16" s="137"/>
      <c r="F16" s="137"/>
      <c r="G16" s="137"/>
      <c r="H16" s="137"/>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c r="E30" s="137"/>
      <c r="F30" s="137"/>
      <c r="G30" s="137"/>
      <c r="H30" s="137"/>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sheetProtection algorithmName="SHA-512" hashValue="IvGT1q7dU/P3WAj6sUEDE0B8G9eaNdEDQ0Gvy7S9yALv6qgClFAP4SQPjGkjQsrRTI32OW1JfQUFTvi2Z8gdpg==" saltValue="k1HIyoddlF62wo4SbIwQR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REPORT_U2025019</v>
      </c>
    </row>
    <row r="2" spans="2:6" x14ac:dyDescent="0.2">
      <c r="F2" s="45" t="s">
        <v>157</v>
      </c>
    </row>
    <row r="3" spans="2:6" x14ac:dyDescent="0.2">
      <c r="B3" s="43" t="s">
        <v>156</v>
      </c>
      <c r="C3" s="43" t="str">
        <f>""""&amp;'SCOUT &amp; LOGISTICS'!B2&amp;TEXT('SCOUT &amp; LOGISTICS'!C2,"000")&amp;""""</f>
        <v>"U2025019"</v>
      </c>
      <c r="F3" s="45" t="str">
        <f t="shared" ref="F3:F16" si="0">""""&amp;B3&amp;"""" &amp; " : " &amp;C3&amp;","</f>
        <v>"name" : "U2025019",</v>
      </c>
    </row>
    <row r="4" spans="2:6" x14ac:dyDescent="0.2">
      <c r="B4" s="43" t="s">
        <v>119</v>
      </c>
      <c r="C4" s="43" t="str">
        <f>""""&amp;LEFT('SCOUT &amp; LOGISTICS'!B2,1) &amp; TEXT('SCOUT &amp; LOGISTICS'!C2,"000")&amp;""""</f>
        <v>"U019"</v>
      </c>
      <c r="F4" s="45" t="str">
        <f t="shared" si="0"/>
        <v>"cod" : "U019",</v>
      </c>
    </row>
    <row r="5" spans="2:6" x14ac:dyDescent="0.2">
      <c r="B5" s="43" t="s">
        <v>117</v>
      </c>
      <c r="C5" s="43" t="str">
        <f>""""&amp;LEFT('SCOUT &amp; LOGISTICS'!B2,1)&amp;""""</f>
        <v>"U"</v>
      </c>
      <c r="F5" s="45" t="str">
        <f t="shared" si="0"/>
        <v>"competition" : "U",</v>
      </c>
    </row>
    <row r="6" spans="2:6" x14ac:dyDescent="0.2">
      <c r="B6" s="43" t="s">
        <v>118</v>
      </c>
      <c r="C6" s="43" t="str">
        <f>TEXT('SCOUT &amp; LOGISTICS'!C2,"000")</f>
        <v>019</v>
      </c>
      <c r="F6" s="45" t="str">
        <f t="shared" si="0"/>
        <v>"number" : 019,</v>
      </c>
    </row>
    <row r="7" spans="2:6" x14ac:dyDescent="0.2">
      <c r="B7" s="43" t="s">
        <v>116</v>
      </c>
      <c r="C7" s="43" t="str">
        <f ca="1">""""&amp;TEXT('SCOUT &amp; LOGISTICS'!B3,"dd/mm/aaaa")&amp;""""</f>
        <v>"08/10/Wednesday"</v>
      </c>
      <c r="F7" s="45" t="str">
        <f t="shared" ca="1" si="0"/>
        <v>"date" : "08/10/Wednesday",</v>
      </c>
    </row>
    <row r="8" spans="2:6" x14ac:dyDescent="0.2">
      <c r="B8" s="43" t="s">
        <v>125</v>
      </c>
      <c r="C8" s="43" t="str">
        <f>""""&amp;'SCOUT &amp; LOGISTICS'!D4 &amp;""""</f>
        <v>"Cosea JL Bourg-en-Bresse"</v>
      </c>
      <c r="F8" s="45" t="str">
        <f t="shared" si="0"/>
        <v>"home_team" : "Cosea JL Bourg-en-Bresse",</v>
      </c>
    </row>
    <row r="9" spans="2:6" x14ac:dyDescent="0.2">
      <c r="B9" s="43" t="s">
        <v>126</v>
      </c>
      <c r="C9" s="43" t="str">
        <f>""""&amp;'SCOUT &amp; LOGISTICS'!D5&amp;""""</f>
        <v>"Turk Telekom Ankara"</v>
      </c>
      <c r="F9" s="45" t="str">
        <f t="shared" si="0"/>
        <v>"away_team" : "Turk Telekom Ankara",</v>
      </c>
    </row>
    <row r="10" spans="2:6" x14ac:dyDescent="0.2">
      <c r="B10" s="43" t="s">
        <v>127</v>
      </c>
      <c r="C10" s="43" t="str">
        <f>""""&amp;IF('SCOUT &amp; LOGISTICS'!D6="","",'SCOUT &amp; LOGISTICS'!D6)&amp;""""</f>
        <v>"GUILLAUME VORS"</v>
      </c>
      <c r="F10" s="45" t="str">
        <f t="shared" si="0"/>
        <v>"Data_entry" : "GUILLAUME VORS",</v>
      </c>
    </row>
    <row r="11" spans="2:6" x14ac:dyDescent="0.2">
      <c r="B11" s="43" t="s">
        <v>128</v>
      </c>
      <c r="C11" s="43" t="str">
        <f>""""&amp;IF('SCOUT &amp; LOGISTICS'!D7="","",'SCOUT &amp; LOGISTICS'!D7)&amp;""""</f>
        <v>"MAXIME VASSELINE"</v>
      </c>
      <c r="F11" s="45" t="str">
        <f t="shared" si="0"/>
        <v>"Caller_1" : "MAXIME VASSELINE",</v>
      </c>
    </row>
    <row r="12" spans="2:6" x14ac:dyDescent="0.2">
      <c r="B12" s="43" t="s">
        <v>129</v>
      </c>
      <c r="C12" s="43" t="str">
        <f>""""&amp;IF('SCOUT &amp; LOGISTICS'!D8="","",'SCOUT &amp; LOGISTICS'!D8)&amp;""""</f>
        <v>"STEPHANE GUILLY"</v>
      </c>
      <c r="F12" s="45" t="str">
        <f t="shared" si="0"/>
        <v>"Caller_2" : "STEPHANE GUILLY",</v>
      </c>
    </row>
    <row r="13" spans="2:6" x14ac:dyDescent="0.2">
      <c r="B13" s="43" t="s">
        <v>98</v>
      </c>
      <c r="C13" s="43" t="str">
        <f>""""&amp;IF('SCOUT &amp; LOGISTICS'!D9="","",'SCOUT &amp; LOGISTICS'!D9)&amp;""""</f>
        <v>"NATHALIE LARUE"</v>
      </c>
      <c r="F13" s="45" t="str">
        <f t="shared" si="0"/>
        <v>"Timerkeeper" : "NATHALIE LARUE",</v>
      </c>
    </row>
    <row r="14" spans="2:6" x14ac:dyDescent="0.2">
      <c r="B14" s="43" t="s">
        <v>99</v>
      </c>
      <c r="C14" s="43" t="str">
        <f>""""&amp;IF('SCOUT &amp; LOGISTICS'!D10="","",'SCOUT &amp; LOGISTICS'!D10)&amp;""""</f>
        <v>"SANDRINE BARNIER"</v>
      </c>
      <c r="F14" s="45" t="str">
        <f t="shared" si="0"/>
        <v>"Shotclock" : "SANDRINE BARNIER",</v>
      </c>
    </row>
    <row r="15" spans="2:6" x14ac:dyDescent="0.2">
      <c r="B15" s="43" t="s">
        <v>108</v>
      </c>
      <c r="C15" s="43" t="str">
        <f>""""&amp;IF('SCOUT &amp; LOGISTICS'!D11="","",'SCOUT &amp; LOGISTICS'!D11)&amp;""""</f>
        <v>""</v>
      </c>
      <c r="F15" s="45" t="str">
        <f t="shared" si="0"/>
        <v>"IRS" : "",</v>
      </c>
    </row>
    <row r="16" spans="2:6" x14ac:dyDescent="0.2">
      <c r="B16" s="43" t="s">
        <v>130</v>
      </c>
      <c r="C16" s="43" t="str">
        <f>""""&amp;IF('SCOUT &amp; LOGISTICS'!D14=0,"",'SCOUT &amp; LOGISTICS'!D14)&amp;""""</f>
        <v>"Oriol Garcia"</v>
      </c>
      <c r="F16" s="45" t="str">
        <f t="shared" si="0"/>
        <v>"Live_Game_Manager" : "Oriol Garcia",</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"NO"</v>
      </c>
      <c r="F19" s="45" t="str">
        <f>""""&amp;C19&amp;"""" &amp; " : " &amp;D19&amp;","</f>
        <v>"check_list_on_time" : "NO",</v>
      </c>
    </row>
    <row r="20" spans="2:6" x14ac:dyDescent="0.2">
      <c r="C20" s="43" t="s">
        <v>122</v>
      </c>
      <c r="D20" s="43" t="str">
        <f>""""&amp;IF('SCOUT &amp; LOGISTICS'!K12="","",'SCOUT &amp; LOGISTICS'!K12)&amp;""""</f>
        <v>"NOT FLUID"</v>
      </c>
      <c r="F20" s="45" t="str">
        <f>""""&amp;C20&amp;"""" &amp; " : " &amp;D20&amp;","</f>
        <v>"communication" : "NOT FLUID",</v>
      </c>
    </row>
    <row r="21" spans="2:6" x14ac:dyDescent="0.2">
      <c r="C21" s="43" t="s">
        <v>123</v>
      </c>
      <c r="D21" s="43" t="str">
        <f>""""&amp;IF('SCOUT &amp; LOGISTICS'!L12="","",'SCOUT &amp; LOGISTICS'!L12)&amp;""""</f>
        <v>"OK"</v>
      </c>
      <c r="F21" s="45" t="str">
        <f>""""&amp;C21&amp;"""" &amp; " : " &amp;D21&amp;","</f>
        <v>"corrections" : "OK",</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606</v>
      </c>
      <c r="F25" s="45" t="str">
        <f t="shared" ref="F25:F48" si="1">""""&amp;C25&amp;"""" &amp; " : " &amp;D25&amp;","</f>
        <v>"total_actions" : 606,</v>
      </c>
    </row>
    <row r="26" spans="2:6" x14ac:dyDescent="0.2">
      <c r="C26" s="43" t="s">
        <v>132</v>
      </c>
      <c r="D26" s="43">
        <f>'SCOUT &amp; LOGISTICS'!F3</f>
        <v>22</v>
      </c>
      <c r="F26" s="45" t="str">
        <f t="shared" si="1"/>
        <v>"total_correcions" : 22,</v>
      </c>
    </row>
    <row r="27" spans="2:6" x14ac:dyDescent="0.2">
      <c r="C27" s="43" t="s">
        <v>133</v>
      </c>
      <c r="D27" s="43" t="str">
        <f>""""&amp;IF(OR(D25="",D25=0),"",TEXT(D26/D25,"0,0%"))&amp;""""</f>
        <v>"04%"</v>
      </c>
      <c r="F27" s="45" t="str">
        <f t="shared" si="1"/>
        <v>"%_corrections" : "04%",</v>
      </c>
    </row>
    <row r="28" spans="2:6" x14ac:dyDescent="0.2">
      <c r="C28" s="43" t="s">
        <v>125</v>
      </c>
      <c r="D28" s="43">
        <f>IF('SCOUT &amp; LOGISTICS'!AA17="","",'SCOUT &amp; LOGISTICS'!AA17)</f>
        <v>11</v>
      </c>
      <c r="F28" s="45" t="str">
        <f t="shared" si="1"/>
        <v>"home_team" : 11,</v>
      </c>
    </row>
    <row r="29" spans="2:6" x14ac:dyDescent="0.2">
      <c r="C29" s="43" t="s">
        <v>134</v>
      </c>
      <c r="D29" s="43">
        <f>IF('SCOUT &amp; LOGISTICS'!AA18="","",'SCOUT &amp; LOGISTICS'!AA18)</f>
        <v>11</v>
      </c>
      <c r="F29" s="45" t="str">
        <f t="shared" si="1"/>
        <v>"no_team" : 11,</v>
      </c>
    </row>
    <row r="30" spans="2:6" x14ac:dyDescent="0.2">
      <c r="C30" s="43" t="s">
        <v>126</v>
      </c>
      <c r="D30" s="43">
        <f>IF('SCOUT &amp; LOGISTICS'!AA19="","",'SCOUT &amp; LOGISTICS'!AA19)</f>
        <v>0</v>
      </c>
      <c r="F30" s="45" t="str">
        <f t="shared" si="1"/>
        <v>"away_team" : 0,</v>
      </c>
    </row>
    <row r="31" spans="2:6" x14ac:dyDescent="0.2">
      <c r="C31" s="43" t="s">
        <v>135</v>
      </c>
      <c r="D31" s="43">
        <f>'SCOUT &amp; LOGISTICS'!AG17</f>
        <v>3</v>
      </c>
      <c r="F31" s="45" t="str">
        <f t="shared" si="1"/>
        <v>"q1" : 3,</v>
      </c>
    </row>
    <row r="32" spans="2:6" x14ac:dyDescent="0.2">
      <c r="C32" s="43" t="s">
        <v>136</v>
      </c>
      <c r="D32" s="43">
        <f>'SCOUT &amp; LOGISTICS'!AG18</f>
        <v>6</v>
      </c>
      <c r="F32" s="45" t="str">
        <f t="shared" si="1"/>
        <v>"q2" : 6,</v>
      </c>
    </row>
    <row r="33" spans="3:6" x14ac:dyDescent="0.2">
      <c r="C33" s="43" t="s">
        <v>137</v>
      </c>
      <c r="D33" s="43">
        <f>'SCOUT &amp; LOGISTICS'!AG19</f>
        <v>6</v>
      </c>
      <c r="F33" s="45" t="str">
        <f t="shared" si="1"/>
        <v>"q3" : 6,</v>
      </c>
    </row>
    <row r="34" spans="3:6" x14ac:dyDescent="0.2">
      <c r="C34" s="43" t="s">
        <v>138</v>
      </c>
      <c r="D34" s="43">
        <f>'SCOUT &amp; LOGISTICS'!AG20</f>
        <v>7</v>
      </c>
      <c r="F34" s="45" t="str">
        <f t="shared" si="1"/>
        <v>"q4" : 7,</v>
      </c>
    </row>
    <row r="35" spans="3:6" x14ac:dyDescent="0.2">
      <c r="C35" s="43" t="s">
        <v>59</v>
      </c>
      <c r="D35" s="43">
        <f>'SCOUT &amp; LOGISTICS'!AG21</f>
        <v>0</v>
      </c>
      <c r="F35" s="45" t="str">
        <f t="shared" si="1"/>
        <v>"et" : 0,</v>
      </c>
    </row>
    <row r="36" spans="3:6" x14ac:dyDescent="0.2">
      <c r="C36" s="43" t="s">
        <v>139</v>
      </c>
      <c r="D36" s="43">
        <f>'SCOUT &amp; LOGISTICS'!Y18</f>
        <v>2</v>
      </c>
      <c r="F36" s="45" t="str">
        <f t="shared" si="1"/>
        <v>"boxscore_corrections" : 2,</v>
      </c>
    </row>
    <row r="37" spans="3:6" x14ac:dyDescent="0.2">
      <c r="C37" s="43" t="s">
        <v>140</v>
      </c>
      <c r="D37" s="43">
        <f>'SCOUT &amp; LOGISTICS'!Y16</f>
        <v>22</v>
      </c>
      <c r="F37" s="45" t="str">
        <f t="shared" si="1"/>
        <v>"scoresheet_corrections" : 22,</v>
      </c>
    </row>
    <row r="38" spans="3:6" x14ac:dyDescent="0.2">
      <c r="C38" s="43" t="s">
        <v>141</v>
      </c>
      <c r="D38" s="43">
        <f>'SCOUT &amp; LOGISTICS'!AC17</f>
        <v>0</v>
      </c>
      <c r="F38" s="45" t="str">
        <f t="shared" si="1"/>
        <v>"criteria" : 0,</v>
      </c>
    </row>
    <row r="39" spans="3:6" x14ac:dyDescent="0.2">
      <c r="C39" s="43" t="s">
        <v>142</v>
      </c>
      <c r="D39" s="43">
        <f>'SCOUT &amp; LOGISTICS'!AC18</f>
        <v>10</v>
      </c>
      <c r="F39" s="45" t="str">
        <f t="shared" si="1"/>
        <v>"missidentity" : 10,</v>
      </c>
    </row>
    <row r="40" spans="3:6" x14ac:dyDescent="0.2">
      <c r="C40" s="43" t="s">
        <v>143</v>
      </c>
      <c r="D40" s="43">
        <f>'SCOUT &amp; LOGISTICS'!AC19</f>
        <v>1</v>
      </c>
      <c r="F40" s="45" t="str">
        <f t="shared" si="1"/>
        <v>"missing" : 1,</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5</v>
      </c>
      <c r="F46" s="45" t="str">
        <f t="shared" si="1"/>
        <v>"part_of_a_sequence" : 5,</v>
      </c>
    </row>
    <row r="47" spans="3:6" x14ac:dyDescent="0.2">
      <c r="C47" s="43" t="s">
        <v>149</v>
      </c>
      <c r="D47" s="43">
        <f>'SCOUT &amp; LOGISTICS'!AF39</f>
        <v>0</v>
      </c>
      <c r="F47" s="45" t="str">
        <f t="shared" si="1"/>
        <v>"time_out" : 0,</v>
      </c>
    </row>
    <row r="48" spans="3:6" x14ac:dyDescent="0.2">
      <c r="C48" s="43" t="s">
        <v>150</v>
      </c>
      <c r="D48" s="43">
        <f>'SCOUT &amp; LOGISTICS'!V16</f>
        <v>2</v>
      </c>
      <c r="F48" s="45" t="str">
        <f t="shared" si="1"/>
        <v>"fouls" : 2,</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"This perfomance is not acceptable. The checklist was done without testing backup PC and not sharing captains, you were not aware about the correct pregame procedures. The communication was poor, even when we had critical things in game I got no answer. The scouting was not good, you missed 2 points and a foul was correctly credited in a short period of time. The criteria of Team RB is not clear, if no player have control of the ball it is TEAM RB. Please work on this things and make sure not won't repeat on next games."</v>
      </c>
      <c r="F51" s="45" t="str">
        <f>""""&amp;B51&amp;"""" &amp; " : " &amp;C51&amp;","</f>
        <v>"comments" : "This perfomance is not acceptable. The checklist was done without testing backup PC and not sharing captains, you were not aware about the correct pregame procedures. The communication was poor, even when we had critical things in game I got no answer. The scouting was not good, you missed 2 points and a foul was correctly credited in a short period of time. The criteria of Team RB is not clear, if no player have control of the ball it is TEAM RB. Please work on this things and make sure not won't repeat on next games.",</v>
      </c>
    </row>
    <row r="52" spans="2:6" x14ac:dyDescent="0.2">
      <c r="B52" s="43" t="s">
        <v>153</v>
      </c>
      <c r="C52" s="43" t="str">
        <f>TEXT('SCOUT &amp; LOGISTICS'!F1,"0,0")</f>
        <v>02_019_BOU_TTK_U2025</v>
      </c>
      <c r="F52" s="45" t="str">
        <f>""""&amp;B52&amp;"""" &amp; " : " &amp;C52</f>
        <v>"result" : 02_019_BOU_TTK_U2025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2"/>
    <row r="2" spans="1:33" ht="42.6" customHeight="1" thickBot="1" x14ac:dyDescent="0.2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25">
      <c r="A3" s="48"/>
      <c r="B3" s="208" t="str">
        <f>"GAME: "&amp; LEFT('SCOUT &amp; LOGISTICS'!B2,1) &amp; TEXT('SCOUT &amp; LOGISTICS'!C2,"000") &amp; " " &amp; IF(LEFT('SCOUT &amp; LOGISTICS'!B2,1)="U","(EUROCUP)","(EUROLEAGUE)")</f>
        <v>GAME: U019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25">
      <c r="A4" s="48"/>
      <c r="B4" s="194" t="str">
        <f ca="1">"DATE: " &amp; TEXT('SCOUT &amp; LOGISTICS'!B3,"dd/mm")</f>
        <v>DATE: 08/10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00000000000001" customHeight="1" thickBot="1" x14ac:dyDescent="0.2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 customHeight="1" thickBot="1" x14ac:dyDescent="0.25">
      <c r="A6" s="48"/>
      <c r="B6" s="212" t="str">
        <f>PROPER('SCOUT &amp; LOGISTICS'!D4)</f>
        <v>Cosea Jl Bourg-En-Bresse</v>
      </c>
      <c r="C6" s="212"/>
      <c r="D6" s="212"/>
      <c r="E6" s="212"/>
      <c r="F6" s="212"/>
      <c r="G6" s="212"/>
      <c r="H6" s="212"/>
      <c r="I6" s="212"/>
      <c r="J6" s="212"/>
      <c r="K6" s="212"/>
      <c r="L6" s="212"/>
      <c r="M6" s="212"/>
      <c r="N6" s="212"/>
      <c r="O6" s="212"/>
      <c r="P6" s="212"/>
      <c r="Q6" s="212" t="str">
        <f>PROPER('SCOUT &amp; LOGISTICS'!D5)</f>
        <v>Turk Telekom Ankara</v>
      </c>
      <c r="R6" s="212"/>
      <c r="S6" s="212"/>
      <c r="T6" s="212"/>
      <c r="U6" s="212"/>
      <c r="V6" s="212"/>
      <c r="W6" s="212"/>
      <c r="X6" s="212"/>
      <c r="Y6" s="212"/>
      <c r="Z6" s="212"/>
      <c r="AA6" s="212"/>
      <c r="AB6" s="212"/>
      <c r="AC6" s="212"/>
      <c r="AD6" s="212"/>
      <c r="AE6" s="212"/>
      <c r="AF6" s="48"/>
    </row>
    <row r="7" spans="1:33" ht="19.5" customHeight="1" thickBot="1" x14ac:dyDescent="0.2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25">
      <c r="A8" s="48"/>
      <c r="B8" s="206" t="str">
        <f>IF('SCOUT &amp; LOGISTICS'!D6="","",'SCOUT &amp; LOGISTICS'!D6)</f>
        <v>GUILLAUME VORS</v>
      </c>
      <c r="C8" s="206"/>
      <c r="D8" s="206"/>
      <c r="E8" s="206"/>
      <c r="F8" s="206"/>
      <c r="G8" s="206" t="str">
        <f>IF('SCOUT &amp; LOGISTICS'!D7="","",'SCOUT &amp; LOGISTICS'!D7)</f>
        <v>MAXIME VASSELINE</v>
      </c>
      <c r="H8" s="206"/>
      <c r="I8" s="206"/>
      <c r="J8" s="206"/>
      <c r="K8" s="206"/>
      <c r="L8" s="206" t="str">
        <f>IF('SCOUT &amp; LOGISTICS'!D8="","",'SCOUT &amp; LOGISTICS'!D8)</f>
        <v>STEPHANE GUILLY</v>
      </c>
      <c r="M8" s="206"/>
      <c r="N8" s="206"/>
      <c r="O8" s="206"/>
      <c r="P8" s="206"/>
      <c r="Q8" s="206" t="str">
        <f>IF('SCOUT &amp; LOGISTICS'!D9="","",'SCOUT &amp; LOGISTICS'!D9)</f>
        <v>NATHALIE LARUE</v>
      </c>
      <c r="R8" s="206"/>
      <c r="S8" s="206"/>
      <c r="T8" s="206"/>
      <c r="U8" s="206"/>
      <c r="V8" s="206" t="str">
        <f>IF('SCOUT &amp; LOGISTICS'!D10="","",'SCOUT &amp; LOGISTICS'!D10)</f>
        <v>SANDRINE BARNIER</v>
      </c>
      <c r="W8" s="206"/>
      <c r="X8" s="206"/>
      <c r="Y8" s="206"/>
      <c r="Z8" s="206"/>
      <c r="AA8" s="206" t="str">
        <f>IF('SCOUT &amp; LOGISTICS'!D11="","",'SCOUT &amp; LOGISTICS'!D11)</f>
        <v/>
      </c>
      <c r="AB8" s="206"/>
      <c r="AC8" s="206"/>
      <c r="AD8" s="206"/>
      <c r="AE8" s="206"/>
      <c r="AF8" s="48"/>
    </row>
    <row r="9" spans="1:33" ht="13.5" thickBot="1" x14ac:dyDescent="0.25">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5" thickBot="1" x14ac:dyDescent="0.2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00000000000001" customHeight="1" thickBot="1" x14ac:dyDescent="0.2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7" t="str">
        <f>IF('SCOUT &amp; LOGISTICS'!I12="","",'SCOUT &amp; LOGISTICS'!I12)</f>
        <v>OK</v>
      </c>
      <c r="C13" s="207"/>
      <c r="D13" s="207"/>
      <c r="E13" s="207"/>
      <c r="F13" s="207"/>
      <c r="G13" s="207"/>
      <c r="H13" s="207" t="str">
        <f>IF('SCOUT &amp; LOGISTICS'!J12="","",'SCOUT &amp; LOGISTICS'!J12)</f>
        <v>NO</v>
      </c>
      <c r="I13" s="207"/>
      <c r="J13" s="207"/>
      <c r="K13" s="207"/>
      <c r="L13" s="207"/>
      <c r="M13" s="207"/>
      <c r="N13" s="207" t="str">
        <f>IF('SCOUT &amp; LOGISTICS'!K12="","",'SCOUT &amp; LOGISTICS'!K12)</f>
        <v>NOT FLUID</v>
      </c>
      <c r="O13" s="207"/>
      <c r="P13" s="207"/>
      <c r="Q13" s="207"/>
      <c r="R13" s="207"/>
      <c r="S13" s="207"/>
      <c r="T13" s="207" t="str">
        <f>IF('SCOUT &amp; LOGISTICS'!L12="","",'SCOUT &amp; LOGISTICS'!L12)</f>
        <v>OK</v>
      </c>
      <c r="U13" s="207"/>
      <c r="V13" s="207"/>
      <c r="W13" s="207"/>
      <c r="X13" s="207"/>
      <c r="Y13" s="207"/>
      <c r="Z13" s="207" t="str">
        <f>IF('SCOUT &amp; LOGISTICS'!M12="","",'SCOUT &amp; LOGISTICS'!M12)</f>
        <v>NO</v>
      </c>
      <c r="AA13" s="207"/>
      <c r="AB13" s="207"/>
      <c r="AC13" s="207"/>
      <c r="AD13" s="207"/>
      <c r="AE13" s="207"/>
      <c r="AF13" s="48"/>
    </row>
    <row r="14" spans="1:33" s="48" customFormat="1" ht="13.5" thickBot="1" x14ac:dyDescent="0.2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00000000000001" customHeight="1" thickBot="1" x14ac:dyDescent="0.2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4">
        <f>'SCOUT &amp; LOGISTICS'!D3</f>
        <v>606</v>
      </c>
      <c r="C17" s="204"/>
      <c r="D17" s="204"/>
      <c r="E17" s="204"/>
      <c r="F17" s="204"/>
      <c r="G17" s="204"/>
      <c r="H17" s="204"/>
      <c r="I17" s="204"/>
      <c r="J17" s="204"/>
      <c r="K17" s="204"/>
      <c r="L17" s="204">
        <f>'SCOUT &amp; LOGISTICS'!F3</f>
        <v>22</v>
      </c>
      <c r="M17" s="204"/>
      <c r="N17" s="204"/>
      <c r="O17" s="204"/>
      <c r="P17" s="204"/>
      <c r="Q17" s="204"/>
      <c r="R17" s="204"/>
      <c r="S17" s="204"/>
      <c r="T17" s="204"/>
      <c r="U17" s="204"/>
      <c r="V17" s="205">
        <f>IF(OR(B17="",B17=0),"",L17/B17)</f>
        <v>3.6303630363036306E-2</v>
      </c>
      <c r="W17" s="205"/>
      <c r="X17" s="205"/>
      <c r="Y17" s="205"/>
      <c r="Z17" s="205"/>
      <c r="AA17" s="205"/>
      <c r="AB17" s="205"/>
      <c r="AC17" s="205"/>
      <c r="AD17" s="205"/>
      <c r="AE17" s="205"/>
      <c r="AF17" s="48"/>
    </row>
    <row r="18" spans="1:32" s="48" customFormat="1" ht="13.5" thickBot="1" x14ac:dyDescent="0.2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7">
        <f>IF('SCOUT &amp; LOGISTICS'!AA17="","",'SCOUT &amp; LOGISTICS'!AA17)</f>
        <v>11</v>
      </c>
      <c r="C20" s="197"/>
      <c r="D20" s="197"/>
      <c r="E20" s="197"/>
      <c r="F20" s="197"/>
      <c r="G20" s="197"/>
      <c r="H20" s="197"/>
      <c r="I20" s="197"/>
      <c r="J20" s="197"/>
      <c r="K20" s="197"/>
      <c r="L20" s="197">
        <f>IF('SCOUT &amp; LOGISTICS'!AA18="","",'SCOUT &amp; LOGISTICS'!AA18)</f>
        <v>11</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7">
        <f>'SCOUT &amp; LOGISTICS'!AG17</f>
        <v>3</v>
      </c>
      <c r="C22" s="197"/>
      <c r="D22" s="197"/>
      <c r="E22" s="197"/>
      <c r="F22" s="197"/>
      <c r="G22" s="197"/>
      <c r="H22" s="197">
        <f>'SCOUT &amp; LOGISTICS'!AG18</f>
        <v>6</v>
      </c>
      <c r="I22" s="197"/>
      <c r="J22" s="197"/>
      <c r="K22" s="197"/>
      <c r="L22" s="197"/>
      <c r="M22" s="197"/>
      <c r="N22" s="197">
        <f>'SCOUT &amp; LOGISTICS'!AG19</f>
        <v>6</v>
      </c>
      <c r="O22" s="197"/>
      <c r="P22" s="197"/>
      <c r="Q22" s="197"/>
      <c r="R22" s="197"/>
      <c r="S22" s="197"/>
      <c r="T22" s="197">
        <f>'SCOUT &amp; LOGISTICS'!AG20</f>
        <v>7</v>
      </c>
      <c r="U22" s="197"/>
      <c r="V22" s="197"/>
      <c r="W22" s="197"/>
      <c r="X22" s="197"/>
      <c r="Y22" s="197"/>
      <c r="Z22" s="197">
        <f>IF('SCOUT &amp; LOGISTICS'!AG21="","",'SCOUT &amp; LOGISTICS'!AG21)</f>
        <v>0</v>
      </c>
      <c r="AA22" s="197"/>
      <c r="AB22" s="197"/>
      <c r="AC22" s="197"/>
      <c r="AD22" s="197"/>
      <c r="AE22" s="197"/>
      <c r="AF22" s="48"/>
    </row>
    <row r="23" spans="1:32" s="48" customFormat="1" ht="13.5" thickBot="1" x14ac:dyDescent="0.2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7">
        <f>'SCOUT &amp; LOGISTICS'!Y17</f>
        <v>20</v>
      </c>
      <c r="C25" s="197"/>
      <c r="D25" s="197"/>
      <c r="E25" s="197"/>
      <c r="F25" s="197"/>
      <c r="G25" s="197"/>
      <c r="H25" s="197"/>
      <c r="I25" s="197"/>
      <c r="J25" s="197"/>
      <c r="K25" s="197"/>
      <c r="L25" s="197"/>
      <c r="M25" s="197"/>
      <c r="N25" s="197"/>
      <c r="O25" s="197"/>
      <c r="P25" s="197"/>
      <c r="Q25" s="197">
        <f>'SCOUT &amp; LOGISTICS'!Y18</f>
        <v>2</v>
      </c>
      <c r="R25" s="197"/>
      <c r="S25" s="197"/>
      <c r="T25" s="197"/>
      <c r="U25" s="197"/>
      <c r="V25" s="197"/>
      <c r="W25" s="197"/>
      <c r="X25" s="197"/>
      <c r="Y25" s="197"/>
      <c r="Z25" s="197"/>
      <c r="AA25" s="197"/>
      <c r="AB25" s="197"/>
      <c r="AC25" s="197"/>
      <c r="AD25" s="197"/>
      <c r="AE25" s="197"/>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00000000000001" customHeight="1" thickBot="1" x14ac:dyDescent="0.25">
      <c r="A27" s="48"/>
      <c r="B27" s="197">
        <f>'SCOUT &amp; LOGISTICS'!AC18</f>
        <v>10</v>
      </c>
      <c r="C27" s="197"/>
      <c r="D27" s="197"/>
      <c r="E27" s="197"/>
      <c r="F27" s="197"/>
      <c r="G27" s="197">
        <f>'SCOUT &amp; LOGISTICS'!AC22</f>
        <v>4</v>
      </c>
      <c r="H27" s="197"/>
      <c r="I27" s="197"/>
      <c r="J27" s="197"/>
      <c r="K27" s="197"/>
      <c r="L27" s="197">
        <f>'SCOUT &amp; LOGISTICS'!AC23</f>
        <v>5</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2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7">
        <f>'SCOUT &amp; LOGISTICS'!AC25</f>
        <v>1</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1</v>
      </c>
      <c r="W29" s="197"/>
      <c r="X29" s="197"/>
      <c r="Y29" s="197"/>
      <c r="Z29" s="197"/>
      <c r="AA29" s="197">
        <f>'SCOUT &amp; LOGISTICS'!AC26</f>
        <v>1</v>
      </c>
      <c r="AB29" s="197"/>
      <c r="AC29" s="197"/>
      <c r="AD29" s="197"/>
      <c r="AE29" s="197"/>
      <c r="AF29" s="48"/>
    </row>
    <row r="30" spans="1:32" s="48" customFormat="1" ht="13.5" thickBot="1" x14ac:dyDescent="0.2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00000000000001" customHeight="1" thickBot="1" x14ac:dyDescent="0.2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 customHeight="1" thickBot="1" x14ac:dyDescent="0.25">
      <c r="A32" s="48"/>
      <c r="B32" s="195" t="str">
        <f>IF('SCOUT &amp; LOGISTICS'!M4="","",'SCOUT &amp; LOGISTICS'!M4)</f>
        <v>This perfomance is not acceptable. The checklist was done without testing backup PC and not sharing captains, you were not aware about the correct pregame procedures. The communication was poor, even when we had critical things in game I got no answer. The scouting was not good, you missed 2 points and a foul was correctly credited in a short period of time. The criteria of Team RB is not clear, if no player have control of the ball it is TEAM RB. Please work on this things and make sure not won't repeat on next games.</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00000000000001" customHeight="1" thickBot="1" x14ac:dyDescent="0.2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00000000000001" customHeight="1" thickBot="1" x14ac:dyDescent="0.2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196">
        <f>'SCOUT &amp; LOGISTICS'!M7</f>
        <v>70.130363036303635</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42259F5A-2859-4F5E-8D4C-D540AC25B230}"/>
</file>

<file path=customXml/itemProps3.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2025-10-08T14:24:56Z</cp:lastPrinted>
  <dcterms:created xsi:type="dcterms:W3CDTF">2023-09-19T19:50:35Z</dcterms:created>
  <dcterms:modified xsi:type="dcterms:W3CDTF">2025-10-08T20:55:04Z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