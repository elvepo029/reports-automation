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94" documentId="8_{92A1098A-DAB0-419F-A5D5-045766312EAD}" xr6:coauthVersionLast="47" xr6:coauthVersionMax="47" xr10:uidLastSave="{6C096075-C58B-4F53-9AE5-C7781A195E6C}"/>
  <bookViews>
    <workbookView xWindow="-60" yWindow="-163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<sst xmlns="http://schemas.openxmlformats.org/spreadsheetml/2006/main" count="325" uniqueCount="198">
  <si>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</si>
  <si>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</si>
  <si>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</si>
  <si>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</si>
  <si>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</si>
  <si>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</si>
  <si>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</si>
  <si>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</si>
  <si>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</si>
  <si>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</si>
  <si>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</si>
  <si>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</si>
  <si>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</si>
  <si>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</si>
  <si>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</si>
  <si>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</si>
  <si>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</si>
  <si>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</si>
  <si>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</si>
  <si>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</si>
  <si>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</si>
  <si>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</si>
  <si>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</si>
  <si>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</si>
  <si>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</si>
  <si>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</si>
  <si>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</si>
  <si>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</si>
  <si>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</si>
  <si>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</si>
  <si>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</si>
  <si>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</si>
  <si>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</si>
  <si>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</si>
  <si>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</si>
  <si>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</si>
  <si>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</si>
  <si>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</si>
  <si>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</si>
  <si>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</si>
  <si>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</si>
  <si>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</si>
  <si>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</si>
  <si>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</si>
  <si>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</si>
  <si>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</si>
  <si>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</si>
  <si>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</si>
  <si>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</si>
  <si>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</si>
  <si>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</si>
  <si>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</si>
  <si>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</si>
  <si>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</si>
  <si>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</si>
  <si>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</si>
  <si>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</si>
  <si>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</si>
  <si>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</si>
  <si>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</si>
  <si>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</si>
  <si>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</si>
  <si>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</si>
  <si>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</si>
  <si>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</si>
  <si>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</si>
  <si>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</si>
  <si>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</si>
  <si>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</si>
  <si>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</si>
  <si>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</si>
  <si>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</si>
  <si>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</si>
  <si>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</si>
  <si>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</si>
  <si>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</si>
  <si>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</si>
  <si>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</si>
  <si>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</si>
  <si>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</si>
  <si>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</si>
  <si>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</si>
  <si>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</si>
  <si>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</si>
  <si>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</si>
  <si>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</si>
  <si>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</si>
  <si>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</si>
  <si>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</si>
  <si>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</si>
  <si>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</si>
  <si>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</si>
  <si>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</si>
  <si>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</si>
  <si>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</si>
  <si>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</si>
  <si>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</si>
  <si>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</si>
  <si>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</si>
  <si>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</si>
  <si>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</si>
  <si>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</si>
  <si>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</si>
  <si>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</si>
  <si>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</si>
  <si>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</si>
  <si>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</si>
  <si>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</si>
  <si>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</si>
  <si>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</si>
  <si>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</si>
  <si>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</si>
  <si>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</si>
  <si>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</si>
  <si>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</si>
  <si>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</si>
  <si>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</si>
  <si>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</si>
  <si>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</si>
  <si>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</si>
  <si>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</si>
  <si>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</si>
  <si>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</si>
  <si>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</si>
  <si>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</si>
  <si>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</si>
  <si>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</si>
  <si>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</si>
  <si>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</si>
  <si>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</si>
  <si>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</si>
  <si>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</si>
  <si>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</si>
  <si>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</si>
  <si>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</si>
  <si>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</si>
  <si>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</si>
  <si>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</si>
  <si>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</si>
  <si>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</si>
  <si>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</si>
  <si>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</si>
  <si>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</si>
  <si>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</si>
  <si>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</si>
  <si>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</si>
  <si>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</si>
  <si>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</si>
  <si>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</si>
  <si>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</si>
  <si>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</si>
  <si>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</si>
  <si>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</si>
  <si>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</si>
  <si>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</si>
  <si>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</si>
  <si>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</si>
  <si>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</si>
  <si>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</si>
  <si>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</si>
  <si>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</si>
  <si>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</si>
  <si>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</si>
  <si>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</si>
  <si>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</si>
  <si>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</si>
  <si>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</si>
  <si>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</si>
  <si>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</si>
  <si>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</si>
  <si>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</si>
  <si>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</si>
  <si>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</si>
  <si>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</si>
  <si>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</si>
  <si>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</si>
  <si>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</si>
  <si>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</si>
  <si>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E2025</t>
  </si>
  <si>
    <t>C:\Temp</t>
  </si>
  <si>
    <t>Valencia Basket</t>
  </si>
  <si>
    <t>Virtus Bologna</t>
  </si>
  <si>
    <t>C:\Users\eloi.verge\OneDrive - EUROLEAGUE\Desktop\GAME REPORTS\25-26</t>
  </si>
  <si>
    <t>JACOBO LAPRESTA</t>
  </si>
  <si>
    <t>JOSE VICENTE ARQUES</t>
  </si>
  <si>
    <t>JOSE ANTONIO RODRIGUEZ</t>
  </si>
  <si>
    <t>NOELIA OTERO</t>
  </si>
  <si>
    <t>PABLO DESSE</t>
  </si>
  <si>
    <t>BORJA RODRIGUEZ</t>
  </si>
  <si>
    <t>ELOI VERGÉ</t>
  </si>
  <si>
    <t>Good job in general: most of the corrections were criteria things or timing changes for 1 second. However, it is important to be careful on missing situations such as a missed 2p and the consecutive rebound or turnover. Keep it up!</t>
  </si>
  <si>
    <t>09:22</t>
  </si>
  <si>
    <t>08:14</t>
  </si>
  <si>
    <t>06:02</t>
  </si>
  <si>
    <t>04:21</t>
  </si>
  <si>
    <t>09:08</t>
  </si>
  <si>
    <t>01:18</t>
  </si>
  <si>
    <t>01:33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</si>
</sst>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03</v>
      </c>
      <c r="D1" s="5"/>
      <c r="E1" s="5"/>
      <c r="F1" s="5"/>
      <c r="G1" s="5"/>
      <c r="H1" s="5"/>
      <c r="I1" s="5"/>
      <c r="J1" s="8" t="s">
        <v>162</v>
      </c>
      <c r="K1" s="57" t="s">
        <v>179</v>
      </c>
      <c r="L1" s="58"/>
      <c r="M1" s="63" t="s">
        <v>165</v>
      </c>
      <c r="N1" s="42" t="s">
        <v>182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178</v>
      </c>
      <c r="C2" s="55">
        <v>19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E2025019</v>
      </c>
      <c r="N2" s="42" t="s">
        <v>179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15" t="str">
        <f>IF(ISERROR(VLOOKUP($B$2&amp;TEXT($C$2,"000"),#REF!,4,FALSE)),"",VLOOKUP($B$2&amp;TEXT($C$2,"000"),#REF!,4,FALSE))</f>
        <v/>
      </c>
      <c r="C3" s="116"/>
      <c r="D3" s="39">
        <v>660</v>
      </c>
      <c r="E3" s="29"/>
      <c r="F3" s="26">
        <f>SUBTOTAL(3,I17:I106)</f>
        <v>8</v>
      </c>
      <c r="G3" s="27">
        <f>IF(OR(D3="",D3=0),"",F3/D3)</f>
        <v>1.2121212121212121E-2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22" t="s">
        <v>86</v>
      </c>
      <c r="C4" s="123"/>
      <c r="D4" s="119" t="s">
        <v>180</v>
      </c>
      <c r="E4" s="120"/>
      <c r="F4" s="120"/>
      <c r="G4" s="121"/>
      <c r="H4" s="5"/>
      <c r="I4" s="5"/>
      <c r="J4" s="5"/>
      <c r="K4" s="5"/>
      <c r="L4" s="5"/>
      <c r="M4" s="126" t="s">
        <v>190</v>
      </c>
      <c r="N4" s="127"/>
      <c r="O4" s="2"/>
      <c r="P4" s="2"/>
      <c r="Q4" s="92" t="s">
        <v>177</v>
      </c>
      <c r="R4" s="102">
        <f>(IF(G3="",0,G3))</f>
        <v>1.2121212121212121E-2</v>
      </c>
      <c r="S4" s="69">
        <f>SUM(I13:M13)</f>
        <v>0</v>
      </c>
      <c r="T4" s="86"/>
      <c r="U4" s="69">
        <f>AC18</f>
        <v>2</v>
      </c>
      <c r="V4" s="69">
        <f>+AC22</f>
        <v>2</v>
      </c>
      <c r="W4" s="69">
        <f>AC24</f>
        <v>0</v>
      </c>
      <c r="X4" s="69">
        <f>AC29</f>
        <v>1</v>
      </c>
      <c r="Y4" s="69">
        <f>AC25</f>
        <v>0</v>
      </c>
      <c r="Z4" s="92">
        <f>AC23</f>
        <v>3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24" t="s">
        <v>87</v>
      </c>
      <c r="C5" s="125"/>
      <c r="D5" s="132" t="s">
        <v>181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1.2121212121212122</v>
      </c>
      <c r="S5" s="78">
        <f t="shared" ref="S5" si="0">S4*S3</f>
        <v>0</v>
      </c>
      <c r="T5" s="100"/>
      <c r="U5" s="78">
        <f t="shared" ref="U5:AG5" si="1">U4*U3</f>
        <v>1</v>
      </c>
      <c r="V5" s="78">
        <f t="shared" si="1"/>
        <v>2</v>
      </c>
      <c r="W5" s="78">
        <f t="shared" si="1"/>
        <v>0</v>
      </c>
      <c r="X5" s="78">
        <f t="shared" si="1"/>
        <v>1</v>
      </c>
      <c r="Y5" s="78">
        <f t="shared" si="1"/>
        <v>0</v>
      </c>
      <c r="Z5" s="97">
        <f t="shared" si="1"/>
        <v>7.5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22" t="s">
        <v>95</v>
      </c>
      <c r="C6" s="123"/>
      <c r="D6" s="137" t="s">
        <v>183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52" t="s">
        <v>96</v>
      </c>
      <c r="C7" s="153"/>
      <c r="D7" s="140" t="s">
        <v>184</v>
      </c>
      <c r="E7" s="141"/>
      <c r="F7" s="141"/>
      <c r="G7" s="142"/>
      <c r="H7" s="5"/>
      <c r="I7" s="5"/>
      <c r="J7" s="5"/>
      <c r="K7" s="5"/>
      <c r="L7" s="5"/>
      <c r="M7" s="65">
        <f>Q7</f>
        <v>12.712121212121213</v>
      </c>
      <c r="N7" s="65"/>
      <c r="O7" s="2"/>
      <c r="P7" s="2"/>
      <c r="Q7" s="94">
        <f>SUM(R5,S5,AC16)</f>
        <v>12.712121212121213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24" t="s">
        <v>97</v>
      </c>
      <c r="C8" s="154"/>
      <c r="D8" s="143" t="s">
        <v>185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12.712121212121211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22" t="s">
        <v>98</v>
      </c>
      <c r="C9" s="155"/>
      <c r="D9" s="137" t="s">
        <v>186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56" t="s">
        <v>99</v>
      </c>
      <c r="C10" s="157"/>
      <c r="D10" s="146" t="s">
        <v>187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35" t="s">
        <v>108</v>
      </c>
      <c r="C11" s="136"/>
      <c r="D11" s="149" t="s">
        <v>188</v>
      </c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19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35" t="s">
        <v>163</v>
      </c>
      <c r="C14" s="136"/>
      <c r="D14" s="149" t="s">
        <v>189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8</v>
      </c>
      <c r="Z16" s="98" t="s">
        <v>110</v>
      </c>
      <c r="AA16" s="83">
        <f>SUM(AA17:AA24)</f>
        <v>8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11.5</v>
      </c>
      <c r="AD16" s="83">
        <f>SUM(AD17:AD24)</f>
        <v>45</v>
      </c>
      <c r="AE16" s="84" t="s">
        <v>42</v>
      </c>
      <c r="AF16" s="83">
        <f>SUM(AF17:AF24)</f>
        <v>4</v>
      </c>
      <c r="AG16" s="83">
        <f>SUM(AG17:AG21)</f>
        <v>8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19</v>
      </c>
      <c r="D17" s="32" t="s">
        <v>191</v>
      </c>
      <c r="E17" s="33">
        <v>1</v>
      </c>
      <c r="F17" s="36">
        <v>0</v>
      </c>
      <c r="G17" s="36">
        <v>1</v>
      </c>
      <c r="H17" s="38" t="str">
        <f>IF(I17="","",$I$14)</f>
        <v>SCOUTING</v>
      </c>
      <c r="I17" s="34">
        <v>8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8</v>
      </c>
      <c r="Z17" s="113" t="s">
        <v>63</v>
      </c>
      <c r="AA17" s="70">
        <f>COUNTIF($K$17:$K$106,Z17)</f>
        <v>4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2</v>
      </c>
      <c r="AG17" s="70">
        <f>COUNTIF($E$17:$E$106,$AK17)</f>
        <v>1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E2025</v>
      </c>
      <c r="C18" s="31">
        <f t="shared" si="3"/>
        <v>19</v>
      </c>
      <c r="D18" s="32" t="s">
        <v>192</v>
      </c>
      <c r="E18" s="33">
        <v>2</v>
      </c>
      <c r="F18" s="36">
        <v>31</v>
      </c>
      <c r="G18" s="36">
        <v>23</v>
      </c>
      <c r="H18" s="38" t="str">
        <f t="shared" ref="H18:H81" si="8">IF(I18="","",$I$14)</f>
        <v>SCOUTING</v>
      </c>
      <c r="I18" s="34">
        <v>198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4</v>
      </c>
      <c r="AB18" s="74" t="s">
        <v>5</v>
      </c>
      <c r="AC18" s="69">
        <f t="shared" si="5"/>
        <v>2</v>
      </c>
      <c r="AD18" s="69">
        <f t="shared" si="6"/>
        <v>0.5</v>
      </c>
      <c r="AE18" s="74" t="s">
        <v>12</v>
      </c>
      <c r="AF18" s="73">
        <f t="shared" si="7"/>
        <v>1</v>
      </c>
      <c r="AG18" s="70">
        <f>COUNTIF($E$17:$E$106,$AK18)</f>
        <v>4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>E2025</v>
      </c>
      <c r="C19" s="31">
        <f t="shared" si="3"/>
        <v>19</v>
      </c>
      <c r="D19" s="32" t="s">
        <v>193</v>
      </c>
      <c r="E19" s="33">
        <v>2</v>
      </c>
      <c r="F19" s="36">
        <v>37</v>
      </c>
      <c r="G19" s="36">
        <v>25</v>
      </c>
      <c r="H19" s="38" t="str">
        <f t="shared" si="8"/>
        <v>SCOUTING</v>
      </c>
      <c r="I19" s="34">
        <v>229</v>
      </c>
      <c r="J19" s="13" t="s">
        <v>4</v>
      </c>
      <c r="K19" s="13" t="s">
        <v>62</v>
      </c>
      <c r="L19" s="13" t="s">
        <v>7</v>
      </c>
      <c r="M19" s="13" t="s">
        <v>9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2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>E2025</v>
      </c>
      <c r="C20" s="31">
        <f t="shared" si="3"/>
        <v>19</v>
      </c>
      <c r="D20" s="32" t="s">
        <v>194</v>
      </c>
      <c r="E20" s="33">
        <v>2</v>
      </c>
      <c r="F20" s="36">
        <v>44</v>
      </c>
      <c r="G20" s="36">
        <v>34</v>
      </c>
      <c r="H20" s="38" t="str">
        <f t="shared" si="8"/>
        <v>SCOUTING</v>
      </c>
      <c r="I20" s="34">
        <v>258</v>
      </c>
      <c r="J20" s="13" t="s">
        <v>4</v>
      </c>
      <c r="K20" s="13" t="s">
        <v>63</v>
      </c>
      <c r="L20" s="13" t="s">
        <v>7</v>
      </c>
      <c r="M20" s="13" t="s">
        <v>27</v>
      </c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1</v>
      </c>
      <c r="AG20" s="70">
        <f>COUNTIF($E$17:$E$106,$AK20)</f>
        <v>1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>E2025</v>
      </c>
      <c r="C21" s="31">
        <f t="shared" si="3"/>
        <v>19</v>
      </c>
      <c r="D21" s="32" t="s">
        <v>194</v>
      </c>
      <c r="E21" s="33">
        <v>2</v>
      </c>
      <c r="F21" s="36">
        <v>44</v>
      </c>
      <c r="G21" s="36">
        <v>34</v>
      </c>
      <c r="H21" s="38" t="str">
        <f t="shared" si="8"/>
        <v>SCOUTING</v>
      </c>
      <c r="I21" s="34">
        <v>258</v>
      </c>
      <c r="J21" s="13" t="s">
        <v>4</v>
      </c>
      <c r="K21" s="13" t="s">
        <v>62</v>
      </c>
      <c r="L21" s="13" t="s">
        <v>7</v>
      </c>
      <c r="M21" s="13" t="s">
        <v>170</v>
      </c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>E2025</v>
      </c>
      <c r="C22" s="31">
        <f t="shared" si="3"/>
        <v>19</v>
      </c>
      <c r="D22" s="32" t="s">
        <v>195</v>
      </c>
      <c r="E22" s="33">
        <v>3</v>
      </c>
      <c r="F22" s="36">
        <v>52</v>
      </c>
      <c r="G22" s="36">
        <v>48</v>
      </c>
      <c r="H22" s="38" t="str">
        <f t="shared" si="8"/>
        <v>SCOUTING</v>
      </c>
      <c r="I22" s="34">
        <v>361</v>
      </c>
      <c r="J22" s="13" t="s">
        <v>4</v>
      </c>
      <c r="K22" s="13" t="s">
        <v>62</v>
      </c>
      <c r="L22" s="13" t="s">
        <v>6</v>
      </c>
      <c r="M22" s="13" t="s">
        <v>12</v>
      </c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2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>E2025</v>
      </c>
      <c r="C23" s="31">
        <f t="shared" si="3"/>
        <v>19</v>
      </c>
      <c r="D23" s="32" t="s">
        <v>196</v>
      </c>
      <c r="E23" s="33">
        <v>3</v>
      </c>
      <c r="F23" s="36">
        <v>73</v>
      </c>
      <c r="G23" s="36">
        <v>69</v>
      </c>
      <c r="H23" s="38" t="str">
        <f t="shared" si="8"/>
        <v>SCOUTING</v>
      </c>
      <c r="I23" s="34">
        <v>459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3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>E2025</v>
      </c>
      <c r="C24" s="31">
        <f t="shared" si="3"/>
        <v>19</v>
      </c>
      <c r="D24" s="32" t="s">
        <v>197</v>
      </c>
      <c r="E24" s="33">
        <v>4</v>
      </c>
      <c r="F24" s="36">
        <v>98</v>
      </c>
      <c r="G24" s="36">
        <v>87</v>
      </c>
      <c r="H24" s="38" t="str">
        <f t="shared" si="8"/>
        <v>SCOUTING</v>
      </c>
      <c r="I24" s="34">
        <v>647</v>
      </c>
      <c r="J24" s="13" t="s">
        <v>4</v>
      </c>
      <c r="K24" s="13" t="s">
        <v>62</v>
      </c>
      <c r="L24" s="13" t="s">
        <v>75</v>
      </c>
      <c r="M24" s="13" t="s">
        <v>27</v>
      </c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1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1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2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1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REPORT_E2025019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"E2025019"</v>
      </c>
      <c r="F3" s="46" t="str">
        <f t="shared" ref="F3:F16" si="0">""""&amp;B3&amp;"""" &amp; " : " &amp;C3&amp;","</f>
        <v>"name" : "E2025019",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"E019"</v>
      </c>
      <c r="F4" s="46" t="str">
        <f t="shared" si="0"/>
        <v>"cod" : "E019",</v>
      </c>
    </row>
    <row r="5" spans="2:6" x14ac:dyDescent="0.25">
      <c r="B5" s="44" t="s">
        <v>117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 x14ac:dyDescent="0.25">
      <c r="B6" s="44" t="s">
        <v>118</v>
      </c>
      <c r="C6" s="44" t="str">
        <f>TEXT('SCOUT &amp; LOGISTICS'!C2,"000")</f>
        <v>019</v>
      </c>
      <c r="F6" s="46" t="str">
        <f t="shared" si="0"/>
        <v>"number" : 019,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"Valencia Basket"</v>
      </c>
      <c r="F8" s="46" t="str">
        <f t="shared" si="0"/>
        <v>"home_team" : "Valencia Basket",</v>
      </c>
    </row>
    <row r="9" spans="2:6" x14ac:dyDescent="0.25">
      <c r="B9" s="44" t="s">
        <v>126</v>
      </c>
      <c r="C9" s="44" t="str">
        <f>""""&amp;'SCOUT &amp; LOGISTICS'!D5&amp;""""</f>
        <v>"Virtus Bologna"</v>
      </c>
      <c r="F9" s="46" t="str">
        <f t="shared" si="0"/>
        <v>"away_team" : "Virtus Bologna",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"JACOBO LAPRESTA"</v>
      </c>
      <c r="F10" s="46" t="str">
        <f t="shared" si="0"/>
        <v>"Data_entry" : "JACOBO LAPRESTA",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"JOSE VICENTE ARQUES"</v>
      </c>
      <c r="F11" s="46" t="str">
        <f t="shared" si="0"/>
        <v>"Caller_1" : "JOSE VICENTE ARQUES",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"JOSE ANTONIO RODRIGUEZ"</v>
      </c>
      <c r="F12" s="46" t="str">
        <f t="shared" si="0"/>
        <v>"Caller_2" : "JOSE ANTONIO RODRIGUEZ",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"NOELIA OTERO"</v>
      </c>
      <c r="F13" s="46" t="str">
        <f t="shared" si="0"/>
        <v>"Timerkeeper" : "NOELIA OTERO",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"PABLO DESSE"</v>
      </c>
      <c r="F14" s="46" t="str">
        <f t="shared" si="0"/>
        <v>"Shotclock" : "PABLO DESSE",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"BORJA RODRIGUEZ"</v>
      </c>
      <c r="F15" s="46" t="str">
        <f t="shared" si="0"/>
        <v>"IRS" : "BORJA RODRIGUEZ",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"ELOI VERGÉ"</v>
      </c>
      <c r="F16" s="46" t="str">
        <f t="shared" si="0"/>
        <v>"Live_Game_Manager" : "ELOI VERGÉ",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660</v>
      </c>
      <c r="F25" s="46" t="str">
        <f t="shared" ref="F25:F48" si="1">""""&amp;C25&amp;"""" &amp; " : " &amp;D25&amp;","</f>
        <v>"total_actions" : 660,</v>
      </c>
    </row>
    <row r="26" spans="2:6" x14ac:dyDescent="0.25">
      <c r="C26" s="44" t="s">
        <v>132</v>
      </c>
      <c r="D26" s="44">
        <f>'SCOUT &amp; LOGISTICS'!F3</f>
        <v>8</v>
      </c>
      <c r="F26" s="46" t="str">
        <f t="shared" si="1"/>
        <v>"total_correcions" : 8,</v>
      </c>
    </row>
    <row r="27" spans="2:6" x14ac:dyDescent="0.25">
      <c r="C27" s="44" t="s">
        <v>133</v>
      </c>
      <c r="D27" s="44" t="str">
        <f>""""&amp;IF(OR(D25="",D25=0),"",TEXT(D26/D25,"0,0%"))&amp;""""</f>
        <v>"1,2%"</v>
      </c>
      <c r="F27" s="46" t="str">
        <f t="shared" si="1"/>
        <v>"%_corrections" : "1,2%",</v>
      </c>
    </row>
    <row r="28" spans="2:6" x14ac:dyDescent="0.25">
      <c r="C28" s="44" t="s">
        <v>125</v>
      </c>
      <c r="D28" s="44">
        <f>IF('SCOUT &amp; LOGISTICS'!AA17="","",'SCOUT &amp; LOGISTICS'!AA17)</f>
        <v>4</v>
      </c>
      <c r="F28" s="46" t="str">
        <f t="shared" si="1"/>
        <v>"home_team" : 4,</v>
      </c>
    </row>
    <row r="29" spans="2:6" x14ac:dyDescent="0.25">
      <c r="C29" s="44" t="s">
        <v>134</v>
      </c>
      <c r="D29" s="44">
        <f>IF('SCOUT &amp; LOGISTICS'!AA18="","",'SCOUT &amp; LOGISTICS'!AA18)</f>
        <v>4</v>
      </c>
      <c r="F29" s="46" t="str">
        <f t="shared" si="1"/>
        <v>"no_team" : 4,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1</v>
      </c>
      <c r="F31" s="46" t="str">
        <f t="shared" si="1"/>
        <v>"q1" : 1,</v>
      </c>
    </row>
    <row r="32" spans="2:6" x14ac:dyDescent="0.25">
      <c r="C32" s="44" t="s">
        <v>136</v>
      </c>
      <c r="D32" s="44">
        <f>'SCOUT &amp; LOGISTICS'!AG18</f>
        <v>4</v>
      </c>
      <c r="F32" s="46" t="str">
        <f t="shared" si="1"/>
        <v>"q2" : 4,</v>
      </c>
    </row>
    <row r="33" spans="3:6" x14ac:dyDescent="0.25">
      <c r="C33" s="44" t="s">
        <v>137</v>
      </c>
      <c r="D33" s="44">
        <f>'SCOUT &amp; LOGISTICS'!AG19</f>
        <v>2</v>
      </c>
      <c r="F33" s="46" t="str">
        <f t="shared" si="1"/>
        <v>"q3" : 2,</v>
      </c>
    </row>
    <row r="34" spans="3:6" x14ac:dyDescent="0.25">
      <c r="C34" s="44" t="s">
        <v>138</v>
      </c>
      <c r="D34" s="44">
        <f>'SCOUT &amp; LOGISTICS'!AG20</f>
        <v>1</v>
      </c>
      <c r="F34" s="46" t="str">
        <f t="shared" si="1"/>
        <v>"q4" : 1,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8</v>
      </c>
      <c r="F37" s="46" t="str">
        <f t="shared" si="1"/>
        <v>"scoresheet_corrections" : 8,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2</v>
      </c>
      <c r="F39" s="46" t="str">
        <f t="shared" si="1"/>
        <v>"missidentity" : 2,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3</v>
      </c>
      <c r="F46" s="46" t="str">
        <f t="shared" si="1"/>
        <v>"part_of_a_sequence" : 3,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"Good job in general: most of the corrections were criteria things or timing changes for 1 second. However, it is important to be careful on missing situations such as a missed 2p and the consecutive rebound or turnover. Keep it up!"</v>
      </c>
      <c r="F51" s="46" t="str">
        <f>""""&amp;B51&amp;"""" &amp; " : " &amp;C51&amp;","</f>
        <v>"comments" : "Good job in general: most of the corrections were criteria things or timing changes for 1 second. However, it is important to be careful on missing situations such as a missed 2p and the consecutive rebound or turnover. Keep it up!",</v>
      </c>
    </row>
    <row r="52" spans="2:6" x14ac:dyDescent="0.25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45"/>
    <row r="2" spans="1:33" ht="42.65" customHeight="1" thickBot="1" x14ac:dyDescent="0.5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5">
      <c r="A3" s="49"/>
      <c r="B3" s="172" t="str">
        <f>"GAME: "&amp; LEFT('SCOUT &amp; LOGISTICS'!B2,1) &amp; TEXT('SCOUT &amp; LOGISTICS'!C2,"000") &amp; " " &amp; IF(LEFT('SCOUT &amp; LOGISTICS'!B2,1)="U","(EUROCUP)","(EUROLEAGUE)")</f>
        <v>GAME: E019 (EUROLEAGUE)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5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49999999999999" customHeight="1" thickBot="1" x14ac:dyDescent="0.5">
      <c r="A5" s="49"/>
      <c r="B5" s="173" t="str">
        <f>'SCOUT &amp; LOGISTICS'!D4</f>
        <v>Valencia Basket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Virtus Bologna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5" customHeight="1" thickBot="1" x14ac:dyDescent="0.5">
      <c r="A6" s="49"/>
      <c r="B6" s="176" t="str">
        <f>PROPER('SCOUT &amp; LOGISTICS'!D4)</f>
        <v>Valencia Basket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Virtus Bologna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5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5">
      <c r="A8" s="49"/>
      <c r="B8" s="170" t="str">
        <f>IF('SCOUT &amp; LOGISTICS'!D6="","",'SCOUT &amp; LOGISTICS'!D6)</f>
        <v>JACOBO LAPRESTA</v>
      </c>
      <c r="C8" s="170"/>
      <c r="D8" s="170"/>
      <c r="E8" s="170"/>
      <c r="F8" s="170"/>
      <c r="G8" s="170" t="str">
        <f>IF('SCOUT &amp; LOGISTICS'!D7="","",'SCOUT &amp; LOGISTICS'!D7)</f>
        <v>JOSE VICENTE ARQUES</v>
      </c>
      <c r="H8" s="170"/>
      <c r="I8" s="170"/>
      <c r="J8" s="170"/>
      <c r="K8" s="170"/>
      <c r="L8" s="170" t="str">
        <f>IF('SCOUT &amp; LOGISTICS'!D8="","",'SCOUT &amp; LOGISTICS'!D8)</f>
        <v>JOSE ANTONIO RODRIGUEZ</v>
      </c>
      <c r="M8" s="170"/>
      <c r="N8" s="170"/>
      <c r="O8" s="170"/>
      <c r="P8" s="170"/>
      <c r="Q8" s="170" t="str">
        <f>IF('SCOUT &amp; LOGISTICS'!D9="","",'SCOUT &amp; LOGISTICS'!D9)</f>
        <v>NOELIA OTERO</v>
      </c>
      <c r="R8" s="170"/>
      <c r="S8" s="170"/>
      <c r="T8" s="170"/>
      <c r="U8" s="170"/>
      <c r="V8" s="170" t="str">
        <f>IF('SCOUT &amp; LOGISTICS'!D10="","",'SCOUT &amp; LOGISTICS'!D10)</f>
        <v>PABLO DESSE</v>
      </c>
      <c r="W8" s="170"/>
      <c r="X8" s="170"/>
      <c r="Y8" s="170"/>
      <c r="Z8" s="170"/>
      <c r="AA8" s="170" t="str">
        <f>IF('SCOUT &amp; LOGISTICS'!D11="","",'SCOUT &amp; LOGISTICS'!D11)</f>
        <v>BORJA RODRIGUEZ</v>
      </c>
      <c r="AB8" s="170"/>
      <c r="AC8" s="170"/>
      <c r="AD8" s="170"/>
      <c r="AE8" s="170"/>
      <c r="AF8" s="49"/>
    </row>
    <row r="9" spans="1:33" ht="16" thickBot="1" x14ac:dyDescent="0.5">
      <c r="A9" s="49"/>
      <c r="B9" s="164" t="str">
        <f>IF(OR('SCOUT &amp; LOGISTICS'!D14="",'SCOUT &amp; LOGISTICS'!D14=0),"",'SCOUT &amp; LOGISTICS'!B14 &amp; ": " &amp; 'SCOUT &amp; LOGISTICS'!D14) &amp; "     "</f>
        <v xml:space="preserve">L G M: : ELOI VERGÉ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6" thickBot="1" x14ac:dyDescent="0.5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49999999999999" customHeight="1" thickBot="1" x14ac:dyDescent="0.5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5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5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YES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FAST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6" thickBot="1" x14ac:dyDescent="0.5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49999999999999" customHeight="1" thickBot="1" x14ac:dyDescent="0.5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5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5">
      <c r="A17" s="49"/>
      <c r="B17" s="168">
        <f>'SCOUT &amp; LOGISTICS'!D3</f>
        <v>660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8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1.2121212121212121E-2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6" thickBot="1" x14ac:dyDescent="0.5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5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5">
      <c r="A20" s="49"/>
      <c r="B20" s="161">
        <f>IF('SCOUT &amp; LOGISTICS'!AA17="","",'SCOUT &amp; LOGISTICS'!AA17)</f>
        <v>4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4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5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5">
      <c r="A22" s="49"/>
      <c r="B22" s="161">
        <f>'SCOUT &amp; LOGISTICS'!AG17</f>
        <v>1</v>
      </c>
      <c r="C22" s="161"/>
      <c r="D22" s="161"/>
      <c r="E22" s="161"/>
      <c r="F22" s="161"/>
      <c r="G22" s="161"/>
      <c r="H22" s="161">
        <f>'SCOUT &amp; LOGISTICS'!AG18</f>
        <v>4</v>
      </c>
      <c r="I22" s="161"/>
      <c r="J22" s="161"/>
      <c r="K22" s="161"/>
      <c r="L22" s="161"/>
      <c r="M22" s="161"/>
      <c r="N22" s="161">
        <f>'SCOUT &amp; LOGISTICS'!AG19</f>
        <v>2</v>
      </c>
      <c r="O22" s="161"/>
      <c r="P22" s="161"/>
      <c r="Q22" s="161"/>
      <c r="R22" s="161"/>
      <c r="S22" s="161"/>
      <c r="T22" s="161">
        <f>'SCOUT &amp; LOGISTICS'!AG20</f>
        <v>1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6" thickBot="1" x14ac:dyDescent="0.5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5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5">
      <c r="A25" s="49"/>
      <c r="B25" s="161">
        <f>'SCOUT &amp; LOGISTICS'!Y17</f>
        <v>8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5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5">
      <c r="A27" s="49"/>
      <c r="B27" s="161">
        <f>'SCOUT &amp; LOGISTICS'!AC18</f>
        <v>2</v>
      </c>
      <c r="C27" s="161"/>
      <c r="D27" s="161"/>
      <c r="E27" s="161"/>
      <c r="F27" s="161"/>
      <c r="G27" s="161">
        <f>'SCOUT &amp; LOGISTICS'!AC22</f>
        <v>2</v>
      </c>
      <c r="H27" s="161"/>
      <c r="I27" s="161"/>
      <c r="J27" s="161"/>
      <c r="K27" s="161"/>
      <c r="L27" s="161">
        <f>'SCOUT &amp; LOGISTICS'!AC23</f>
        <v>3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5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5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1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6" thickBot="1" x14ac:dyDescent="0.5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49999999999999" customHeight="1" thickBot="1" x14ac:dyDescent="0.5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5" customHeight="1" thickBot="1" x14ac:dyDescent="0.5">
      <c r="A32" s="49"/>
      <c r="B32" s="159" t="str">
        <f>IF('SCOUT &amp; LOGISTICS'!M4="","",'SCOUT &amp; LOGISTICS'!M4)</f>
        <v>Good job in general: most of the corrections were criteria things or timing changes for 1 second. However, it is important to be careful on missing situations such as a missed 2p and the consecutive rebound or turnover. Keep it up!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49999999999999" customHeight="1" thickBot="1" x14ac:dyDescent="0.5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49999999999999" customHeight="1" thickBot="1" x14ac:dyDescent="0.5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5">
      <c r="A35" s="49"/>
      <c r="B35" s="160">
        <f>'SCOUT &amp; LOGISTICS'!M7</f>
        <v>12.712121212121213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45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3227917-51AE-4918-B368-DB6B1B8698A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6CFE9A7-C7CA-417B-BDD8-A4F09ECCA6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1870E8E-27B5-46DA-89F2-7AFABF2E1DC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2025-10-03T21:11:10Z</cp:lastPrinted>
  <dcterms:created xsi:type="dcterms:W3CDTF">2023-09-19T19:50:35Z</dcterms:created>
  <dcterms:modified xsi:type="dcterms:W3CDTF">2025-10-03T21:11:13Z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