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49" documentId="8_{A0195F33-4FAC-4768-8744-0A70D38A88EE}" xr6:coauthVersionLast="47" xr6:coauthVersionMax="47" xr10:uidLastSave="{B16DD465-1C77-49CF-83D6-3FCB6D22B63A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7" i="4" l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  <c r="C10" i="4"/>
  <c r="F10" i="4" s="1"/>
  <c r="B8" i="2"/>
</calcChain>
</file>

<file path=xl/sharedStrings.xml><?xml version="1.0" encoding="utf-8"?>
<sst xmlns="http://schemas.openxmlformats.org/spreadsheetml/2006/main" count="3360" uniqueCount="770">
  <si>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</si>
  <si>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</si>
  <si>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</si>
  <si>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</si>
  <si>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</si>
  <si>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</si>
  <si>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</si>
  <si>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</si>
  <si>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</si>
  <si>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</si>
  <si>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</si>
  <si>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</si>
  <si>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</si>
  <si>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</si>
  <si>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</si>
  <si>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</si>
  <si>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</si>
  <si>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</si>
  <si>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</si>
  <si>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</si>
  <si>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</si>
  <si>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</si>
  <si>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</si>
  <si>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</si>
  <si>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</si>
  <si>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</si>
  <si>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</si>
  <si>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</si>
  <si>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</si>
  <si>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</si>
  <si>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</si>
  <si>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</si>
  <si>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</si>
  <si>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</si>
  <si>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</si>
  <si>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</si>
  <si>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</si>
  <si>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</si>
  <si>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</si>
  <si>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</si>
  <si>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</si>
  <si>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</si>
  <si>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</si>
  <si>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</si>
  <si>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</si>
  <si>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</si>
  <si>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</si>
  <si>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</si>
  <si>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</si>
  <si>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</si>
  <si>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</si>
  <si>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</si>
  <si>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</si>
  <si>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</si>
  <si>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</si>
  <si>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</si>
  <si>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</si>
  <si>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</si>
  <si>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</si>
  <si>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</si>
  <si>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</si>
  <si>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</si>
  <si>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</si>
  <si>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</si>
  <si>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</si>
  <si>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</si>
  <si>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</si>
  <si>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</si>
  <si>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</si>
  <si>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</si>
  <si>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</si>
  <si>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</si>
  <si>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</si>
  <si>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</si>
  <si>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</si>
  <si>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</si>
  <si>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</si>
  <si>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</si>
  <si>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</si>
  <si>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</si>
  <si>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</si>
  <si>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</si>
  <si>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</si>
  <si>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</si>
  <si>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</si>
  <si>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</si>
  <si>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</si>
  <si>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</si>
  <si>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</si>
  <si>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</si>
  <si>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</si>
  <si>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</si>
  <si>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</si>
  <si>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</si>
  <si>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</si>
  <si>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</si>
  <si>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</si>
  <si>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</si>
  <si>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</si>
  <si>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</si>
  <si>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</si>
  <si>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</si>
  <si>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</si>
  <si>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</si>
  <si>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</si>
  <si>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</si>
  <si>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</si>
  <si>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</si>
  <si>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</si>
  <si>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</si>
  <si>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</si>
  <si>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</si>
  <si>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</si>
  <si>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</si>
  <si>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</si>
  <si>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</si>
  <si>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</si>
  <si>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</si>
  <si>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</si>
  <si>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</si>
  <si>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</si>
  <si>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</si>
  <si>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</si>
  <si>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</si>
  <si>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</si>
  <si>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</si>
  <si>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</si>
  <si>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</si>
  <si>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</si>
  <si>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</si>
  <si>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</si>
  <si>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</si>
  <si>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</si>
  <si>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</si>
  <si>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</si>
  <si>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</si>
  <si>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</si>
  <si>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</si>
  <si>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</si>
  <si>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</si>
  <si>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</si>
  <si>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</si>
  <si>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</si>
  <si>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</si>
  <si>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</si>
  <si>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</si>
  <si>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</si>
  <si>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</si>
  <si>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</si>
  <si>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</si>
  <si>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</si>
  <si>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</si>
  <si>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</si>
  <si>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</si>
  <si>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</si>
  <si>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</si>
  <si>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</si>
  <si>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</si>
  <si>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</si>
  <si>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</si>
  <si>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</si>
  <si>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</si>
  <si>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</si>
  <si>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</si>
  <si>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</si>
  <si>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</si>
  <si>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</si>
  <si>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</si>
  <si>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</si>
  <si>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</si>
  <si>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</si>
  <si>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</si>
  <si>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</si>
  <si>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</si>
  <si>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</si>
  <si>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</si>
  <si>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</si>
  <si>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</si>
  <si>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</si>
  <si>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</si>
  <si>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</si>
  <si>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</si>
  <si>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</si>
  <si>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</si>
  <si>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</si>
  <si>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</si>
  <si>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</si>
  <si>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</si>
  <si>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</si>
  <si>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</si>
  <si>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</si>
  <si>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</si>
  <si>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</si>
  <si>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</si>
  <si>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</si>
  <si>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</si>
  <si>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</si>
  <si>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</si>
  <si>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</si>
  <si>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</si>
  <si>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</si>
  <si>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</si>
  <si>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</si>
  <si>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</si>
  <si>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</si>
  <si>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</si>
  <si>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</si>
  <si>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</si>
  <si>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</si>
  <si>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</si>
  <si>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</si>
  <si>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</si>
  <si>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</si>
  <si>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</si>
  <si>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</si>
  <si>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</si>
  <si>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</si>
  <si>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</si>
  <si>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</si>
  <si>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</si>
  <si>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</si>
  <si>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</si>
  <si>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</si>
  <si>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</si>
  <si>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</si>
  <si>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</si>
  <si>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</si>
  <si>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</si>
  <si>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</si>
  <si>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</si>
  <si>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</si>
  <si>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</si>
  <si>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</si>
  <si>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</si>
  <si>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</si>
  <si>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</si>
  <si>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</si>
  <si>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</si>
  <si>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</si>
  <si>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</si>
  <si>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</si>
  <si>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</si>
  <si>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</si>
  <si>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</si>
  <si>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</si>
  <si>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</si>
  <si>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</si>
  <si>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</si>
  <si>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</si>
  <si>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</si>
  <si>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</si>
  <si>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</si>
  <si>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</si>
  <si>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</si>
  <si>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</si>
  <si>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</si>
  <si>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</si>
  <si>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</si>
  <si>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</si>
  <si>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</si>
  <si>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</si>
  <si>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</si>
  <si>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</si>
  <si>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</si>
  <si>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</si>
  <si>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</si>
  <si>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</si>
  <si>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</si>
  <si>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</si>
  <si>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</si>
  <si>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</si>
  <si>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</si>
  <si>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</si>
  <si>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</si>
  <si>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</si>
  <si>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</si>
  <si>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</si>
  <si>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</si>
  <si>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</si>
  <si>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</si>
  <si>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</si>
  <si>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</si>
  <si>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</si>
  <si>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</si>
  <si>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</si>
  <si>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</si>
  <si>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</si>
  <si>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</si>
  <si>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</si>
  <si>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</si>
  <si>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</si>
  <si>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</si>
  <si>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</si>
  <si>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</si>
  <si>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</si>
  <si>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</si>
  <si>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</si>
  <si>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</si>
  <si>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</si>
  <si>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</si>
  <si>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</si>
  <si>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</si>
  <si>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</si>
  <si>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</si>
  <si>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</si>
  <si>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</si>
  <si>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</si>
  <si>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</si>
  <si>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</si>
  <si>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</si>
  <si>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</si>
  <si>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</si>
  <si>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</si>
  <si>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</si>
  <si>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</si>
  <si>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</si>
  <si>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</si>
  <si>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</si>
  <si>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</si>
  <si>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</si>
  <si>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</si>
  <si>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</si>
  <si>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</si>
  <si>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</si>
  <si>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</si>
  <si>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</si>
  <si>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</si>
  <si>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</si>
  <si>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</si>
  <si>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</si>
  <si>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</si>
  <si>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</si>
  <si>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</si>
  <si>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</si>
  <si>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</si>
  <si>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</si>
  <si>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</si>
  <si>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</si>
  <si>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</si>
  <si>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</si>
  <si>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</si>
  <si>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</si>
  <si>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</si>
  <si>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</si>
  <si>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</si>
  <si>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</si>
  <si>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</si>
  <si>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</si>
  <si>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</si>
  <si>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</si>
  <si>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</si>
  <si>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</si>
  <si>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</si>
  <si>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</si>
  <si>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</si>
  <si>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</si>
  <si>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</si>
  <si>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</si>
  <si>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</si>
  <si>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</si>
  <si>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</si>
  <si>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</si>
  <si>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</si>
  <si>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</si>
  <si>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</si>
  <si>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</si>
  <si>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</si>
  <si>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</si>
  <si>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</si>
  <si>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</si>
  <si>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</si>
  <si>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</si>
  <si>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</si>
  <si>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</si>
  <si>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</si>
  <si>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</si>
  <si>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</si>
  <si>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</si>
  <si>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</si>
  <si>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</si>
  <si>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</si>
  <si>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</si>
  <si>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</si>
  <si>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</si>
  <si>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</si>
  <si>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</si>
  <si>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</si>
  <si>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</si>
  <si>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</si>
  <si>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</si>
  <si>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</si>
  <si>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</si>
  <si>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</si>
  <si>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</si>
  <si>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</si>
  <si>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</si>
  <si>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</si>
  <si>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</si>
  <si>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</si>
  <si>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</si>
  <si>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</si>
  <si>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</si>
  <si>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</si>
  <si>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</si>
  <si>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</si>
  <si>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</si>
  <si>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</si>
  <si>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</si>
  <si>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</si>
  <si>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</si>
  <si>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</si>
  <si>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</si>
  <si>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</si>
  <si>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</si>
  <si>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</si>
  <si>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</si>
  <si>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</si>
  <si>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</si>
  <si>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</si>
  <si>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</si>
  <si>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</si>
  <si>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</si>
  <si>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</si>
  <si>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</si>
  <si>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</si>
  <si>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</si>
  <si>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</si>
  <si>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</si>
  <si>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</si>
  <si>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</si>
  <si>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</si>
  <si>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</si>
  <si>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</si>
  <si>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</si>
  <si>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</si>
  <si>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</si>
  <si>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</si>
  <si>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</si>
  <si>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</si>
  <si>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</si>
  <si>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</si>
  <si>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</si>
  <si>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</si>
  <si>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</si>
  <si>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</si>
  <si>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</si>
  <si>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</si>
  <si>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</si>
  <si>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</si>
  <si>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</si>
  <si>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</si>
  <si>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</si>
  <si>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</si>
  <si>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</si>
  <si>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</si>
  <si>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</si>
  <si>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</si>
  <si>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</si>
  <si>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</si>
  <si>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</si>
  <si>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</si>
  <si>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</si>
  <si>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</si>
  <si>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</si>
  <si>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</si>
  <si>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</si>
  <si>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</si>
  <si>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</si>
  <si>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</si>
  <si>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</si>
  <si>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</si>
  <si>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</si>
  <si>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</si>
  <si>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</si>
  <si>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</si>
  <si>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</si>
  <si>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</si>
  <si>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</si>
  <si>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</si>
  <si>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</si>
  <si>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</si>
  <si>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</si>
  <si>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</si>
  <si>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</si>
  <si>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</si>
  <si>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</si>
  <si>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</si>
  <si>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</si>
  <si>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</si>
  <si>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</si>
  <si>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</si>
  <si>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</si>
  <si>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</si>
  <si>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</si>
  <si>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</si>
  <si>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</si>
  <si>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</si>
  <si>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</si>
  <si>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</si>
  <si>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</si>
  <si>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</si>
  <si>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</si>
  <si>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</si>
  <si>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</si>
  <si>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</si>
  <si>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</si>
  <si>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</si>
  <si>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</si>
  <si>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</si>
  <si>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</si>
  <si>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</si>
  <si>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</si>
  <si>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</si>
  <si>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</si>
  <si>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</si>
  <si>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</si>
  <si>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</si>
  <si>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</si>
  <si>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</si>
  <si>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</si>
  <si>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</si>
  <si>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</si>
  <si>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</si>
  <si>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</si>
  <si>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</si>
  <si>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</si>
  <si>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</si>
  <si>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</si>
  <si>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</si>
  <si>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</si>
  <si>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</si>
  <si>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</si>
  <si>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</si>
  <si>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</si>
  <si>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</si>
  <si>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</si>
  <si>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</si>
  <si>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</si>
  <si>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</si>
  <si>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</si>
  <si>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</si>
  <si>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</si>
  <si>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</si>
  <si>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</si>
  <si>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</si>
  <si>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</si>
  <si>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</si>
  <si>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</si>
  <si>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</si>
  <si>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</si>
  <si>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</si>
  <si>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</si>
  <si>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</si>
  <si>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</si>
  <si>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</si>
  <si>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</si>
  <si>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</si>
  <si>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</si>
  <si>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</si>
  <si>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</si>
  <si>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</si>
  <si>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</si>
  <si>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</si>
  <si>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</si>
  <si>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</si>
  <si>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</si>
  <si>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</si>
  <si>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</si>
  <si>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</si>
  <si>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</si>
  <si>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</si>
  <si>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</si>
  <si>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</si>
  <si>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</si>
  <si>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</si>
  <si>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</si>
  <si>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</si>
  <si>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</si>
  <si>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</si>
  <si>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</si>
  <si>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</si>
  <si>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</si>
  <si>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</si>
  <si>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</si>
  <si>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</si>
  <si>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</si>
  <si>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</si>
  <si>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</si>
  <si>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</si>
  <si>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</si>
  <si>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</si>
  <si>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</si>
  <si>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</si>
  <si>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</si>
  <si>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</si>
  <si>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</si>
  <si>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</si>
  <si>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</si>
  <si>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</si>
  <si>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</si>
  <si>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</si>
  <si>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</si>
  <si>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</si>
  <si>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</si>
  <si>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</si>
  <si>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</si>
  <si>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</si>
  <si>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</si>
  <si>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</si>
  <si>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</si>
  <si>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</si>
  <si>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</si>
  <si>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</si>
  <si>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</si>
  <si>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</si>
  <si>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</si>
  <si>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</si>
  <si>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</si>
  <si>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</si>
  <si>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</si>
  <si>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</si>
  <si>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</si>
  <si>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</si>
  <si>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</si>
  <si>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</si>
  <si>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</si>
  <si>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</si>
  <si>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</si>
  <si>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</si>
  <si>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</si>
  <si>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</si>
  <si>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</si>
  <si>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</si>
  <si>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</si>
  <si>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</si>
  <si>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</si>
  <si>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</si>
  <si>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</si>
  <si>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</si>
  <si>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</si>
  <si>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</si>
  <si>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</si>
  <si>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</si>
  <si>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</si>
  <si>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</si>
  <si>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</si>
  <si>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</si>
  <si>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</si>
  <si>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</si>
  <si>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</si>
  <si>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</si>
  <si>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</si>
  <si>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</si>
  <si>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</si>
  <si>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</si>
  <si>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</si>
  <si>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</si>
  <si>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</si>
  <si>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</si>
  <si>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</si>
  <si>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</si>
  <si>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</si>
  <si>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</si>
  <si>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</si>
  <si>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</si>
  <si>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</si>
  <si>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</si>
  <si>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</si>
  <si>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</si>
  <si>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</si>
  <si>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</si>
  <si>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</si>
  <si>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</si>
  <si>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</si>
  <si>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</si>
  <si>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</si>
  <si>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</si>
  <si>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</si>
  <si>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</si>
  <si>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</si>
  <si>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</si>
  <si>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</si>
  <si>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</si>
  <si>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</si>
  <si>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</si>
  <si>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</si>
  <si>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</si>
  <si>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</si>
  <si>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</si>
  <si>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</si>
  <si>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</si>
  <si>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</si>
  <si>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</si>
  <si>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</si>
  <si>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</si>
  <si>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</si>
  <si>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</si>
  <si>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</si>
  <si>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</si>
  <si>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</si>
  <si>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</si>
  <si>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</si>
  <si>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</si>
  <si>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</si>
  <si>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</si>
  <si>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</si>
  <si>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</si>
  <si>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</si>
  <si>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</si>
  <si>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</si>
  <si>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</si>
  <si>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</si>
  <si>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</si>
  <si>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</si>
  <si>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</si>
  <si>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</si>
  <si>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</si>
  <si>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</si>
  <si>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</si>
  <si>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</si>
  <si>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</si>
  <si>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</si>
  <si>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</si>
  <si>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</si>
  <si>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</si>
  <si>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</si>
  <si>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</si>
  <si>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</si>
  <si>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</si>
  <si>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</si>
  <si>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</si>
  <si>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</si>
  <si>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</si>
  <si>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</si>
  <si>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</si>
  <si>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</si>
  <si>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</si>
  <si>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</si>
  <si>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</si>
  <si>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</si>
  <si>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</si>
  <si>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</si>
  <si>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U</t>
  </si>
  <si>
    <t>C:\Users\eloi.verge\OneDrive - EUROLEAGUE\Desktop\GAME REPORTS\25-26</t>
  </si>
  <si>
    <t>JOVAN VUJOVIC</t>
  </si>
  <si>
    <t>ELOI VERGÉ</t>
  </si>
  <si>
    <t>08:12</t>
  </si>
  <si>
    <t>05:18</t>
  </si>
  <si>
    <t>00:58</t>
  </si>
  <si>
    <t>00:31</t>
  </si>
  <si>
    <t>03:26</t>
  </si>
  <si>
    <t>Great job on the first half — really solid work. For the second half, however, it would have helped to pay closer attention to player numbers, especially on the first action of a sequence. That detail makes a big difference when tracking multiple consecutive plays. Also I would recommend to review a bit the assists criteria.
That said, I appreciate how quickly you corrected things and made adjustments. Keep building on that, I know your performance will be better next time.</t>
  </si>
  <si>
    <t>00:44</t>
  </si>
  <si>
    <t>08:47</t>
  </si>
  <si>
    <t>07:16</t>
  </si>
  <si>
    <t>07:13</t>
  </si>
  <si>
    <t>06:17</t>
  </si>
  <si>
    <t>It was a missed 2P</t>
  </si>
  <si>
    <t>03:57</t>
  </si>
  <si>
    <t>08:34</t>
  </si>
  <si>
    <t>And the related foul drawn</t>
  </si>
  <si>
    <t>06:56</t>
  </si>
  <si>
    <t>05:17</t>
  </si>
  <si>
    <t>04:10</t>
  </si>
  <si>
    <t>02:25</t>
  </si>
  <si>
    <t>02:24</t>
  </si>
  <si>
    <t>02:14</t>
  </si>
  <si>
    <t>02:13</t>
  </si>
  <si>
    <t>01:50</t>
  </si>
  <si>
    <t>00:01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</si>
</sst>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41" sqref="D4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02</v>
      </c>
      <c r="D1" s="124" t="s">
        <v>742</v>
      </c>
      <c r="E1" s="125">
        <v>2025</v>
      </c>
      <c r="F1" s="120" t="str">
        <f>TEXT(C1,"00") &amp; "_" &amp; TEXT(C2,"000")&amp; "_" &amp; H4 &amp; "_" &amp; H5 &amp; "_" &amp; B2</f>
        <v>02_020_BUD_TRN_U2025</v>
      </c>
      <c r="G1" s="5"/>
      <c r="H1" s="5"/>
      <c r="I1" s="5"/>
      <c r="J1" s="8" t="s">
        <v>707</v>
      </c>
      <c r="K1" s="121" t="s">
        <v>743</v>
      </c>
      <c r="L1" s="121"/>
      <c r="M1" s="122" t="s">
        <v>239</v>
      </c>
      <c r="N1" s="121" t="s">
        <v>743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20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45938.833333333336</v>
      </c>
      <c r="C3" s="157"/>
      <c r="D3" s="39">
        <v>646</v>
      </c>
      <c r="E3" s="29"/>
      <c r="F3" s="26">
        <f>SUBTOTAL(3,I17:I106)</f>
        <v>25</v>
      </c>
      <c r="G3" s="27">
        <f>IF(OR(D3="",D3=0),"",F3/D3)</f>
        <v>3.8699690402476783E-2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Buducnost VOLI Podgorica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/>
      <c r="L4" s="5"/>
      <c r="M4" s="167" t="s">
        <v>751</v>
      </c>
      <c r="N4" s="168"/>
      <c r="O4" s="2"/>
      <c r="P4" s="2"/>
      <c r="Q4" s="84" t="s">
        <v>175</v>
      </c>
      <c r="R4" s="94">
        <f>(IF(G3="",0,G3))</f>
        <v>3.8699690402476783E-2</v>
      </c>
      <c r="S4" s="61">
        <f>SUM(I13:M13)</f>
        <v>0</v>
      </c>
      <c r="T4" s="78"/>
      <c r="U4" s="61">
        <f>AC18</f>
        <v>9</v>
      </c>
      <c r="V4" s="61">
        <f>+AC22</f>
        <v>12</v>
      </c>
      <c r="W4" s="61">
        <f>AC24</f>
        <v>0</v>
      </c>
      <c r="X4" s="61">
        <f>AC29</f>
        <v>2</v>
      </c>
      <c r="Y4" s="61">
        <f>AC25</f>
        <v>2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Dolomiti Energia Trento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3.8699690402476783</v>
      </c>
      <c r="S5" s="70">
        <f t="shared" ref="S5" si="0">S4*S3</f>
        <v>0</v>
      </c>
      <c r="T5" s="92"/>
      <c r="U5" s="70">
        <f t="shared" ref="U5:AG5" si="1">U4*U3</f>
        <v>4.5</v>
      </c>
      <c r="V5" s="70">
        <f t="shared" si="1"/>
        <v>12</v>
      </c>
      <c r="W5" s="70">
        <f t="shared" si="1"/>
        <v>0</v>
      </c>
      <c r="X5" s="70">
        <f t="shared" si="1"/>
        <v>2</v>
      </c>
      <c r="Y5" s="70">
        <f t="shared" si="1"/>
        <v>4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718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26.369969040247678</v>
      </c>
      <c r="N7" s="58"/>
      <c r="O7" s="2"/>
      <c r="P7" s="2"/>
      <c r="Q7" s="86">
        <f>SUM(R5,S5,AC16)</f>
        <v>26.369969040247678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719</v>
      </c>
      <c r="E8" s="182"/>
      <c r="F8" s="182"/>
      <c r="G8" s="183"/>
      <c r="H8" s="129" t="s">
        <v>709</v>
      </c>
      <c r="I8" s="129" t="s">
        <v>710</v>
      </c>
      <c r="J8" s="129" t="s">
        <v>711</v>
      </c>
      <c r="K8" s="129" t="s">
        <v>712</v>
      </c>
      <c r="L8" s="129" t="s">
        <v>713</v>
      </c>
      <c r="M8" s="129" t="s">
        <v>108</v>
      </c>
      <c r="N8" s="2"/>
      <c r="O8" s="2"/>
      <c r="P8" s="2"/>
      <c r="Q8" s="85">
        <f>SUM(R5:BA5)</f>
        <v>26.369969040247678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744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721</v>
      </c>
      <c r="E10" s="182"/>
      <c r="F10" s="182"/>
      <c r="G10" s="183"/>
      <c r="H10" s="8"/>
      <c r="I10" s="10">
        <v>4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20</v>
      </c>
      <c r="H12" s="40">
        <f>$I$10</f>
        <v>4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25</v>
      </c>
      <c r="J15" s="24">
        <f>SUBTOTAL(3,J17:J106)</f>
        <v>25</v>
      </c>
      <c r="K15" s="24">
        <f>SUBTOTAL(3,K17:K106)</f>
        <v>25</v>
      </c>
      <c r="L15" s="24">
        <f>SUBTOTAL(3,L17:L106)</f>
        <v>25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2</v>
      </c>
      <c r="X16" s="67" t="s">
        <v>58</v>
      </c>
      <c r="Y16" s="75">
        <f>SUM(Y17:Y24)</f>
        <v>25</v>
      </c>
      <c r="Z16" s="90" t="s">
        <v>110</v>
      </c>
      <c r="AA16" s="75">
        <f>SUM(AA17:AA24)</f>
        <v>25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22.5</v>
      </c>
      <c r="AD16" s="75">
        <f>SUM(AD17:AD24)</f>
        <v>45</v>
      </c>
      <c r="AE16" s="76" t="s">
        <v>42</v>
      </c>
      <c r="AF16" s="75">
        <f>SUM(AF17:AF24)</f>
        <v>13</v>
      </c>
      <c r="AG16" s="75">
        <f>SUM(AG17:AG21)</f>
        <v>25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20</v>
      </c>
      <c r="D17" s="32" t="s">
        <v>746</v>
      </c>
      <c r="E17" s="33">
        <v>1</v>
      </c>
      <c r="F17" s="36">
        <v>4</v>
      </c>
      <c r="G17" s="36">
        <v>3</v>
      </c>
      <c r="H17" s="38" t="str">
        <f>IF(I17="","",$I$14)</f>
        <v>SCOUTING</v>
      </c>
      <c r="I17" s="34">
        <v>19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25</v>
      </c>
      <c r="Z17" s="105" t="s">
        <v>63</v>
      </c>
      <c r="AA17" s="62">
        <f>COUNTIF($K$17:$K$106,Z17)</f>
        <v>18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8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20</v>
      </c>
      <c r="D18" s="32" t="s">
        <v>747</v>
      </c>
      <c r="E18" s="33">
        <v>1</v>
      </c>
      <c r="F18" s="36">
        <v>11</v>
      </c>
      <c r="G18" s="36">
        <v>12</v>
      </c>
      <c r="H18" s="38" t="str">
        <f t="shared" ref="H18:H81" si="8">IF(I18="","",$I$14)</f>
        <v>SCOUTING</v>
      </c>
      <c r="I18" s="34">
        <v>56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7</v>
      </c>
      <c r="AB18" s="66" t="s">
        <v>5</v>
      </c>
      <c r="AC18" s="61">
        <f t="shared" si="5"/>
        <v>9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20</v>
      </c>
      <c r="D19" s="32" t="s">
        <v>748</v>
      </c>
      <c r="E19" s="33">
        <v>1</v>
      </c>
      <c r="F19" s="36">
        <v>21</v>
      </c>
      <c r="G19" s="36">
        <v>23</v>
      </c>
      <c r="H19" s="38" t="str">
        <f t="shared" si="8"/>
        <v>SCOUTING</v>
      </c>
      <c r="I19" s="34">
        <v>132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2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6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20</v>
      </c>
      <c r="D20" s="32" t="s">
        <v>749</v>
      </c>
      <c r="E20" s="33">
        <v>1</v>
      </c>
      <c r="F20" s="36">
        <v>21</v>
      </c>
      <c r="G20" s="36">
        <v>24</v>
      </c>
      <c r="H20" s="38" t="str">
        <f t="shared" si="8"/>
        <v>SCOUTING</v>
      </c>
      <c r="I20" s="34">
        <v>140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3</v>
      </c>
      <c r="AG20" s="62">
        <f>COUNTIF($E$17:$E$106,$AK20)</f>
        <v>13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20</v>
      </c>
      <c r="D21" s="32" t="s">
        <v>750</v>
      </c>
      <c r="E21" s="33">
        <v>2</v>
      </c>
      <c r="F21" s="36">
        <v>45</v>
      </c>
      <c r="G21" s="36">
        <v>43</v>
      </c>
      <c r="H21" s="38" t="str">
        <f t="shared" si="8"/>
        <v>SCOUTING</v>
      </c>
      <c r="I21" s="34">
        <v>266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20</v>
      </c>
      <c r="D22" s="32" t="s">
        <v>752</v>
      </c>
      <c r="E22" s="33">
        <v>2</v>
      </c>
      <c r="F22" s="36">
        <v>56</v>
      </c>
      <c r="G22" s="36">
        <v>48</v>
      </c>
      <c r="H22" s="38" t="str">
        <f t="shared" si="8"/>
        <v>SCOUTING</v>
      </c>
      <c r="I22" s="34">
        <v>305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20</v>
      </c>
      <c r="D23" s="32" t="s">
        <v>753</v>
      </c>
      <c r="E23" s="33">
        <v>3</v>
      </c>
      <c r="F23" s="36">
        <v>56</v>
      </c>
      <c r="G23" s="36">
        <v>57</v>
      </c>
      <c r="H23" s="38" t="str">
        <f t="shared" si="8"/>
        <v>SCOUTING</v>
      </c>
      <c r="I23" s="34">
        <v>331</v>
      </c>
      <c r="J23" s="13" t="s">
        <v>4</v>
      </c>
      <c r="K23" s="13" t="s">
        <v>63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20</v>
      </c>
      <c r="D24" s="32" t="s">
        <v>754</v>
      </c>
      <c r="E24" s="33">
        <v>3</v>
      </c>
      <c r="F24" s="36">
        <v>60</v>
      </c>
      <c r="G24" s="36">
        <v>61</v>
      </c>
      <c r="H24" s="38" t="str">
        <f t="shared" si="8"/>
        <v>SCOUTING</v>
      </c>
      <c r="I24" s="34">
        <v>354</v>
      </c>
      <c r="J24" s="13" t="s">
        <v>4</v>
      </c>
      <c r="K24" s="13" t="s">
        <v>63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2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20</v>
      </c>
      <c r="D25" s="32" t="s">
        <v>755</v>
      </c>
      <c r="E25" s="33">
        <v>3</v>
      </c>
      <c r="F25" s="36">
        <v>60</v>
      </c>
      <c r="G25" s="36">
        <v>63</v>
      </c>
      <c r="H25" s="38" t="str">
        <f t="shared" si="8"/>
        <v>SCOUTING</v>
      </c>
      <c r="I25" s="34">
        <v>357</v>
      </c>
      <c r="J25" s="13" t="s">
        <v>4</v>
      </c>
      <c r="K25" s="13" t="s">
        <v>63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20</v>
      </c>
      <c r="D26" s="32" t="s">
        <v>756</v>
      </c>
      <c r="E26" s="33">
        <v>3</v>
      </c>
      <c r="F26" s="36">
        <v>60</v>
      </c>
      <c r="G26" s="36">
        <v>63</v>
      </c>
      <c r="H26" s="38" t="str">
        <f t="shared" si="8"/>
        <v>SCOUTING</v>
      </c>
      <c r="I26" s="34">
        <v>365</v>
      </c>
      <c r="J26" s="13" t="s">
        <v>4</v>
      </c>
      <c r="K26" s="13" t="s">
        <v>63</v>
      </c>
      <c r="L26" s="13" t="s">
        <v>48</v>
      </c>
      <c r="M26" s="13" t="s">
        <v>26</v>
      </c>
      <c r="N26" s="35" t="s">
        <v>757</v>
      </c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20</v>
      </c>
      <c r="D27" s="32" t="s">
        <v>758</v>
      </c>
      <c r="E27" s="33">
        <v>3</v>
      </c>
      <c r="F27" s="36">
        <v>62</v>
      </c>
      <c r="G27" s="36">
        <v>70</v>
      </c>
      <c r="H27" s="38" t="str">
        <f t="shared" si="8"/>
        <v>SCOUTING</v>
      </c>
      <c r="I27" s="34">
        <v>402</v>
      </c>
      <c r="J27" s="13" t="s">
        <v>4</v>
      </c>
      <c r="K27" s="13" t="s">
        <v>63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20</v>
      </c>
      <c r="D28" s="32" t="s">
        <v>759</v>
      </c>
      <c r="E28" s="33">
        <v>4</v>
      </c>
      <c r="F28" s="36">
        <v>72</v>
      </c>
      <c r="G28" s="36">
        <v>88</v>
      </c>
      <c r="H28" s="38" t="str">
        <f t="shared" si="8"/>
        <v>SCOUTING</v>
      </c>
      <c r="I28" s="34">
        <v>493</v>
      </c>
      <c r="J28" s="13" t="s">
        <v>4</v>
      </c>
      <c r="K28" s="13" t="s">
        <v>63</v>
      </c>
      <c r="L28" s="13" t="s">
        <v>75</v>
      </c>
      <c r="M28" s="13" t="s">
        <v>8</v>
      </c>
      <c r="N28" s="35" t="s">
        <v>760</v>
      </c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20</v>
      </c>
      <c r="D29" s="32" t="s">
        <v>761</v>
      </c>
      <c r="E29" s="33">
        <v>4</v>
      </c>
      <c r="F29" s="36">
        <v>74</v>
      </c>
      <c r="G29" s="36">
        <v>91</v>
      </c>
      <c r="H29" s="38" t="str">
        <f t="shared" si="8"/>
        <v>SCOUTING</v>
      </c>
      <c r="I29" s="34">
        <v>509</v>
      </c>
      <c r="J29" s="13" t="s">
        <v>4</v>
      </c>
      <c r="K29" s="13" t="s">
        <v>63</v>
      </c>
      <c r="L29" s="13" t="s">
        <v>6</v>
      </c>
      <c r="M29" s="13" t="s">
        <v>39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20</v>
      </c>
      <c r="D30" s="32" t="s">
        <v>762</v>
      </c>
      <c r="E30" s="33">
        <v>4</v>
      </c>
      <c r="F30" s="36">
        <v>79</v>
      </c>
      <c r="G30" s="36">
        <v>95</v>
      </c>
      <c r="H30" s="38" t="str">
        <f t="shared" si="8"/>
        <v>SCOUTING</v>
      </c>
      <c r="I30" s="34">
        <v>545</v>
      </c>
      <c r="J30" s="13" t="s">
        <v>4</v>
      </c>
      <c r="K30" s="13" t="s">
        <v>63</v>
      </c>
      <c r="L30" s="13" t="s">
        <v>6</v>
      </c>
      <c r="M30" s="13" t="s">
        <v>168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2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U2025</v>
      </c>
      <c r="C31" s="31">
        <f t="shared" si="3"/>
        <v>20</v>
      </c>
      <c r="D31" s="32" t="s">
        <v>762</v>
      </c>
      <c r="E31" s="33">
        <v>4</v>
      </c>
      <c r="F31" s="36">
        <v>79</v>
      </c>
      <c r="G31" s="36">
        <v>95</v>
      </c>
      <c r="H31" s="38" t="str">
        <f t="shared" si="8"/>
        <v>SCOUTING</v>
      </c>
      <c r="I31" s="34">
        <v>546</v>
      </c>
      <c r="J31" s="13" t="s">
        <v>4</v>
      </c>
      <c r="K31" s="13" t="s">
        <v>63</v>
      </c>
      <c r="L31" s="13" t="s">
        <v>6</v>
      </c>
      <c r="M31" s="13" t="s">
        <v>9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U2025</v>
      </c>
      <c r="C32" s="31">
        <f t="shared" si="3"/>
        <v>20</v>
      </c>
      <c r="D32" s="32" t="s">
        <v>763</v>
      </c>
      <c r="E32" s="33">
        <v>4</v>
      </c>
      <c r="F32" s="36">
        <v>83</v>
      </c>
      <c r="G32" s="36">
        <v>95</v>
      </c>
      <c r="H32" s="38" t="str">
        <f t="shared" si="8"/>
        <v>SCOUTING</v>
      </c>
      <c r="I32" s="34">
        <v>571</v>
      </c>
      <c r="J32" s="13" t="s">
        <v>4</v>
      </c>
      <c r="K32" s="13" t="s">
        <v>62</v>
      </c>
      <c r="L32" s="13" t="s">
        <v>5</v>
      </c>
      <c r="M32" s="13" t="s">
        <v>11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>U2025</v>
      </c>
      <c r="C33" s="31">
        <f t="shared" si="3"/>
        <v>20</v>
      </c>
      <c r="D33" s="32" t="s">
        <v>764</v>
      </c>
      <c r="E33" s="33">
        <v>4</v>
      </c>
      <c r="F33" s="36">
        <v>90</v>
      </c>
      <c r="G33" s="36">
        <v>97</v>
      </c>
      <c r="H33" s="38" t="str">
        <f t="shared" si="8"/>
        <v>SCOUTING</v>
      </c>
      <c r="I33" s="34">
        <v>594</v>
      </c>
      <c r="J33" s="13" t="s">
        <v>4</v>
      </c>
      <c r="K33" s="13" t="s">
        <v>63</v>
      </c>
      <c r="L33" s="13" t="s">
        <v>6</v>
      </c>
      <c r="M33" s="13" t="s">
        <v>10</v>
      </c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>U2025</v>
      </c>
      <c r="C34" s="31">
        <f t="shared" si="3"/>
        <v>20</v>
      </c>
      <c r="D34" s="32" t="s">
        <v>765</v>
      </c>
      <c r="E34" s="33">
        <v>4</v>
      </c>
      <c r="F34" s="36">
        <v>90</v>
      </c>
      <c r="G34" s="36">
        <v>97</v>
      </c>
      <c r="H34" s="38" t="str">
        <f t="shared" si="8"/>
        <v>SCOUTING</v>
      </c>
      <c r="I34" s="34">
        <v>595</v>
      </c>
      <c r="J34" s="13" t="s">
        <v>4</v>
      </c>
      <c r="K34" s="13" t="s">
        <v>63</v>
      </c>
      <c r="L34" s="13" t="s">
        <v>6</v>
      </c>
      <c r="M34" s="13" t="s">
        <v>9</v>
      </c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>U2025</v>
      </c>
      <c r="C35" s="31">
        <f t="shared" si="3"/>
        <v>20</v>
      </c>
      <c r="D35" s="32" t="s">
        <v>766</v>
      </c>
      <c r="E35" s="33">
        <v>4</v>
      </c>
      <c r="F35" s="36">
        <v>90</v>
      </c>
      <c r="G35" s="36">
        <v>97</v>
      </c>
      <c r="H35" s="38" t="str">
        <f t="shared" si="8"/>
        <v>SCOUTING</v>
      </c>
      <c r="I35" s="34">
        <v>596</v>
      </c>
      <c r="J35" s="13" t="s">
        <v>4</v>
      </c>
      <c r="K35" s="13" t="s">
        <v>62</v>
      </c>
      <c r="L35" s="13" t="s">
        <v>6</v>
      </c>
      <c r="M35" s="13" t="s">
        <v>10</v>
      </c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4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>U2025</v>
      </c>
      <c r="C36" s="31">
        <f t="shared" si="3"/>
        <v>20</v>
      </c>
      <c r="D36" s="32" t="s">
        <v>767</v>
      </c>
      <c r="E36" s="33">
        <v>4</v>
      </c>
      <c r="F36" s="36">
        <v>90</v>
      </c>
      <c r="G36" s="36">
        <v>97</v>
      </c>
      <c r="H36" s="38" t="str">
        <f t="shared" si="8"/>
        <v>SCOUTING</v>
      </c>
      <c r="I36" s="34">
        <v>597</v>
      </c>
      <c r="J36" s="13" t="s">
        <v>4</v>
      </c>
      <c r="K36" s="13" t="s">
        <v>62</v>
      </c>
      <c r="L36" s="13" t="s">
        <v>48</v>
      </c>
      <c r="M36" s="13" t="s">
        <v>26</v>
      </c>
      <c r="N36" s="35" t="s">
        <v>757</v>
      </c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>U2025</v>
      </c>
      <c r="C37" s="31">
        <f t="shared" si="3"/>
        <v>20</v>
      </c>
      <c r="D37" s="32" t="s">
        <v>768</v>
      </c>
      <c r="E37" s="33">
        <v>4</v>
      </c>
      <c r="F37" s="36">
        <v>92</v>
      </c>
      <c r="G37" s="36">
        <v>99</v>
      </c>
      <c r="H37" s="38" t="str">
        <f t="shared" si="8"/>
        <v>SCOUTING</v>
      </c>
      <c r="I37" s="34">
        <v>612</v>
      </c>
      <c r="J37" s="13" t="s">
        <v>4</v>
      </c>
      <c r="K37" s="13" t="s">
        <v>62</v>
      </c>
      <c r="L37" s="13" t="s">
        <v>5</v>
      </c>
      <c r="M37" s="13" t="s">
        <v>28</v>
      </c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>U2025</v>
      </c>
      <c r="C38" s="31">
        <f t="shared" si="3"/>
        <v>20</v>
      </c>
      <c r="D38" s="32" t="s">
        <v>769</v>
      </c>
      <c r="E38" s="33">
        <v>3</v>
      </c>
      <c r="F38" s="36">
        <v>68</v>
      </c>
      <c r="G38" s="36">
        <v>83</v>
      </c>
      <c r="H38" s="38" t="str">
        <f t="shared" si="8"/>
        <v>SCOUTING</v>
      </c>
      <c r="I38" s="34">
        <v>470</v>
      </c>
      <c r="J38" s="13" t="s">
        <v>4</v>
      </c>
      <c r="K38" s="13" t="s">
        <v>63</v>
      </c>
      <c r="L38" s="13" t="s">
        <v>6</v>
      </c>
      <c r="M38" s="13" t="s">
        <v>10</v>
      </c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>U2025</v>
      </c>
      <c r="C39" s="31">
        <f t="shared" si="3"/>
        <v>20</v>
      </c>
      <c r="D39" s="32" t="s">
        <v>747</v>
      </c>
      <c r="E39" s="33">
        <v>4</v>
      </c>
      <c r="F39" s="36">
        <v>79</v>
      </c>
      <c r="G39" s="36">
        <v>95</v>
      </c>
      <c r="H39" s="38" t="str">
        <f t="shared" si="8"/>
        <v>SCOUTING</v>
      </c>
      <c r="I39" s="34">
        <v>541</v>
      </c>
      <c r="J39" s="13" t="s">
        <v>4</v>
      </c>
      <c r="K39" s="13" t="s">
        <v>63</v>
      </c>
      <c r="L39" s="13" t="s">
        <v>6</v>
      </c>
      <c r="M39" s="13" t="s">
        <v>168</v>
      </c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>U2025</v>
      </c>
      <c r="C40" s="31">
        <f t="shared" si="3"/>
        <v>20</v>
      </c>
      <c r="D40" s="32" t="s">
        <v>762</v>
      </c>
      <c r="E40" s="33">
        <v>4</v>
      </c>
      <c r="F40" s="36">
        <v>79</v>
      </c>
      <c r="G40" s="36">
        <v>95</v>
      </c>
      <c r="H40" s="38" t="str">
        <f t="shared" si="8"/>
        <v>SCOUTING</v>
      </c>
      <c r="I40" s="34">
        <v>542</v>
      </c>
      <c r="J40" s="13" t="s">
        <v>4</v>
      </c>
      <c r="K40" s="13" t="s">
        <v>63</v>
      </c>
      <c r="L40" s="13" t="s">
        <v>6</v>
      </c>
      <c r="M40" s="13" t="s">
        <v>9</v>
      </c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>U2025</v>
      </c>
      <c r="C41" s="31">
        <f t="shared" si="3"/>
        <v>20</v>
      </c>
      <c r="D41" s="32" t="s">
        <v>768</v>
      </c>
      <c r="E41" s="33">
        <v>4</v>
      </c>
      <c r="F41" s="36">
        <v>92</v>
      </c>
      <c r="G41" s="36">
        <v>99</v>
      </c>
      <c r="H41" s="38" t="str">
        <f t="shared" si="8"/>
        <v>SCOUTING</v>
      </c>
      <c r="I41" s="34">
        <v>613</v>
      </c>
      <c r="J41" s="13" t="s">
        <v>4</v>
      </c>
      <c r="K41" s="13" t="s">
        <v>63</v>
      </c>
      <c r="L41" s="13" t="s">
        <v>75</v>
      </c>
      <c r="M41" s="13" t="s">
        <v>8</v>
      </c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3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7SogzE2IiUKxzOFNreW8e4r+i5vBBRRuWjomTnWzqq2qNiSKh3TM3l+4QLtda8MwY7U+xBuSE15PL4wXh1HDA==" saltValue="pT5OsinYYNdFDXJ0ccPKMw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8" sqref="D8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REPORT_U2025020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"U2025020"</v>
      </c>
      <c r="F3" s="45" t="str">
        <f t="shared" ref="F3:F16" si="0">""""&amp;B3&amp;"""" &amp; " : " &amp;C3&amp;","</f>
        <v>"name" : "U2025020",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"U020"</v>
      </c>
      <c r="F4" s="45" t="str">
        <f t="shared" si="0"/>
        <v>"cod" : "U020",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020</v>
      </c>
      <c r="F6" s="45" t="str">
        <f t="shared" si="0"/>
        <v>"number" : 020,</v>
      </c>
    </row>
    <row r="7" spans="2:6" x14ac:dyDescent="0.25">
      <c r="B7" s="43" t="s">
        <v>116</v>
      </c>
      <c r="C7" s="43" t="str">
        <f ca="1">""""&amp;TEXT('SCOUT &amp; LOGISTICS'!B3,"dd/mm/aaaa")&amp;""""</f>
        <v>"08/10/2025"</v>
      </c>
      <c r="F7" s="45" t="str">
        <f t="shared" ca="1" si="0"/>
        <v>"date" : "08/10/2025",</v>
      </c>
    </row>
    <row r="8" spans="2:6" x14ac:dyDescent="0.25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"SINISA SEKULIC"</v>
      </c>
      <c r="F10" s="45" t="str">
        <f t="shared" si="0"/>
        <v>"Data_entry" : "SINISA SEKULIC",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"PETAR VUJACIC"</v>
      </c>
      <c r="F11" s="45" t="str">
        <f t="shared" si="0"/>
        <v>"Caller_1" : "PETAR VUJACIC",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"LAZAR VUJICIC"</v>
      </c>
      <c r="F12" s="45" t="str">
        <f t="shared" si="0"/>
        <v>"Caller_2" : "LAZAR VUJICIC",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"JOVAN VUJOVIC"</v>
      </c>
      <c r="F13" s="45" t="str">
        <f t="shared" si="0"/>
        <v>"Timerkeeper" : "JOVAN VUJOVIC",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646</v>
      </c>
      <c r="F25" s="45" t="str">
        <f t="shared" ref="F25:F48" si="1">""""&amp;C25&amp;"""" &amp; " : " &amp;D25&amp;","</f>
        <v>"total_actions" : 646,</v>
      </c>
    </row>
    <row r="26" spans="2:6" x14ac:dyDescent="0.25">
      <c r="C26" s="43" t="s">
        <v>132</v>
      </c>
      <c r="D26" s="43">
        <f>'SCOUT &amp; LOGISTICS'!F3</f>
        <v>25</v>
      </c>
      <c r="F26" s="45" t="str">
        <f t="shared" si="1"/>
        <v>"total_correcions" : 25,</v>
      </c>
    </row>
    <row r="27" spans="2:6" x14ac:dyDescent="0.25">
      <c r="C27" s="43" t="s">
        <v>133</v>
      </c>
      <c r="D27" s="43" t="str">
        <f>""""&amp;IF(OR(D25="",D25=0),"",TEXT(D26/D25,"0,0%"))&amp;""""</f>
        <v>"3,9%"</v>
      </c>
      <c r="F27" s="45" t="str">
        <f t="shared" si="1"/>
        <v>"%_corrections" : "3,9%",</v>
      </c>
    </row>
    <row r="28" spans="2:6" x14ac:dyDescent="0.25">
      <c r="C28" s="43" t="s">
        <v>125</v>
      </c>
      <c r="D28" s="43">
        <f>IF('SCOUT &amp; LOGISTICS'!AA17="","",'SCOUT &amp; LOGISTICS'!AA17)</f>
        <v>18</v>
      </c>
      <c r="F28" s="45" t="str">
        <f t="shared" si="1"/>
        <v>"home_team" : 18,</v>
      </c>
    </row>
    <row r="29" spans="2:6" x14ac:dyDescent="0.25">
      <c r="C29" s="43" t="s">
        <v>134</v>
      </c>
      <c r="D29" s="43">
        <f>IF('SCOUT &amp; LOGISTICS'!AA18="","",'SCOUT &amp; LOGISTICS'!AA18)</f>
        <v>7</v>
      </c>
      <c r="F29" s="45" t="str">
        <f t="shared" si="1"/>
        <v>"no_team" : 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6</v>
      </c>
      <c r="F33" s="45" t="str">
        <f t="shared" si="1"/>
        <v>"q3" : 6,</v>
      </c>
    </row>
    <row r="34" spans="3:6" x14ac:dyDescent="0.25">
      <c r="C34" s="43" t="s">
        <v>138</v>
      </c>
      <c r="D34" s="43">
        <f>'SCOUT &amp; LOGISTICS'!AG20</f>
        <v>13</v>
      </c>
      <c r="F34" s="45" t="str">
        <f t="shared" si="1"/>
        <v>"q4" : 13,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25</v>
      </c>
      <c r="F37" s="45" t="str">
        <f t="shared" si="1"/>
        <v>"scoresheet_corrections" : 25,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9</v>
      </c>
      <c r="F39" s="45" t="str">
        <f t="shared" si="1"/>
        <v>"missidentity" : 9,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2</v>
      </c>
      <c r="F48" s="45" t="str">
        <f t="shared" si="1"/>
        <v>"fouls" : 2,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job on the first half — really solid work. For the second half, however, it would have helped to pay closer attention to player numbers, especially on the first action of a sequence. That detail makes a big difference when tracking multiple consecutive plays. Also I would recommend to review a bit the assists criteria.
That said, I appreciate how quickly you corrected things and made adjustments. Keep building on that, I know your performance will be better next time."</v>
      </c>
      <c r="F51" s="45" t="str">
        <f>""""&amp;B51&amp;"""" &amp; " : " &amp;C51&amp;","</f>
        <v>"comments" : "Great job on the first half — really solid work. For the second half, however, it would have helped to pay closer attention to player numbers, especially on the first action of a sequence. That detail makes a big difference when tracking multiple consecutive plays. Also I would recommend to review a bit the assists criteria.
That said, I appreciate how quickly you corrected things and made adjustments. Keep building on that, I know your performance will be better next time.",</v>
      </c>
    </row>
    <row r="52" spans="2:6" x14ac:dyDescent="0.25">
      <c r="B52" s="43" t="s">
        <v>153</v>
      </c>
      <c r="C52" s="43" t="str">
        <f>TEXT('SCOUT &amp; LOGISTICS'!F1,"0,0")</f>
        <v>02_020_BUD_TRN_U2025</v>
      </c>
      <c r="F52" s="45" t="str">
        <f>""""&amp;B52&amp;"""" &amp; " : " &amp;C52</f>
        <v>"result" : 02_020_BUD_TRN_U2025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U020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Buducnost Voli Podgorica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Dolomiti Energia Trento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SINISA SEKULIC</v>
      </c>
      <c r="C8" s="206"/>
      <c r="D8" s="206"/>
      <c r="E8" s="206"/>
      <c r="F8" s="206"/>
      <c r="G8" s="206" t="str">
        <f>IF('SCOUT &amp; LOGISTICS'!D7="","",'SCOUT &amp; LOGISTICS'!D7)</f>
        <v>PETAR VUJACIC</v>
      </c>
      <c r="H8" s="206"/>
      <c r="I8" s="206"/>
      <c r="J8" s="206"/>
      <c r="K8" s="206"/>
      <c r="L8" s="206" t="str">
        <f>IF('SCOUT &amp; LOGISTICS'!D8="","",'SCOUT &amp; LOGISTICS'!D8)</f>
        <v>LAZAR VUJICIC</v>
      </c>
      <c r="M8" s="206"/>
      <c r="N8" s="206"/>
      <c r="O8" s="206"/>
      <c r="P8" s="206"/>
      <c r="Q8" s="206" t="str">
        <f>IF('SCOUT &amp; LOGISTICS'!D9="","",'SCOUT &amp; LOGISTICS'!D9)</f>
        <v>JOVAN VUJOVIC</v>
      </c>
      <c r="R8" s="206"/>
      <c r="S8" s="206"/>
      <c r="T8" s="206"/>
      <c r="U8" s="206"/>
      <c r="V8" s="206" t="str">
        <f>IF('SCOUT &amp; LOGISTICS'!D10="","",'SCOUT &amp; LOGISTICS'!D10)</f>
        <v>KAROLINA RADINOVIC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646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3.8699690402476783E-2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18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7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6</v>
      </c>
      <c r="O22" s="197"/>
      <c r="P22" s="197"/>
      <c r="Q22" s="197"/>
      <c r="R22" s="197"/>
      <c r="S22" s="197"/>
      <c r="T22" s="197">
        <f>'SCOUT &amp; LOGISTICS'!AG20</f>
        <v>13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25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9</v>
      </c>
      <c r="C27" s="197"/>
      <c r="D27" s="197"/>
      <c r="E27" s="197"/>
      <c r="F27" s="197"/>
      <c r="G27" s="197">
        <f>'SCOUT &amp; LOGISTICS'!AC22</f>
        <v>12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Great job on the first half — really solid work. For the second half, however, it would have helped to pay closer attention to player numbers, especially on the first action of a sequence. That detail makes a big difference when tracking multiple consecutive plays. Also I would recommend to review a bit the assists criteria.
That said, I appreciate how quickly you corrected things and made adjustments. Keep building on that, I know your performance will be better next time.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26.369969040247678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C7B201-2D3C-4120-AF6E-1264AC6B4CB3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2025-10-08T14:24:07Z</cp:lastPrinted>
  <dcterms:created xsi:type="dcterms:W3CDTF">2023-09-19T19:50:35Z</dcterms:created>
  <dcterms:modified xsi:type="dcterms:W3CDTF">2025-10-09T17:04:09Z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