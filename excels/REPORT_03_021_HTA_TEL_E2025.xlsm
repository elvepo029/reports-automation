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"/>
    </mc:Choice>
  </mc:AlternateContent>
  <xr:revisionPtr revIDLastSave="14" documentId="8_{6FACBE22-DFCB-4C3E-A9C8-05930D3AACC6}" xr6:coauthVersionLast="47" xr6:coauthVersionMax="47" xr10:uidLastSave="{AAC4026E-4486-40DA-ABDF-26ADE427B98A}"/>
  <bookViews>
    <workbookView xWindow="-108" yWindow="-108" windowWidth="23256" windowHeight="12456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H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<sst xmlns="http://schemas.openxmlformats.org/spreadsheetml/2006/main" count="3274" uniqueCount="762">
  <si>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</si>
  <si>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</si>
  <si>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</si>
  <si>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</si>
  <si>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</si>
  <si>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</si>
  <si>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</si>
  <si>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</si>
  <si>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</si>
  <si>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</si>
  <si>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</si>
  <si>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</si>
  <si>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</si>
  <si>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</si>
  <si>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</si>
  <si>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</si>
  <si>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</si>
  <si>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</si>
  <si>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</si>
  <si>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</si>
  <si>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</si>
  <si>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</si>
  <si>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</si>
  <si>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</si>
  <si>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</si>
  <si>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</si>
  <si>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</si>
  <si>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</si>
  <si>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</si>
  <si>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</si>
  <si>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</si>
  <si>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</si>
  <si>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</si>
  <si>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</si>
  <si>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</si>
  <si>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</si>
  <si>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</si>
  <si>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</si>
  <si>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</si>
  <si>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</si>
  <si>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</si>
  <si>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</si>
  <si>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</si>
  <si>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</si>
  <si>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</si>
  <si>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</si>
  <si>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</si>
  <si>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</si>
  <si>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</si>
  <si>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</si>
  <si>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</si>
  <si>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</si>
  <si>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</si>
  <si>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</si>
  <si>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</si>
  <si>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</si>
  <si>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</si>
  <si>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</si>
  <si>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</si>
  <si>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</si>
  <si>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</si>
  <si>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</si>
  <si>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</si>
  <si>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</si>
  <si>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</si>
  <si>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</si>
  <si>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</si>
  <si>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</si>
  <si>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</si>
  <si>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</si>
  <si>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</si>
  <si>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</si>
  <si>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</si>
  <si>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</si>
  <si>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</si>
  <si>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</si>
  <si>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</si>
  <si>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</si>
  <si>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</si>
  <si>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</si>
  <si>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</si>
  <si>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</si>
  <si>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</si>
  <si>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</si>
  <si>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</si>
  <si>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</si>
  <si>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</si>
  <si>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</si>
  <si>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</si>
  <si>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</si>
  <si>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</si>
  <si>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</si>
  <si>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</si>
  <si>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</si>
  <si>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</si>
  <si>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</si>
  <si>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</si>
  <si>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</si>
  <si>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</si>
  <si>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</si>
  <si>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</si>
  <si>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</si>
  <si>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</si>
  <si>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</si>
  <si>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</si>
  <si>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</si>
  <si>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</si>
  <si>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</si>
  <si>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</si>
  <si>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</si>
  <si>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</si>
  <si>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</si>
  <si>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</si>
  <si>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</si>
  <si>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</si>
  <si>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</si>
  <si>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</si>
  <si>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</si>
  <si>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</si>
  <si>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</si>
  <si>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</si>
  <si>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</si>
  <si>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</si>
  <si>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</si>
  <si>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</si>
  <si>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</si>
  <si>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</si>
  <si>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</si>
  <si>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</si>
  <si>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</si>
  <si>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</si>
  <si>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</si>
  <si>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</si>
  <si>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</si>
  <si>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</si>
  <si>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</si>
  <si>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</si>
  <si>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</si>
  <si>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</si>
  <si>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</si>
  <si>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</si>
  <si>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</si>
  <si>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</si>
  <si>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</si>
  <si>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</si>
  <si>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</si>
  <si>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</si>
  <si>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</si>
  <si>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</si>
  <si>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</si>
  <si>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</si>
  <si>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</si>
  <si>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</si>
  <si>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</si>
  <si>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</si>
  <si>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</si>
  <si>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</si>
  <si>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</si>
  <si>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</si>
  <si>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</si>
  <si>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</si>
  <si>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</si>
  <si>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</si>
  <si>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</si>
  <si>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</si>
  <si>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</si>
  <si>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</si>
  <si>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</si>
  <si>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</si>
  <si>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</si>
  <si>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</si>
  <si>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</si>
  <si>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</si>
  <si>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</si>
  <si>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</si>
  <si>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</si>
  <si>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</si>
  <si>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</si>
  <si>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</si>
  <si>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</si>
  <si>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</si>
  <si>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</si>
  <si>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</si>
  <si>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</si>
  <si>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</si>
  <si>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</si>
  <si>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</si>
  <si>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</si>
  <si>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</si>
  <si>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</si>
  <si>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</si>
  <si>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</si>
  <si>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</si>
  <si>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</si>
  <si>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</si>
  <si>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</si>
  <si>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</si>
  <si>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</si>
  <si>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</si>
  <si>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</si>
  <si>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</si>
  <si>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</si>
  <si>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</si>
  <si>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</si>
  <si>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</si>
  <si>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</si>
  <si>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</si>
  <si>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</si>
  <si>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</si>
  <si>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</si>
  <si>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</si>
  <si>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</si>
  <si>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</si>
  <si>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</si>
  <si>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</si>
  <si>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</si>
  <si>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</si>
  <si>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</si>
  <si>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</si>
  <si>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</si>
  <si>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</si>
  <si>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</si>
  <si>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</si>
  <si>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</si>
  <si>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</si>
  <si>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</si>
  <si>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</si>
  <si>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</si>
  <si>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</si>
  <si>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</si>
  <si>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</si>
  <si>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</si>
  <si>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</si>
  <si>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</si>
  <si>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</si>
  <si>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</si>
  <si>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</si>
  <si>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</si>
  <si>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</si>
  <si>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</si>
  <si>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</si>
  <si>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</si>
  <si>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</si>
  <si>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</si>
  <si>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</si>
  <si>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</si>
  <si>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</si>
  <si>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</si>
  <si>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</si>
  <si>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</si>
  <si>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</si>
  <si>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</si>
  <si>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</si>
  <si>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</si>
  <si>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</si>
  <si>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</si>
  <si>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</si>
  <si>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</si>
  <si>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</si>
  <si>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</si>
  <si>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</si>
  <si>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</si>
  <si>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</si>
  <si>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</si>
  <si>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</si>
  <si>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</si>
  <si>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</si>
  <si>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</si>
  <si>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</si>
  <si>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</si>
  <si>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</si>
  <si>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</si>
  <si>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</si>
  <si>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</si>
  <si>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</si>
  <si>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</si>
  <si>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</si>
  <si>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</si>
  <si>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</si>
  <si>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</si>
  <si>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</si>
  <si>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</si>
  <si>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</si>
  <si>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</si>
  <si>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</si>
  <si>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</si>
  <si>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</si>
  <si>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</si>
  <si>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</si>
  <si>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</si>
  <si>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</si>
  <si>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</si>
  <si>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</si>
  <si>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</si>
  <si>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</si>
  <si>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</si>
  <si>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</si>
  <si>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</si>
  <si>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</si>
  <si>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</si>
  <si>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</si>
  <si>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</si>
  <si>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</si>
  <si>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</si>
  <si>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</si>
  <si>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</si>
  <si>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</si>
  <si>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</si>
  <si>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</si>
  <si>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</si>
  <si>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</si>
  <si>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</si>
  <si>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</si>
  <si>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</si>
  <si>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</si>
  <si>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</si>
  <si>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</si>
  <si>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</si>
  <si>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</si>
  <si>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</si>
  <si>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</si>
  <si>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</si>
  <si>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</si>
  <si>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</si>
  <si>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</si>
  <si>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</si>
  <si>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</si>
  <si>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</si>
  <si>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</si>
  <si>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</si>
  <si>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</si>
  <si>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</si>
  <si>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</si>
  <si>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</si>
  <si>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</si>
  <si>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</si>
  <si>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</si>
  <si>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</si>
  <si>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</si>
  <si>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</si>
  <si>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</si>
  <si>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</si>
  <si>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</si>
  <si>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</si>
  <si>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</si>
  <si>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</si>
  <si>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</si>
  <si>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</si>
  <si>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</si>
  <si>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</si>
  <si>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</si>
  <si>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</si>
  <si>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</si>
  <si>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</si>
  <si>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</si>
  <si>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</si>
  <si>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</si>
  <si>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</si>
  <si>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</si>
  <si>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</si>
  <si>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</si>
  <si>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</si>
  <si>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</si>
  <si>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</si>
  <si>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</si>
  <si>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</si>
  <si>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</si>
  <si>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</si>
  <si>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</si>
  <si>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</si>
  <si>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</si>
  <si>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</si>
  <si>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</si>
  <si>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</si>
  <si>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</si>
  <si>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</si>
  <si>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</si>
  <si>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</si>
  <si>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</si>
  <si>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</si>
  <si>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</si>
  <si>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</si>
  <si>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</si>
  <si>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</si>
  <si>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</si>
  <si>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</si>
  <si>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</si>
  <si>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</si>
  <si>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</si>
  <si>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</si>
  <si>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</si>
  <si>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</si>
  <si>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</si>
  <si>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</si>
  <si>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</si>
  <si>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</si>
  <si>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</si>
  <si>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</si>
  <si>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</si>
  <si>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</si>
  <si>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</si>
  <si>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</si>
  <si>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</si>
  <si>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</si>
  <si>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</si>
  <si>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</si>
  <si>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</si>
  <si>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</si>
  <si>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</si>
  <si>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</si>
  <si>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</si>
  <si>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</si>
  <si>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</si>
  <si>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</si>
  <si>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</si>
  <si>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</si>
  <si>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</si>
  <si>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</si>
  <si>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</si>
  <si>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</si>
  <si>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</si>
  <si>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</si>
  <si>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</si>
  <si>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</si>
  <si>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</si>
  <si>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</si>
  <si>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</si>
  <si>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</si>
  <si>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</si>
  <si>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</si>
  <si>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</si>
  <si>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</si>
  <si>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</si>
  <si>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</si>
  <si>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</si>
  <si>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</si>
  <si>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</si>
  <si>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</si>
  <si>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</si>
  <si>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</si>
  <si>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</si>
  <si>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</si>
  <si>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</si>
  <si>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</si>
  <si>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</si>
  <si>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</si>
  <si>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</si>
  <si>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</si>
  <si>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</si>
  <si>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</si>
  <si>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</si>
  <si>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</si>
  <si>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</si>
  <si>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</si>
  <si>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</si>
  <si>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</si>
  <si>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</si>
  <si>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</si>
  <si>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</si>
  <si>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</si>
  <si>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</si>
  <si>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</si>
  <si>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</si>
  <si>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</si>
  <si>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</si>
  <si>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</si>
  <si>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</si>
  <si>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</si>
  <si>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</si>
  <si>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</si>
  <si>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</si>
  <si>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</si>
  <si>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</si>
  <si>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</si>
  <si>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</si>
  <si>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</si>
  <si>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</si>
  <si>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</si>
  <si>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</si>
  <si>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</si>
  <si>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</si>
  <si>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</si>
  <si>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</si>
  <si>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</si>
  <si>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</si>
  <si>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</si>
  <si>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</si>
  <si>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</si>
  <si>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</si>
  <si>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</si>
  <si>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</si>
  <si>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</si>
  <si>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</si>
  <si>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</si>
  <si>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</si>
  <si>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</si>
  <si>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</si>
  <si>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</si>
  <si>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</si>
  <si>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</si>
  <si>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</si>
  <si>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</si>
  <si>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</si>
  <si>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</si>
  <si>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</si>
  <si>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</si>
  <si>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</si>
  <si>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</si>
  <si>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</si>
  <si>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</si>
  <si>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</si>
  <si>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</si>
  <si>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</si>
  <si>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</si>
  <si>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</si>
  <si>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</si>
  <si>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</si>
  <si>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</si>
  <si>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</si>
  <si>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</si>
  <si>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</si>
  <si>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</si>
  <si>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</si>
  <si>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</si>
  <si>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</si>
  <si>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</si>
  <si>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</si>
  <si>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</si>
  <si>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</si>
  <si>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</si>
  <si>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</si>
  <si>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</si>
  <si>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</si>
  <si>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</si>
  <si>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</si>
  <si>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</si>
  <si>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</si>
  <si>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</si>
  <si>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</si>
  <si>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</si>
  <si>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</si>
  <si>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</si>
  <si>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</si>
  <si>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</si>
  <si>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</si>
  <si>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</si>
  <si>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</si>
  <si>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</si>
  <si>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</si>
  <si>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</si>
  <si>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</si>
  <si>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</si>
  <si>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</si>
  <si>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</si>
  <si>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</si>
  <si>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</si>
  <si>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</si>
  <si>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</si>
  <si>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</si>
  <si>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</si>
  <si>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</si>
  <si>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</si>
  <si>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</si>
  <si>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</si>
  <si>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</si>
  <si>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</si>
  <si>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</si>
  <si>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</si>
  <si>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</si>
  <si>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</si>
  <si>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</si>
  <si>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</si>
  <si>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</si>
  <si>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</si>
  <si>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</si>
  <si>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</si>
  <si>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</si>
  <si>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</si>
  <si>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</si>
  <si>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</si>
  <si>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</si>
  <si>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</si>
  <si>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</si>
  <si>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</si>
  <si>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</si>
  <si>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</si>
  <si>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</si>
  <si>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</si>
  <si>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</si>
  <si>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</si>
  <si>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</si>
  <si>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</si>
  <si>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</si>
  <si>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</si>
  <si>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</si>
  <si>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</si>
  <si>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</si>
  <si>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</si>
  <si>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</si>
  <si>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</si>
  <si>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</si>
  <si>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</si>
  <si>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</si>
  <si>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</si>
  <si>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</si>
  <si>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</si>
  <si>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</si>
  <si>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</si>
  <si>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</si>
  <si>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</si>
  <si>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</si>
  <si>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</si>
  <si>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</si>
  <si>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</si>
  <si>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</si>
  <si>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</si>
  <si>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</si>
  <si>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</si>
  <si>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</si>
  <si>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</si>
  <si>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</si>
  <si>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</si>
  <si>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</si>
  <si>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</si>
  <si>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</si>
  <si>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</si>
  <si>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</si>
  <si>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</si>
  <si>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</si>
  <si>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</si>
  <si>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</si>
  <si>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</si>
  <si>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</si>
  <si>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</si>
  <si>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</si>
  <si>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</si>
  <si>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</si>
  <si>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</si>
  <si>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</si>
  <si>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</si>
  <si>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</si>
  <si>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</si>
  <si>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</si>
  <si>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</si>
  <si>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</si>
  <si>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</si>
  <si>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</si>
  <si>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</si>
  <si>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</si>
  <si>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</si>
  <si>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</si>
  <si>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</si>
  <si>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</si>
  <si>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</si>
  <si>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</si>
  <si>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</si>
  <si>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</si>
  <si>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</si>
  <si>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</si>
  <si>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</si>
  <si>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</si>
  <si>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</si>
  <si>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</si>
  <si>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</si>
  <si>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</si>
  <si>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</si>
  <si>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</si>
  <si>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</si>
  <si>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</si>
  <si>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</si>
  <si>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</si>
  <si>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</si>
  <si>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</si>
  <si>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</si>
  <si>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</si>
  <si>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</si>
  <si>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</si>
  <si>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</si>
  <si>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</si>
  <si>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</si>
  <si>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</si>
  <si>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</si>
  <si>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</si>
  <si>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</si>
  <si>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</si>
  <si>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</si>
  <si>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</si>
  <si>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</si>
  <si>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</si>
  <si>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</si>
  <si>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</si>
  <si>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</si>
  <si>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</si>
  <si>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</si>
  <si>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</si>
  <si>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</si>
  <si>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</si>
  <si>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</si>
  <si>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</si>
  <si>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</si>
  <si>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</si>
  <si>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</si>
  <si>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</si>
  <si>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</si>
  <si>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</si>
  <si>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</si>
  <si>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</si>
  <si>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</si>
  <si>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</si>
  <si>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</si>
  <si>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</si>
  <si>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</si>
  <si>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</si>
  <si>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</si>
  <si>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</si>
  <si>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</si>
  <si>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Mario Enjuanes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</si>
  <si>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</si>
  <si>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</si>
  <si>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</si>
  <si>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</si>
  <si>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</si>
  <si>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</si>
  <si>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</si>
  <si>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</si>
  <si>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</si>
  <si>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</si>
  <si>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</si>
  <si>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</si>
  <si>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</si>
  <si>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</si>
  <si>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</si>
  <si>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</si>
  <si>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</si>
  <si>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</si>
  <si>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</si>
  <si>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</si>
  <si>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</si>
  <si>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</si>
  <si>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</si>
  <si>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</si>
  <si>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</si>
  <si>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</si>
  <si>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E</t>
  </si>
  <si>
    <t>Konstantinos Kraniotis</t>
  </si>
  <si>
    <t>Iskren Ivanov</t>
  </si>
  <si>
    <t>Athina Karoumpalou</t>
  </si>
  <si>
    <t>Angelos Kalogerakos</t>
  </si>
  <si>
    <t>Vasileios Karagkioules</t>
  </si>
  <si>
    <t>Konstantinos Kroupis</t>
  </si>
  <si>
    <t>Van anotar una assist, la van esborrar i era correcta.</t>
  </si>
  <si>
    <t>Turnover de passador, no de receptor.</t>
  </si>
  <si>
    <t>00:57</t>
  </si>
  <si>
    <t>06:37</t>
  </si>
  <si>
    <t>06:35</t>
  </si>
  <si>
    <t>Shot rejected de Hapoel #24 que s'apuntà a #22</t>
  </si>
  <si>
    <t>Missed shot de Hapoel #24 que s'apuntà a #22</t>
  </si>
  <si>
    <t>05:29</t>
  </si>
  <si>
    <t>07:09</t>
  </si>
  <si>
    <t>Block de #41 apuntat malament al #25</t>
  </si>
  <si>
    <t>Rebound de #25 apuntat malament al #41</t>
  </si>
  <si>
    <t>c:\Pablo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</si>
</sst>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1" sqref="N1"/>
    </sheetView>
  </sheetViews>
  <sheetFormatPr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03</v>
      </c>
      <c r="D1" s="124" t="s">
        <v>743</v>
      </c>
      <c r="E1" s="125">
        <v>2025</v>
      </c>
      <c r="F1" s="120" t="str">
        <f>TEXT(C1,"00") &amp; "_" &amp; TEXT(C2,"000")&amp; "_" &amp; H4 &amp; "_" &amp; H5 &amp; "_" &amp; B2</f>
        <v>03_021_HTA_TEL_E2025</v>
      </c>
      <c r="G1" s="5"/>
      <c r="H1" s="5"/>
      <c r="I1" s="5"/>
      <c r="J1" s="8" t="s">
        <v>707</v>
      </c>
      <c r="K1" s="121" t="s">
        <v>761</v>
      </c>
      <c r="L1" s="121"/>
      <c r="M1" s="122" t="s">
        <v>239</v>
      </c>
      <c r="N1" s="121" t="s">
        <v>761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77">
        <f ca="1">IF(ISERROR(VLOOKUP($B$2&amp;TEXT($C$2,"000"),GAMES!$A$3:$I$562,8,FALSE)),NOW(),VLOOKUP($B$2&amp;TEXT($C$2,"000"),GAMES!$A$3:$I$562,8,FALSE))</f>
        <v>45938.878472222219</v>
      </c>
      <c r="C3" s="178"/>
      <c r="D3" s="39">
        <v>542</v>
      </c>
      <c r="E3" s="29"/>
      <c r="F3" s="26">
        <f>SUBTOTAL(3,I17:I106)</f>
        <v>8</v>
      </c>
      <c r="G3" s="27">
        <f>IF(OR(D3="",D3=0),"",F3/D3)</f>
        <v>1.4760147601476014E-2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Hapoel IBI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/>
      <c r="L4" s="5"/>
      <c r="M4" s="185"/>
      <c r="N4" s="186"/>
      <c r="O4" s="2"/>
      <c r="P4" s="2"/>
      <c r="Q4" s="84" t="s">
        <v>175</v>
      </c>
      <c r="R4" s="94">
        <f>(IF(G3="",0,G3))</f>
        <v>1.4760147601476014E-2</v>
      </c>
      <c r="S4" s="61">
        <f>SUM(I13:M13)</f>
        <v>0</v>
      </c>
      <c r="T4" s="78"/>
      <c r="U4" s="61">
        <f>AC18</f>
        <v>4</v>
      </c>
      <c r="V4" s="61">
        <f>+AC22</f>
        <v>4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71" t="s">
        <v>87</v>
      </c>
      <c r="C5" s="184"/>
      <c r="D5" s="191" t="str">
        <f>IF(ISERROR(VLOOKUP(H5,Teams!$B$2:$C$44,2,FALSE)),"Visitor Team",VLOOKUP(H5,Teams!$B$2:$C$44,2,FALSE))</f>
        <v>Maccabi Rapyd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1.4760147601476015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4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7" t="s">
        <v>95</v>
      </c>
      <c r="C6" s="168"/>
      <c r="D6" s="158" t="s">
        <v>744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69" t="s">
        <v>96</v>
      </c>
      <c r="C7" s="170"/>
      <c r="D7" s="158" t="s">
        <v>745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7.476014760147601</v>
      </c>
      <c r="N7" s="58"/>
      <c r="O7" s="2"/>
      <c r="P7" s="2"/>
      <c r="Q7" s="86">
        <f>SUM(R5,S5,AC16)</f>
        <v>7.476014760147601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71" t="s">
        <v>97</v>
      </c>
      <c r="C8" s="172"/>
      <c r="D8" s="161" t="s">
        <v>746</v>
      </c>
      <c r="E8" s="162"/>
      <c r="F8" s="162"/>
      <c r="G8" s="163"/>
      <c r="H8" s="129" t="s">
        <v>709</v>
      </c>
      <c r="I8" s="129" t="s">
        <v>710</v>
      </c>
      <c r="J8" s="129" t="s">
        <v>711</v>
      </c>
      <c r="K8" s="129" t="s">
        <v>712</v>
      </c>
      <c r="L8" s="129" t="s">
        <v>713</v>
      </c>
      <c r="M8" s="129" t="s">
        <v>108</v>
      </c>
      <c r="N8" s="2"/>
      <c r="O8" s="2"/>
      <c r="P8" s="2"/>
      <c r="Q8" s="85">
        <f>SUM(R5:BA5)</f>
        <v>7.476014760147601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7" t="s">
        <v>98</v>
      </c>
      <c r="C9" s="173"/>
      <c r="D9" s="158" t="s">
        <v>747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71" t="s">
        <v>99</v>
      </c>
      <c r="C10" s="172"/>
      <c r="D10" s="161" t="s">
        <v>748</v>
      </c>
      <c r="E10" s="162"/>
      <c r="F10" s="162"/>
      <c r="G10" s="163"/>
      <c r="H10" s="8"/>
      <c r="I10" s="10">
        <v>4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56" t="s">
        <v>108</v>
      </c>
      <c r="C11" s="157"/>
      <c r="D11" s="174" t="s">
        <v>749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>
        <f>$I$10</f>
        <v>4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56" t="s">
        <v>162</v>
      </c>
      <c r="C14" s="157"/>
      <c r="D14" s="164" t="s">
        <v>716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8</v>
      </c>
      <c r="J15" s="24">
        <f>SUBTOTAL(3,J17:J106)</f>
        <v>8</v>
      </c>
      <c r="K15" s="24">
        <f>SUBTOTAL(3,K17:K106)</f>
        <v>8</v>
      </c>
      <c r="L15" s="24">
        <f>SUBTOTAL(3,L17:L106)</f>
        <v>8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8</v>
      </c>
      <c r="Z16" s="90" t="s">
        <v>110</v>
      </c>
      <c r="AA16" s="75">
        <f>SUM(AA17:AA24)</f>
        <v>8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8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21</v>
      </c>
      <c r="D17" s="32" t="s">
        <v>754</v>
      </c>
      <c r="E17" s="33">
        <v>1</v>
      </c>
      <c r="F17" s="36">
        <v>8</v>
      </c>
      <c r="G17" s="36">
        <v>7</v>
      </c>
      <c r="H17" s="38" t="str">
        <f>IF(I17="","",$I$14)</f>
        <v>SCOUTING</v>
      </c>
      <c r="I17" s="34">
        <v>30</v>
      </c>
      <c r="J17" s="13" t="s">
        <v>4</v>
      </c>
      <c r="K17" s="13" t="s">
        <v>62</v>
      </c>
      <c r="L17" s="13" t="s">
        <v>5</v>
      </c>
      <c r="M17" s="13" t="s">
        <v>11</v>
      </c>
      <c r="N17" s="35" t="s">
        <v>750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8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21</v>
      </c>
      <c r="D18" s="32" t="s">
        <v>753</v>
      </c>
      <c r="E18" s="33">
        <v>2</v>
      </c>
      <c r="F18" s="36">
        <v>33</v>
      </c>
      <c r="G18" s="36">
        <v>30</v>
      </c>
      <c r="H18" s="38" t="str">
        <f t="shared" ref="H18:H81" si="8">IF(I18="","",$I$14)</f>
        <v>SCOUTING</v>
      </c>
      <c r="I18" s="34">
        <v>159</v>
      </c>
      <c r="J18" s="13" t="s">
        <v>4</v>
      </c>
      <c r="K18" s="13" t="s">
        <v>62</v>
      </c>
      <c r="L18" s="13" t="s">
        <v>5</v>
      </c>
      <c r="M18" s="13" t="s">
        <v>9</v>
      </c>
      <c r="N18" s="35" t="s">
        <v>751</v>
      </c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7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5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21</v>
      </c>
      <c r="D19" s="32" t="s">
        <v>752</v>
      </c>
      <c r="E19" s="33">
        <v>2</v>
      </c>
      <c r="F19" s="36">
        <v>42</v>
      </c>
      <c r="G19" s="36">
        <v>43</v>
      </c>
      <c r="H19" s="38" t="str">
        <f t="shared" si="8"/>
        <v>SCOUTING</v>
      </c>
      <c r="I19" s="34">
        <v>246</v>
      </c>
      <c r="J19" s="13" t="s">
        <v>4</v>
      </c>
      <c r="K19" s="13" t="s">
        <v>62</v>
      </c>
      <c r="L19" s="13" t="s">
        <v>6</v>
      </c>
      <c r="M19" s="13" t="s">
        <v>30</v>
      </c>
      <c r="N19" s="35" t="s">
        <v>755</v>
      </c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21</v>
      </c>
      <c r="D20" s="32" t="s">
        <v>752</v>
      </c>
      <c r="E20" s="33">
        <v>2</v>
      </c>
      <c r="F20" s="36">
        <v>42</v>
      </c>
      <c r="G20" s="36">
        <v>43</v>
      </c>
      <c r="H20" s="38" t="str">
        <f t="shared" si="8"/>
        <v>SCOUTING</v>
      </c>
      <c r="I20" s="34">
        <v>247</v>
      </c>
      <c r="J20" s="13" t="s">
        <v>4</v>
      </c>
      <c r="K20" s="13" t="s">
        <v>62</v>
      </c>
      <c r="L20" s="13" t="s">
        <v>6</v>
      </c>
      <c r="M20" s="13" t="s">
        <v>27</v>
      </c>
      <c r="N20" s="35" t="s">
        <v>756</v>
      </c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E2025</v>
      </c>
      <c r="C21" s="31">
        <f t="shared" si="3"/>
        <v>21</v>
      </c>
      <c r="D21" s="32" t="s">
        <v>752</v>
      </c>
      <c r="E21" s="33">
        <v>2</v>
      </c>
      <c r="F21" s="36">
        <v>43</v>
      </c>
      <c r="G21" s="36">
        <v>43</v>
      </c>
      <c r="H21" s="38" t="str">
        <f t="shared" si="8"/>
        <v>SCOUTING</v>
      </c>
      <c r="I21" s="34">
        <v>258</v>
      </c>
      <c r="J21" s="13" t="s">
        <v>4</v>
      </c>
      <c r="K21" s="13" t="s">
        <v>62</v>
      </c>
      <c r="L21" s="13" t="s">
        <v>6</v>
      </c>
      <c r="M21" s="13" t="s">
        <v>12</v>
      </c>
      <c r="N21" s="35" t="s">
        <v>759</v>
      </c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>E2025</v>
      </c>
      <c r="C22" s="31">
        <f t="shared" si="3"/>
        <v>21</v>
      </c>
      <c r="D22" s="32" t="s">
        <v>752</v>
      </c>
      <c r="E22" s="33">
        <v>2</v>
      </c>
      <c r="F22" s="36">
        <v>43</v>
      </c>
      <c r="G22" s="36">
        <v>43</v>
      </c>
      <c r="H22" s="38" t="str">
        <f t="shared" si="8"/>
        <v>SCOUTING</v>
      </c>
      <c r="I22" s="34">
        <v>259</v>
      </c>
      <c r="J22" s="13" t="s">
        <v>4</v>
      </c>
      <c r="K22" s="13" t="s">
        <v>62</v>
      </c>
      <c r="L22" s="13" t="s">
        <v>6</v>
      </c>
      <c r="M22" s="13" t="s">
        <v>168</v>
      </c>
      <c r="N22" s="35" t="s">
        <v>760</v>
      </c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4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>E2025</v>
      </c>
      <c r="C23" s="31">
        <f t="shared" si="3"/>
        <v>21</v>
      </c>
      <c r="D23" s="32" t="s">
        <v>757</v>
      </c>
      <c r="E23" s="33">
        <v>3</v>
      </c>
      <c r="F23" s="36">
        <v>56</v>
      </c>
      <c r="G23" s="36">
        <v>55</v>
      </c>
      <c r="H23" s="38" t="str">
        <f t="shared" si="8"/>
        <v>SCOUTING</v>
      </c>
      <c r="I23" s="34">
        <v>336</v>
      </c>
      <c r="J23" s="13" t="s">
        <v>4</v>
      </c>
      <c r="K23" s="13" t="s">
        <v>62</v>
      </c>
      <c r="L23" s="13" t="s">
        <v>5</v>
      </c>
      <c r="M23" s="13" t="s">
        <v>10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>E2025</v>
      </c>
      <c r="C24" s="31">
        <f t="shared" si="3"/>
        <v>21</v>
      </c>
      <c r="D24" s="32" t="s">
        <v>758</v>
      </c>
      <c r="E24" s="33">
        <v>4</v>
      </c>
      <c r="F24" s="36">
        <v>74</v>
      </c>
      <c r="G24" s="36">
        <v>76</v>
      </c>
      <c r="H24" s="38" t="str">
        <f t="shared" si="8"/>
        <v>SCOUTING</v>
      </c>
      <c r="I24" s="34">
        <v>434</v>
      </c>
      <c r="J24" s="13" t="s">
        <v>4</v>
      </c>
      <c r="K24" s="13" t="s">
        <v>63</v>
      </c>
      <c r="L24" s="13" t="s">
        <v>5</v>
      </c>
      <c r="M24" s="13" t="s">
        <v>10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1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7SogzE2IiUKxzOFNreW8e4r+i5vBBRRuWjomTnWzqq2qNiSKh3TM3l+4QLtda8MwY7U+xBuSE15PL4wXh1HDA==" saltValue="pT5OsinYYNdFDXJ0ccPKMw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8" sqref="D8"/>
    </sheetView>
  </sheetViews>
  <sheetFormatPr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717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717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718</v>
      </c>
      <c r="K8" s="137" t="s">
        <v>719</v>
      </c>
      <c r="L8" s="137" t="s">
        <v>720</v>
      </c>
      <c r="M8" s="137" t="s">
        <v>721</v>
      </c>
      <c r="N8" s="140" t="s">
        <v>722</v>
      </c>
      <c r="O8" s="138" t="s">
        <v>723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724</v>
      </c>
      <c r="E12" s="137" t="s">
        <v>725</v>
      </c>
      <c r="F12" s="137" t="s">
        <v>726</v>
      </c>
      <c r="G12" s="137" t="s">
        <v>727</v>
      </c>
      <c r="H12" s="137" t="s">
        <v>728</v>
      </c>
      <c r="I12" s="138" t="s">
        <v>729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730</v>
      </c>
      <c r="E15" s="137" t="s">
        <v>731</v>
      </c>
      <c r="F15" s="137" t="s">
        <v>732</v>
      </c>
      <c r="G15" s="137" t="s">
        <v>733</v>
      </c>
      <c r="H15" s="137" t="s">
        <v>734</v>
      </c>
      <c r="I15" s="138" t="s">
        <v>735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/>
      <c r="E16" s="137"/>
      <c r="F16" s="137"/>
      <c r="G16" s="137"/>
      <c r="H16" s="137"/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736</v>
      </c>
      <c r="E20" s="137" t="s">
        <v>737</v>
      </c>
      <c r="F20" s="137" t="s">
        <v>738</v>
      </c>
      <c r="G20" s="137" t="s">
        <v>739</v>
      </c>
      <c r="H20" s="137" t="s">
        <v>740</v>
      </c>
      <c r="I20" s="138" t="s">
        <v>741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/>
      <c r="E30" s="137"/>
      <c r="F30" s="137"/>
      <c r="G30" s="137"/>
      <c r="H30" s="137"/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742</v>
      </c>
      <c r="E46" s="25" t="s">
        <v>719</v>
      </c>
      <c r="F46" s="25" t="s">
        <v>720</v>
      </c>
      <c r="G46" s="25" t="s">
        <v>721</v>
      </c>
      <c r="H46" s="25" t="s">
        <v>722</v>
      </c>
      <c r="I46" s="134" t="s">
        <v>723</v>
      </c>
    </row>
  </sheetData>
  <sheetProtection algorithmName="SHA-512" hashValue="IvGT1q7dU/P3WAj6sUEDE0B8G9eaNdEDQ0Gvy7S9yALv6qgClFAP4SQPjGkjQsrRTI32OW1JfQUFTvi2Z8gdpg==" saltValue="k1HIyoddlF62wo4SbIwQR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.2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REPORT_E2025021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"E2025021"</v>
      </c>
      <c r="F3" s="45" t="str">
        <f t="shared" ref="F3:F16" si="0">""""&amp;B3&amp;"""" &amp; " : " &amp;C3&amp;","</f>
        <v>"name" : "E2025021",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"E021"</v>
      </c>
      <c r="F4" s="45" t="str">
        <f t="shared" si="0"/>
        <v>"cod" : "E021",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021</v>
      </c>
      <c r="F6" s="45" t="str">
        <f t="shared" si="0"/>
        <v>"number" : 021,</v>
      </c>
    </row>
    <row r="7" spans="2:6" x14ac:dyDescent="0.25">
      <c r="B7" s="43" t="s">
        <v>116</v>
      </c>
      <c r="C7" s="43" t="str">
        <f ca="1">""""&amp;TEXT('SCOUT &amp; LOGISTICS'!B3,"dd/mm/aaaa")&amp;""""</f>
        <v>"08/10/2025"</v>
      </c>
      <c r="F7" s="45" t="str">
        <f t="shared" ca="1" si="0"/>
        <v>"date" : "08/10/2025",</v>
      </c>
    </row>
    <row r="8" spans="2:6" x14ac:dyDescent="0.25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5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"Iskren Ivanov"</v>
      </c>
      <c r="F11" s="45" t="str">
        <f t="shared" si="0"/>
        <v>"Caller_1" : "Iskren Ivanov",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"Athina Karoumpalou"</v>
      </c>
      <c r="F12" s="45" t="str">
        <f t="shared" si="0"/>
        <v>"Caller_2" : "Athina Karoumpalou",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"Angelos Kalogerakos"</v>
      </c>
      <c r="F13" s="45" t="str">
        <f t="shared" si="0"/>
        <v>"Timerkeeper" : "Angelos Kalogerakos",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"Vasileios Karagkioules"</v>
      </c>
      <c r="F14" s="45" t="str">
        <f t="shared" si="0"/>
        <v>"Shotclock" : "Vasileios Karagkioules",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"Konstantinos Kroupis"</v>
      </c>
      <c r="F15" s="45" t="str">
        <f t="shared" si="0"/>
        <v>"IRS" : "Konstantinos Kroupis",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542</v>
      </c>
      <c r="F25" s="45" t="str">
        <f t="shared" ref="F25:F48" si="1">""""&amp;C25&amp;"""" &amp; " : " &amp;D25&amp;","</f>
        <v>"total_actions" : 542,</v>
      </c>
    </row>
    <row r="26" spans="2:6" x14ac:dyDescent="0.25">
      <c r="C26" s="43" t="s">
        <v>132</v>
      </c>
      <c r="D26" s="43">
        <f>'SCOUT &amp; LOGISTICS'!F3</f>
        <v>8</v>
      </c>
      <c r="F26" s="45" t="str">
        <f t="shared" si="1"/>
        <v>"total_correcions" : 8,</v>
      </c>
    </row>
    <row r="27" spans="2:6" x14ac:dyDescent="0.25">
      <c r="C27" s="43" t="s">
        <v>133</v>
      </c>
      <c r="D27" s="43" t="str">
        <f>""""&amp;IF(OR(D25="",D25=0),"",TEXT(D26/D25,"0,0%"))&amp;""""</f>
        <v>"1,5%"</v>
      </c>
      <c r="F27" s="45" t="str">
        <f t="shared" si="1"/>
        <v>"%_corrections" : "1,5%",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7</v>
      </c>
      <c r="F29" s="45" t="str">
        <f t="shared" si="1"/>
        <v>"no_team" : 7,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5</v>
      </c>
      <c r="F32" s="45" t="str">
        <f t="shared" si="1"/>
        <v>"q2" : 5,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8</v>
      </c>
      <c r="F37" s="45" t="str">
        <f t="shared" si="1"/>
        <v>"scoresheet_corrections" : 8,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5">
      <c r="B52" s="43" t="s">
        <v>153</v>
      </c>
      <c r="C52" s="43" t="str">
        <f>TEXT('SCOUT &amp; LOGISTICS'!F1,"0,0")</f>
        <v>03_021_HTA_TEL_E2025</v>
      </c>
      <c r="F52" s="45" t="str">
        <f>""""&amp;B52&amp;"""" &amp; " : " &amp;C52</f>
        <v>"result" : 03_021_HTA_TEL_E2025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2" zeroHeight="1" x14ac:dyDescent="0.4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4"/>
    <row r="2" spans="1:33" ht="42.6" customHeight="1" thickBot="1" x14ac:dyDescent="0.4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5">
      <c r="A3" s="48"/>
      <c r="B3" s="202" t="str">
        <f>"GAME: "&amp; LEFT('SCOUT &amp; LOGISTICS'!B2,1) &amp; TEXT('SCOUT &amp; LOGISTICS'!C2,"000") &amp; " " &amp; IF(LEFT('SCOUT &amp; LOGISTICS'!B2,1)="U","(EUROCUP)","(EUROLEAGUE)")</f>
        <v>GAME: E021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5">
      <c r="A4" s="48"/>
      <c r="B4" s="200" t="str">
        <f ca="1">"DATE: " &amp; TEXT('SCOUT &amp; LOGISTICS'!B3,"dd/mm")</f>
        <v>DATE: 08/10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5">
      <c r="A6" s="48"/>
      <c r="B6" s="197" t="str">
        <f>PROPER('SCOUT &amp; LOGISTICS'!D4)</f>
        <v>Hapoel Ibi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Maccabi Rapyd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5">
      <c r="A8" s="48"/>
      <c r="B8" s="201" t="str">
        <f>IF('SCOUT &amp; LOGISTICS'!D6="","",'SCOUT &amp; LOGISTICS'!D6)</f>
        <v>Konstantinos Kraniotis</v>
      </c>
      <c r="C8" s="201"/>
      <c r="D8" s="201"/>
      <c r="E8" s="201"/>
      <c r="F8" s="201"/>
      <c r="G8" s="201" t="str">
        <f>IF('SCOUT &amp; LOGISTICS'!D7="","",'SCOUT &amp; LOGISTICS'!D7)</f>
        <v>Iskren Ivanov</v>
      </c>
      <c r="H8" s="201"/>
      <c r="I8" s="201"/>
      <c r="J8" s="201"/>
      <c r="K8" s="201"/>
      <c r="L8" s="201" t="str">
        <f>IF('SCOUT &amp; LOGISTICS'!D8="","",'SCOUT &amp; LOGISTICS'!D8)</f>
        <v>Athina Karoumpalou</v>
      </c>
      <c r="M8" s="201"/>
      <c r="N8" s="201"/>
      <c r="O8" s="201"/>
      <c r="P8" s="201"/>
      <c r="Q8" s="201" t="str">
        <f>IF('SCOUT &amp; LOGISTICS'!D9="","",'SCOUT &amp; LOGISTICS'!D9)</f>
        <v>Angelos Kalogerakos</v>
      </c>
      <c r="R8" s="201"/>
      <c r="S8" s="201"/>
      <c r="T8" s="201"/>
      <c r="U8" s="201"/>
      <c r="V8" s="201" t="str">
        <f>IF('SCOUT &amp; LOGISTICS'!D10="","",'SCOUT &amp; LOGISTICS'!D10)</f>
        <v>Vasileios Karagkioules</v>
      </c>
      <c r="W8" s="201"/>
      <c r="X8" s="201"/>
      <c r="Y8" s="201"/>
      <c r="Z8" s="201"/>
      <c r="AA8" s="201" t="str">
        <f>IF('SCOUT &amp; LOGISTICS'!D11="","",'SCOUT &amp; LOGISTICS'!D11)</f>
        <v>Konstantinos Kroupis</v>
      </c>
      <c r="AB8" s="201"/>
      <c r="AC8" s="201"/>
      <c r="AD8" s="201"/>
      <c r="AE8" s="201"/>
      <c r="AF8" s="48"/>
    </row>
    <row r="9" spans="1:33" ht="16.8" thickBot="1" x14ac:dyDescent="0.45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.8" thickBot="1" x14ac:dyDescent="0.4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5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.8" thickBot="1" x14ac:dyDescent="0.4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5">
      <c r="A17" s="48"/>
      <c r="B17" s="203">
        <f>'SCOUT &amp; LOGISTICS'!D3</f>
        <v>542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8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1.4760147601476014E-2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.8" thickBot="1" x14ac:dyDescent="0.4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5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7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5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5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.8" thickBot="1" x14ac:dyDescent="0.4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5">
      <c r="A25" s="48"/>
      <c r="B25" s="199">
        <f>'SCOUT &amp; LOGISTICS'!Y17</f>
        <v>8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5">
      <c r="A27" s="48"/>
      <c r="B27" s="199">
        <f>'SCOUT &amp; LOGISTICS'!AC18</f>
        <v>4</v>
      </c>
      <c r="C27" s="199"/>
      <c r="D27" s="199"/>
      <c r="E27" s="199"/>
      <c r="F27" s="199"/>
      <c r="G27" s="199">
        <f>'SCOUT &amp; LOGISTICS'!AC22</f>
        <v>4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.8" thickBot="1" x14ac:dyDescent="0.4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5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5">
      <c r="A35" s="48"/>
      <c r="B35" s="212">
        <f>'SCOUT &amp; LOGISTICS'!M7</f>
        <v>7.476014760147601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4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435B4DD-B133-4229-BCB3-6FDFD2DBFD45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Pablo Campoy</cp:lastModifiedBy>
  <cp:lastPrinted>2025-10-08T20:24:30Z</cp:lastPrinted>
  <dcterms:created xsi:type="dcterms:W3CDTF">2023-09-19T19:50:35Z</dcterms:created>
  <dcterms:modified xsi:type="dcterms:W3CDTF">2025-10-08T20:24:44Z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