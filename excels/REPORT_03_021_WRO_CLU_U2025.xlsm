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8" documentId="8_{E3F31DF4-44BA-416E-8A0B-01ABB7F8F2A4}" xr6:coauthVersionLast="47" xr6:coauthVersionMax="47" xr10:uidLastSave="{E51A514C-3F2A-4BD5-B2A9-20EAB7282CBC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<sst xmlns="http://schemas.openxmlformats.org/spreadsheetml/2006/main" count="3294" uniqueCount="767">
  <si>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</si>
  <si>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</si>
  <si>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</si>
  <si>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</si>
  <si>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</si>
  <si>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</si>
  <si>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</si>
  <si>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</si>
  <si>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</si>
  <si>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</si>
  <si>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</si>
  <si>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</si>
  <si>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</si>
  <si>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</si>
  <si>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</si>
  <si>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</si>
  <si>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</si>
  <si>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</si>
  <si>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</si>
  <si>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</si>
  <si>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</si>
  <si>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</si>
  <si>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</si>
  <si>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</si>
  <si>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</si>
  <si>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</si>
  <si>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</si>
  <si>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</si>
  <si>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</si>
  <si>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</si>
  <si>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</si>
  <si>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</si>
  <si>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</si>
  <si>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</si>
  <si>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</si>
  <si>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</si>
  <si>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</si>
  <si>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</si>
  <si>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</si>
  <si>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</si>
  <si>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</si>
  <si>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</si>
  <si>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</si>
  <si>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</si>
  <si>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</si>
  <si>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</si>
  <si>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</si>
  <si>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</si>
  <si>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</si>
  <si>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</si>
  <si>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</si>
  <si>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</si>
  <si>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</si>
  <si>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</si>
  <si>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</si>
  <si>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</si>
  <si>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</si>
  <si>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</si>
  <si>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</si>
  <si>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</si>
  <si>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</si>
  <si>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</si>
  <si>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</si>
  <si>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</si>
  <si>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</si>
  <si>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</si>
  <si>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</si>
  <si>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</si>
  <si>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</si>
  <si>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</si>
  <si>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</si>
  <si>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</si>
  <si>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</si>
  <si>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</si>
  <si>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</si>
  <si>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</si>
  <si>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</si>
  <si>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</si>
  <si>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</si>
  <si>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</si>
  <si>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</si>
  <si>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</si>
  <si>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</si>
  <si>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</si>
  <si>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</si>
  <si>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</si>
  <si>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</si>
  <si>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</si>
  <si>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</si>
  <si>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</si>
  <si>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</si>
  <si>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</si>
  <si>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</si>
  <si>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</si>
  <si>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</si>
  <si>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</si>
  <si>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</si>
  <si>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</si>
  <si>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</si>
  <si>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</si>
  <si>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</si>
  <si>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</si>
  <si>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</si>
  <si>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</si>
  <si>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</si>
  <si>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</si>
  <si>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</si>
  <si>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</si>
  <si>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</si>
  <si>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</si>
  <si>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</si>
  <si>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</si>
  <si>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</si>
  <si>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</si>
  <si>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</si>
  <si>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</si>
  <si>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</si>
  <si>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</si>
  <si>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</si>
  <si>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</si>
  <si>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</si>
  <si>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</si>
  <si>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</si>
  <si>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</si>
  <si>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</si>
  <si>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</si>
  <si>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</si>
  <si>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</si>
  <si>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</si>
  <si>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</si>
  <si>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</si>
  <si>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</si>
  <si>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</si>
  <si>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</si>
  <si>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</si>
  <si>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</si>
  <si>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</si>
  <si>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</si>
  <si>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</si>
  <si>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</si>
  <si>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</si>
  <si>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</si>
  <si>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</si>
  <si>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</si>
  <si>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</si>
  <si>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</si>
  <si>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</si>
  <si>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</si>
  <si>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</si>
  <si>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</si>
  <si>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</si>
  <si>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</si>
  <si>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</si>
  <si>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</si>
  <si>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</si>
  <si>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</si>
  <si>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</si>
  <si>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</si>
  <si>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</si>
  <si>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</si>
  <si>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</si>
  <si>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</si>
  <si>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</si>
  <si>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</si>
  <si>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</si>
  <si>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</si>
  <si>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</si>
  <si>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</si>
  <si>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</si>
  <si>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</si>
  <si>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</si>
  <si>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</si>
  <si>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</si>
  <si>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</si>
  <si>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</si>
  <si>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</si>
  <si>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</si>
  <si>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</si>
  <si>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</si>
  <si>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</si>
  <si>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</si>
  <si>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</si>
  <si>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</si>
  <si>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</si>
  <si>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</si>
  <si>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</si>
  <si>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</si>
  <si>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</si>
  <si>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</si>
  <si>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</si>
  <si>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</si>
  <si>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</si>
  <si>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</si>
  <si>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</si>
  <si>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</si>
  <si>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</si>
  <si>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</si>
  <si>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</si>
  <si>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</si>
  <si>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</si>
  <si>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</si>
  <si>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</si>
  <si>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</si>
  <si>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</si>
  <si>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</si>
  <si>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</si>
  <si>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</si>
  <si>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</si>
  <si>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</si>
  <si>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</si>
  <si>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</si>
  <si>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</si>
  <si>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</si>
  <si>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</si>
  <si>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</si>
  <si>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</si>
  <si>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</si>
  <si>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</si>
  <si>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</si>
  <si>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</si>
  <si>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</si>
  <si>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</si>
  <si>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</si>
  <si>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</si>
  <si>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</si>
  <si>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</si>
  <si>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</si>
  <si>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</si>
  <si>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</si>
  <si>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</si>
  <si>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</si>
  <si>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</si>
  <si>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</si>
  <si>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</si>
  <si>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</si>
  <si>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</si>
  <si>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</si>
  <si>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</si>
  <si>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</si>
  <si>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</si>
  <si>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</si>
  <si>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</si>
  <si>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</si>
  <si>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</si>
  <si>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</si>
  <si>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</si>
  <si>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</si>
  <si>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</si>
  <si>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</si>
  <si>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</si>
  <si>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</si>
  <si>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</si>
  <si>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</si>
  <si>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</si>
  <si>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</si>
  <si>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</si>
  <si>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</si>
  <si>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</si>
  <si>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</si>
  <si>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</si>
  <si>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</si>
  <si>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</si>
  <si>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</si>
  <si>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</si>
  <si>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</si>
  <si>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</si>
  <si>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</si>
  <si>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</si>
  <si>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</si>
  <si>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</si>
  <si>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</si>
  <si>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</si>
  <si>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</si>
  <si>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</si>
  <si>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</si>
  <si>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</si>
  <si>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</si>
  <si>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</si>
  <si>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</si>
  <si>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</si>
  <si>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</si>
  <si>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</si>
  <si>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</si>
  <si>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</si>
  <si>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</si>
  <si>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</si>
  <si>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</si>
  <si>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</si>
  <si>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</si>
  <si>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</si>
  <si>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</si>
  <si>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</si>
  <si>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</si>
  <si>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</si>
  <si>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</si>
  <si>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</si>
  <si>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</si>
  <si>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</si>
  <si>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</si>
  <si>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</si>
  <si>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</si>
  <si>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</si>
  <si>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</si>
  <si>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</si>
  <si>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</si>
  <si>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</si>
  <si>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</si>
  <si>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</si>
  <si>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</si>
  <si>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</si>
  <si>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</si>
  <si>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</si>
  <si>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</si>
  <si>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</si>
  <si>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</si>
  <si>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</si>
  <si>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</si>
  <si>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</si>
  <si>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</si>
  <si>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</si>
  <si>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</si>
  <si>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</si>
  <si>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</si>
  <si>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</si>
  <si>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</si>
  <si>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</si>
  <si>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</si>
  <si>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</si>
  <si>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</si>
  <si>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</si>
  <si>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</si>
  <si>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</si>
  <si>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</si>
  <si>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</si>
  <si>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</si>
  <si>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</si>
  <si>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</si>
  <si>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</si>
  <si>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</si>
  <si>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</si>
  <si>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</si>
  <si>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</si>
  <si>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</si>
  <si>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</si>
  <si>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</si>
  <si>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</si>
  <si>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</si>
  <si>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</si>
  <si>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</si>
  <si>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</si>
  <si>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</si>
  <si>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</si>
  <si>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</si>
  <si>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</si>
  <si>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</si>
  <si>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</si>
  <si>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</si>
  <si>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</si>
  <si>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</si>
  <si>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</si>
  <si>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</si>
  <si>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</si>
  <si>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</si>
  <si>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</si>
  <si>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</si>
  <si>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</si>
  <si>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</si>
  <si>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</si>
  <si>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</si>
  <si>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</si>
  <si>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</si>
  <si>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</si>
  <si>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</si>
  <si>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</si>
  <si>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</si>
  <si>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</si>
  <si>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</si>
  <si>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</si>
  <si>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</si>
  <si>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</si>
  <si>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</si>
  <si>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</si>
  <si>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</si>
  <si>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</si>
  <si>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</si>
  <si>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</si>
  <si>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</si>
  <si>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</si>
  <si>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</si>
  <si>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</si>
  <si>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</si>
  <si>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</si>
  <si>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</si>
  <si>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</si>
  <si>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</si>
  <si>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</si>
  <si>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</si>
  <si>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</si>
  <si>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</si>
  <si>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</si>
  <si>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</si>
  <si>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</si>
  <si>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</si>
  <si>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</si>
  <si>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</si>
  <si>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</si>
  <si>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</si>
  <si>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</si>
  <si>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</si>
  <si>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</si>
  <si>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</si>
  <si>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</si>
  <si>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</si>
  <si>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</si>
  <si>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</si>
  <si>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</si>
  <si>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</si>
  <si>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</si>
  <si>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</si>
  <si>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</si>
  <si>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</si>
  <si>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</si>
  <si>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</si>
  <si>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</si>
  <si>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</si>
  <si>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</si>
  <si>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</si>
  <si>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</si>
  <si>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</si>
  <si>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</si>
  <si>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</si>
  <si>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</si>
  <si>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</si>
  <si>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</si>
  <si>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</si>
  <si>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</si>
  <si>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</si>
  <si>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</si>
  <si>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</si>
  <si>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</si>
  <si>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</si>
  <si>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</si>
  <si>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</si>
  <si>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</si>
  <si>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</si>
  <si>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</si>
  <si>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</si>
  <si>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</si>
  <si>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</si>
  <si>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</si>
  <si>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</si>
  <si>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</si>
  <si>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</si>
  <si>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</si>
  <si>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</si>
  <si>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</si>
  <si>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</si>
  <si>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</si>
  <si>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</si>
  <si>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</si>
  <si>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</si>
  <si>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</si>
  <si>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</si>
  <si>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</si>
  <si>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</si>
  <si>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</si>
  <si>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</si>
  <si>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</si>
  <si>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</si>
  <si>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</si>
  <si>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</si>
  <si>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</si>
  <si>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</si>
  <si>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</si>
  <si>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</si>
  <si>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</si>
  <si>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</si>
  <si>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</si>
  <si>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</si>
  <si>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</si>
  <si>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</si>
  <si>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</si>
  <si>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</si>
  <si>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</si>
  <si>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</si>
  <si>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</si>
  <si>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</si>
  <si>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</si>
  <si>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</si>
  <si>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</si>
  <si>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</si>
  <si>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</si>
  <si>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</si>
  <si>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</si>
  <si>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</si>
  <si>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</si>
  <si>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</si>
  <si>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</si>
  <si>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</si>
  <si>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</si>
  <si>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</si>
  <si>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</si>
  <si>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</si>
  <si>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</si>
  <si>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</si>
  <si>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</si>
  <si>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</si>
  <si>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</si>
  <si>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</si>
  <si>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</si>
  <si>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</si>
  <si>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</si>
  <si>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</si>
  <si>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</si>
  <si>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</si>
  <si>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</si>
  <si>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</si>
  <si>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</si>
  <si>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</si>
  <si>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</si>
  <si>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</si>
  <si>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</si>
  <si>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</si>
  <si>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</si>
  <si>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</si>
  <si>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</si>
  <si>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</si>
  <si>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</si>
  <si>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</si>
  <si>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</si>
  <si>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</si>
  <si>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</si>
  <si>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</si>
  <si>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</si>
  <si>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</si>
  <si>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</si>
  <si>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</si>
  <si>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</si>
  <si>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</si>
  <si>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</si>
  <si>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</si>
  <si>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</si>
  <si>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</si>
  <si>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</si>
  <si>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</si>
  <si>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</si>
  <si>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</si>
  <si>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</si>
  <si>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</si>
  <si>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</si>
  <si>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</si>
  <si>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</si>
  <si>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</si>
  <si>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</si>
  <si>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</si>
  <si>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</si>
  <si>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</si>
  <si>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</si>
  <si>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</si>
  <si>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</si>
  <si>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</si>
  <si>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</si>
  <si>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</si>
  <si>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</si>
  <si>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</si>
  <si>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</si>
  <si>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</si>
  <si>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</si>
  <si>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</si>
  <si>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</si>
  <si>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</si>
  <si>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</si>
  <si>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</si>
  <si>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</si>
  <si>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</si>
  <si>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</si>
  <si>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</si>
  <si>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</si>
  <si>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</si>
  <si>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</si>
  <si>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</si>
  <si>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</si>
  <si>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</si>
  <si>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</si>
  <si>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</si>
  <si>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</si>
  <si>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</si>
  <si>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</si>
  <si>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</si>
  <si>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</si>
  <si>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</si>
  <si>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</si>
  <si>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</si>
  <si>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</si>
  <si>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</si>
  <si>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</si>
  <si>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</si>
  <si>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</si>
  <si>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</si>
  <si>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</si>
  <si>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</si>
  <si>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</si>
  <si>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</si>
  <si>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</si>
  <si>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</si>
  <si>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</si>
  <si>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</si>
  <si>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</si>
  <si>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</si>
  <si>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</si>
  <si>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</si>
  <si>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</si>
  <si>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</si>
  <si>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</si>
  <si>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</si>
  <si>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</si>
  <si>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</si>
  <si>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</si>
  <si>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</si>
  <si>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</si>
  <si>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</si>
  <si>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</si>
  <si>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</si>
  <si>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</si>
  <si>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</si>
  <si>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</si>
  <si>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</si>
  <si>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</si>
  <si>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</si>
  <si>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</si>
  <si>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</si>
  <si>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</si>
  <si>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</si>
  <si>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</si>
  <si>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</si>
  <si>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</si>
  <si>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</si>
  <si>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</si>
  <si>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</si>
  <si>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</si>
  <si>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</si>
  <si>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</si>
  <si>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</si>
  <si>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</si>
  <si>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</si>
  <si>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</si>
  <si>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</si>
  <si>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</si>
  <si>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</si>
  <si>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</si>
  <si>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</si>
  <si>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</si>
  <si>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</si>
  <si>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</si>
  <si>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</si>
  <si>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</si>
  <si>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</si>
  <si>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</si>
  <si>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</si>
  <si>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</si>
  <si>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</si>
  <si>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</si>
  <si>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</si>
  <si>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</si>
  <si>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</si>
  <si>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</si>
  <si>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</si>
  <si>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</si>
  <si>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</si>
  <si>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</si>
  <si>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</si>
  <si>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</si>
  <si>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</si>
  <si>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</si>
  <si>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</si>
  <si>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</si>
  <si>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</si>
  <si>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</si>
  <si>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</si>
  <si>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</si>
  <si>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</si>
  <si>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</si>
  <si>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</si>
  <si>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</si>
  <si>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</si>
  <si>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</si>
  <si>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</si>
  <si>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</si>
  <si>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</si>
  <si>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</si>
  <si>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</si>
  <si>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</si>
  <si>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</si>
  <si>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</si>
  <si>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</si>
  <si>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</si>
  <si>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</si>
  <si>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</si>
  <si>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</si>
  <si>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</si>
  <si>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</si>
  <si>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</si>
  <si>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</si>
  <si>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</si>
  <si>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</si>
  <si>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</si>
  <si>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</si>
  <si>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</si>
  <si>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</si>
  <si>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</si>
  <si>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</si>
  <si>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</si>
  <si>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</si>
  <si>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</si>
  <si>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</si>
  <si>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</si>
  <si>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</si>
  <si>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</si>
  <si>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</si>
  <si>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</si>
  <si>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</si>
  <si>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</si>
  <si>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</si>
  <si>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</si>
  <si>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</si>
  <si>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</si>
  <si>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</si>
  <si>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</si>
  <si>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</si>
  <si>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</si>
  <si>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</si>
  <si>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</si>
  <si>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</si>
  <si>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</si>
  <si>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</si>
  <si>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</si>
  <si>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</si>
  <si>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</si>
  <si>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</si>
  <si>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</si>
  <si>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</si>
  <si>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</si>
  <si>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</si>
  <si>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</si>
  <si>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</si>
  <si>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</si>
  <si>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</si>
  <si>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</si>
  <si>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</si>
  <si>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C:\Users\hector.guillen\EUROLEAGUE\EB STATS - Documents\General\SEASON 2025-26\Reports\Eurocup\PDF</t>
  </si>
  <si>
    <t>C:\Users\hector.guillen\EUROLEAGUE\EB STATS - Documents\General\SEASON 2025-26\Reports\Eurocup</t>
  </si>
  <si>
    <t>HECTOR GUILLEN</t>
  </si>
  <si>
    <t>AGNIESSZKA WYSOCKA</t>
  </si>
  <si>
    <t>MATEUSZ KOJKA</t>
  </si>
  <si>
    <t>KATARZYNA LESIECKA</t>
  </si>
  <si>
    <t>JOANNA LECH</t>
  </si>
  <si>
    <t>EMILIA GLOGOWSKA</t>
  </si>
  <si>
    <t>2:42</t>
  </si>
  <si>
    <t>2:23</t>
  </si>
  <si>
    <t>9:33</t>
  </si>
  <si>
    <t>9:35</t>
  </si>
  <si>
    <t>3:37</t>
  </si>
  <si>
    <t>3:02</t>
  </si>
  <si>
    <t>6:00</t>
  </si>
  <si>
    <t>7:06</t>
  </si>
  <si>
    <t>0:34</t>
  </si>
  <si>
    <t>Remember the criteria for steal turnover. Good game despite that.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</si>
</sst>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03_021_WRO_CLU_U2025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21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45945.791666666664</v>
      </c>
      <c r="C3" s="178"/>
      <c r="D3" s="39">
        <v>635</v>
      </c>
      <c r="E3" s="29"/>
      <c r="F3" s="26">
        <f>SUBTOTAL(3,I17:I106)</f>
        <v>10</v>
      </c>
      <c r="G3" s="27">
        <f>IF(OR(D3="",D3=0),"",F3/D3)</f>
        <v>1.5748031496062992E-2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Slask Wroclaw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WRO</v>
      </c>
      <c r="I4" s="5"/>
      <c r="J4" s="119" t="s">
        <v>714</v>
      </c>
      <c r="K4" s="54" t="s">
        <v>742</v>
      </c>
      <c r="L4" s="5"/>
      <c r="M4" s="185" t="s">
        <v>766</v>
      </c>
      <c r="N4" s="186"/>
      <c r="O4" s="2"/>
      <c r="P4" s="2"/>
      <c r="Q4" s="84" t="s">
        <v>175</v>
      </c>
      <c r="R4" s="94">
        <f>(IF(G3="",0,G3))</f>
        <v>1.5748031496062992E-2</v>
      </c>
      <c r="S4" s="61">
        <f>SUM(I13:M13)</f>
        <v>0</v>
      </c>
      <c r="T4" s="78"/>
      <c r="U4" s="61">
        <f>AC18</f>
        <v>7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U-BT Cluj-Napoca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CLU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1.5748031496062991</v>
      </c>
      <c r="S5" s="70">
        <f t="shared" ref="S5" si="0">S4*S3</f>
        <v>0</v>
      </c>
      <c r="T5" s="92"/>
      <c r="U5" s="70">
        <f t="shared" ref="U5:AG5" si="1">U4*U3</f>
        <v>3.5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9.5748031496063</v>
      </c>
      <c r="N7" s="58"/>
      <c r="O7" s="2"/>
      <c r="P7" s="2"/>
      <c r="Q7" s="86">
        <f>SUM(R5,S5,AC16)</f>
        <v>9.5748031496063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9.5748031496063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755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21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21</v>
      </c>
      <c r="D17" s="32" t="s">
        <v>757</v>
      </c>
      <c r="E17" s="33">
        <v>1</v>
      </c>
      <c r="F17" s="36">
        <v>12</v>
      </c>
      <c r="G17" s="36">
        <v>22</v>
      </c>
      <c r="H17" s="38" t="str">
        <f>IF(I17="","",$I$14)</f>
        <v>SCOUTING</v>
      </c>
      <c r="I17" s="34">
        <v>95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21</v>
      </c>
      <c r="D18" s="32" t="s">
        <v>758</v>
      </c>
      <c r="E18" s="33">
        <v>1</v>
      </c>
      <c r="F18" s="36">
        <v>12</v>
      </c>
      <c r="G18" s="36">
        <v>22</v>
      </c>
      <c r="H18" s="38" t="str">
        <f t="shared" ref="H18:H81" si="8">IF(I18="","",$I$14)</f>
        <v>SCOUTING</v>
      </c>
      <c r="I18" s="34">
        <v>99</v>
      </c>
      <c r="J18" s="13" t="s">
        <v>4</v>
      </c>
      <c r="K18" s="13" t="s">
        <v>63</v>
      </c>
      <c r="L18" s="13" t="s">
        <v>6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7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21</v>
      </c>
      <c r="D19" s="32" t="s">
        <v>759</v>
      </c>
      <c r="E19" s="33">
        <v>2</v>
      </c>
      <c r="F19" s="36">
        <v>24</v>
      </c>
      <c r="G19" s="36">
        <v>24</v>
      </c>
      <c r="H19" s="38" t="str">
        <f t="shared" si="8"/>
        <v>SCOUTING</v>
      </c>
      <c r="I19" s="34">
        <v>147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21</v>
      </c>
      <c r="D20" s="32" t="s">
        <v>760</v>
      </c>
      <c r="E20" s="33">
        <v>2</v>
      </c>
      <c r="F20" s="36">
        <v>24</v>
      </c>
      <c r="G20" s="36">
        <v>24</v>
      </c>
      <c r="H20" s="38" t="str">
        <f t="shared" si="8"/>
        <v>SCOUTING</v>
      </c>
      <c r="I20" s="34">
        <v>146</v>
      </c>
      <c r="J20" s="13" t="s">
        <v>4</v>
      </c>
      <c r="K20" s="13" t="s">
        <v>63</v>
      </c>
      <c r="L20" s="13" t="s">
        <v>5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21</v>
      </c>
      <c r="D21" s="32" t="s">
        <v>761</v>
      </c>
      <c r="E21" s="33">
        <v>2</v>
      </c>
      <c r="F21" s="36">
        <v>32</v>
      </c>
      <c r="G21" s="36">
        <v>41</v>
      </c>
      <c r="H21" s="38" t="str">
        <f t="shared" si="8"/>
        <v>SCOUTING</v>
      </c>
      <c r="I21" s="34">
        <v>235</v>
      </c>
      <c r="J21" s="13" t="s">
        <v>4</v>
      </c>
      <c r="K21" s="13" t="s">
        <v>63</v>
      </c>
      <c r="L21" s="13" t="s">
        <v>7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21</v>
      </c>
      <c r="D22" s="32" t="s">
        <v>762</v>
      </c>
      <c r="E22" s="33">
        <v>2</v>
      </c>
      <c r="F22" s="36">
        <v>32</v>
      </c>
      <c r="G22" s="36">
        <v>41</v>
      </c>
      <c r="H22" s="38" t="str">
        <f t="shared" si="8"/>
        <v>SCOUTING</v>
      </c>
      <c r="I22" s="34">
        <v>244</v>
      </c>
      <c r="J22" s="13" t="s">
        <v>4</v>
      </c>
      <c r="K22" s="13" t="s">
        <v>63</v>
      </c>
      <c r="L22" s="13" t="s">
        <v>6</v>
      </c>
      <c r="M22" s="13" t="s">
        <v>27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21</v>
      </c>
      <c r="D23" s="32" t="s">
        <v>763</v>
      </c>
      <c r="E23" s="33">
        <v>3</v>
      </c>
      <c r="F23" s="36">
        <v>42</v>
      </c>
      <c r="G23" s="36">
        <v>58</v>
      </c>
      <c r="H23" s="38" t="str">
        <f t="shared" si="8"/>
        <v>SCOUTING</v>
      </c>
      <c r="I23" s="34">
        <v>343</v>
      </c>
      <c r="J23" s="13" t="s">
        <v>4</v>
      </c>
      <c r="K23" s="13" t="s">
        <v>62</v>
      </c>
      <c r="L23" s="13" t="s">
        <v>5</v>
      </c>
      <c r="M23" s="13" t="s">
        <v>9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21</v>
      </c>
      <c r="D24" s="32" t="s">
        <v>764</v>
      </c>
      <c r="E24" s="33">
        <v>4</v>
      </c>
      <c r="F24" s="36">
        <v>75</v>
      </c>
      <c r="G24" s="36">
        <v>77</v>
      </c>
      <c r="H24" s="38" t="str">
        <f t="shared" si="8"/>
        <v>SCOUTING</v>
      </c>
      <c r="I24" s="34">
        <v>500</v>
      </c>
      <c r="J24" s="13" t="s">
        <v>4</v>
      </c>
      <c r="K24" s="13" t="s">
        <v>62</v>
      </c>
      <c r="L24" s="13" t="s">
        <v>5</v>
      </c>
      <c r="M24" s="13" t="s">
        <v>9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21</v>
      </c>
      <c r="D25" s="32" t="s">
        <v>758</v>
      </c>
      <c r="E25" s="33">
        <v>4</v>
      </c>
      <c r="F25" s="36">
        <v>92</v>
      </c>
      <c r="G25" s="36">
        <v>86</v>
      </c>
      <c r="H25" s="38" t="str">
        <f t="shared" si="8"/>
        <v>SCOUTING</v>
      </c>
      <c r="I25" s="34">
        <v>592</v>
      </c>
      <c r="J25" s="13" t="s">
        <v>4</v>
      </c>
      <c r="K25" s="13" t="s">
        <v>63</v>
      </c>
      <c r="L25" s="13" t="s">
        <v>5</v>
      </c>
      <c r="M25" s="13" t="s">
        <v>9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21</v>
      </c>
      <c r="D26" s="32" t="s">
        <v>765</v>
      </c>
      <c r="E26" s="33">
        <v>4</v>
      </c>
      <c r="F26" s="36">
        <v>94</v>
      </c>
      <c r="G26" s="36">
        <v>90</v>
      </c>
      <c r="H26" s="38" t="str">
        <f t="shared" si="8"/>
        <v>SCOUTING</v>
      </c>
      <c r="I26" s="34">
        <v>615</v>
      </c>
      <c r="J26" s="13" t="s">
        <v>4</v>
      </c>
      <c r="K26" s="13" t="s">
        <v>63</v>
      </c>
      <c r="L26" s="13" t="s">
        <v>5</v>
      </c>
      <c r="M26" s="13" t="s">
        <v>10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4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REPORT_U2025021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"U2025021"</v>
      </c>
      <c r="F3" s="45" t="str">
        <f t="shared" ref="F3:F16" si="0">""""&amp;B3&amp;"""" &amp; " : " &amp;C3&amp;","</f>
        <v>"name" : "U2025021",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"U021"</v>
      </c>
      <c r="F4" s="45" t="str">
        <f t="shared" si="0"/>
        <v>"cod" : "U021",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021</v>
      </c>
      <c r="F6" s="45" t="str">
        <f t="shared" si="0"/>
        <v>"number" : 021,</v>
      </c>
    </row>
    <row r="7" spans="2:6" x14ac:dyDescent="0.25">
      <c r="B7" s="43" t="s">
        <v>116</v>
      </c>
      <c r="C7" s="43" t="str">
        <f ca="1">""""&amp;TEXT('SCOUT &amp; LOGISTICS'!B3,"dd/mm/aaaa")&amp;""""</f>
        <v>"15/10/Wednesday"</v>
      </c>
      <c r="F7" s="45" t="str">
        <f t="shared" ca="1" si="0"/>
        <v>"date" : "15/10/Wednesday",</v>
      </c>
    </row>
    <row r="8" spans="2:6" x14ac:dyDescent="0.25">
      <c r="B8" s="43" t="s">
        <v>125</v>
      </c>
      <c r="C8" s="43" t="str">
        <f>""""&amp;'SCOUT &amp; LOGISTICS'!D4 &amp;""""</f>
        <v>"Slask Wroclaw"</v>
      </c>
      <c r="F8" s="45" t="str">
        <f t="shared" si="0"/>
        <v>"home_team" : "Slask Wroclaw",</v>
      </c>
    </row>
    <row r="9" spans="2:6" x14ac:dyDescent="0.25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"AGNIESSZKA WYSOCKA"</v>
      </c>
      <c r="F10" s="45" t="str">
        <f t="shared" si="0"/>
        <v>"Data_entry" : "AGNIESSZKA WYSOCKA",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"MATEUSZ KOJKA"</v>
      </c>
      <c r="F11" s="45" t="str">
        <f t="shared" si="0"/>
        <v>"Caller_1" : "MATEUSZ KOJKA",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"KATARZYNA LESIECKA"</v>
      </c>
      <c r="F12" s="45" t="str">
        <f t="shared" si="0"/>
        <v>"Caller_2" : "KATARZYNA LESIECKA",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"JOANNA LECH"</v>
      </c>
      <c r="F13" s="45" t="str">
        <f t="shared" si="0"/>
        <v>"Timerkeeper" : "JOANNA LECH",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"EMILIA GLOGOWSKA"</v>
      </c>
      <c r="F14" s="45" t="str">
        <f t="shared" si="0"/>
        <v>"Shotclock" : "EMILIA GLOGOWSKA",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635</v>
      </c>
      <c r="F25" s="45" t="str">
        <f t="shared" ref="F25:F48" si="1">""""&amp;C25&amp;"""" &amp; " : " &amp;D25&amp;","</f>
        <v>"total_actions" : 635,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7</v>
      </c>
      <c r="F39" s="45" t="str">
        <f t="shared" si="1"/>
        <v>"missidentity" : 7,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"Remember the criteria for steal turnover. Good game despite that. Keep it up!"</v>
      </c>
      <c r="F51" s="45" t="str">
        <f>""""&amp;B51&amp;"""" &amp; " : " &amp;C51&amp;","</f>
        <v>"comments" : "Remember the criteria for steal turnover. Good game despite that. Keep it up!",</v>
      </c>
    </row>
    <row r="52" spans="2:6" x14ac:dyDescent="0.25">
      <c r="B52" s="43" t="s">
        <v>153</v>
      </c>
      <c r="C52" s="43" t="str">
        <f>TEXT('SCOUT &amp; LOGISTICS'!F1,"0,0")</f>
        <v>03_021_WRO_CLU_U2025</v>
      </c>
      <c r="F52" s="45" t="str">
        <f>""""&amp;B52&amp;"""" &amp; " : " &amp;C52</f>
        <v>"result" : 03_021_WRO_CLU_U2025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U021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15/10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Slask Wroclaw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U-Bt Cluj-Napoca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AGNIESSZKA WYSOCKA</v>
      </c>
      <c r="C8" s="201"/>
      <c r="D8" s="201"/>
      <c r="E8" s="201"/>
      <c r="F8" s="201"/>
      <c r="G8" s="201" t="str">
        <f>IF('SCOUT &amp; LOGISTICS'!D7="","",'SCOUT &amp; LOGISTICS'!D7)</f>
        <v>MATEUSZ KOJKA</v>
      </c>
      <c r="H8" s="201"/>
      <c r="I8" s="201"/>
      <c r="J8" s="201"/>
      <c r="K8" s="201"/>
      <c r="L8" s="201" t="str">
        <f>IF('SCOUT &amp; LOGISTICS'!D8="","",'SCOUT &amp; LOGISTICS'!D8)</f>
        <v>KATARZYNA LESIECKA</v>
      </c>
      <c r="M8" s="201"/>
      <c r="N8" s="201"/>
      <c r="O8" s="201"/>
      <c r="P8" s="201"/>
      <c r="Q8" s="201" t="str">
        <f>IF('SCOUT &amp; LOGISTICS'!D9="","",'SCOUT &amp; LOGISTICS'!D9)</f>
        <v>JOANNA LECH</v>
      </c>
      <c r="R8" s="201"/>
      <c r="S8" s="201"/>
      <c r="T8" s="201"/>
      <c r="U8" s="201"/>
      <c r="V8" s="201" t="str">
        <f>IF('SCOUT &amp; LOGISTICS'!D10="","",'SCOUT &amp; LOGISTICS'!D10)</f>
        <v>EMILIA GLOGOWSKA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635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1.5748031496062992E-2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7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4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3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7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Remember the criteria for steal turnover. Good game despite that.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9.5748031496063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A8ED056-1CCA-43EA-BAF0-7640F2A811D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2025-10-17T18:08:50Z</cp:lastPrinted>
  <dcterms:created xsi:type="dcterms:W3CDTF">2023-09-19T19:50:35Z</dcterms:created>
  <dcterms:modified xsi:type="dcterms:W3CDTF">2025-10-17T18:08:52Z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