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0" documentId="13_ncr:1_{2BAC4B4B-4CA2-42A5-9A35-FF754DEF2F90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<sst xmlns="http://schemas.openxmlformats.org/spreadsheetml/2006/main" count="3245" uniqueCount="758">
  <si>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</si>
  <si>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</si>
  <si>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</si>
  <si>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</si>
  <si>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</si>
  <si>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</si>
  <si>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</si>
  <si>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</si>
  <si>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</si>
  <si>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</si>
  <si>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</si>
  <si>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</si>
  <si>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</si>
  <si>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</si>
  <si>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</si>
  <si>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</si>
  <si>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</si>
  <si>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</si>
  <si>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</si>
  <si>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</si>
  <si>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</si>
  <si>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</si>
  <si>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</si>
  <si>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</si>
  <si>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</si>
  <si>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</si>
  <si>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</si>
  <si>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</si>
  <si>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</si>
  <si>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</si>
  <si>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</si>
  <si>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</si>
  <si>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</si>
  <si>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</si>
  <si>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</si>
  <si>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</si>
  <si>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</si>
  <si>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</si>
  <si>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</si>
  <si>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</si>
  <si>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</si>
  <si>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</si>
  <si>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</si>
  <si>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</si>
  <si>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</si>
  <si>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</si>
  <si>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</si>
  <si>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</si>
  <si>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</si>
  <si>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</si>
  <si>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</si>
  <si>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</si>
  <si>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</si>
  <si>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</si>
  <si>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</si>
  <si>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</si>
  <si>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</si>
  <si>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</si>
  <si>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</si>
  <si>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</si>
  <si>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</si>
  <si>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</si>
  <si>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</si>
  <si>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</si>
  <si>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</si>
  <si>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</si>
  <si>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</si>
  <si>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</si>
  <si>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</si>
  <si>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</si>
  <si>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</si>
  <si>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</si>
  <si>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</si>
  <si>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</si>
  <si>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</si>
  <si>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</si>
  <si>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</si>
  <si>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</si>
  <si>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</si>
  <si>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</si>
  <si>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</si>
  <si>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</si>
  <si>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</si>
  <si>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</si>
  <si>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</si>
  <si>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</si>
  <si>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</si>
  <si>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</si>
  <si>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</si>
  <si>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</si>
  <si>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</si>
  <si>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</si>
  <si>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</si>
  <si>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</si>
  <si>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</si>
  <si>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</si>
  <si>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</si>
  <si>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</si>
  <si>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</si>
  <si>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</si>
  <si>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</si>
  <si>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</si>
  <si>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</si>
  <si>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</si>
  <si>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</si>
  <si>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</si>
  <si>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</si>
  <si>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</si>
  <si>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</si>
  <si>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</si>
  <si>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</si>
  <si>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</si>
  <si>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</si>
  <si>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</si>
  <si>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</si>
  <si>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</si>
  <si>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</si>
  <si>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</si>
  <si>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</si>
  <si>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</si>
  <si>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</si>
  <si>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</si>
  <si>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</si>
  <si>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</si>
  <si>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</si>
  <si>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</si>
  <si>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</si>
  <si>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</si>
  <si>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</si>
  <si>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</si>
  <si>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</si>
  <si>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</si>
  <si>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</si>
  <si>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</si>
  <si>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</si>
  <si>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</si>
  <si>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</si>
  <si>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</si>
  <si>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</si>
  <si>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</si>
  <si>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</si>
  <si>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</si>
  <si>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</si>
  <si>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</si>
  <si>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</si>
  <si>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</si>
  <si>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</si>
  <si>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</si>
  <si>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</si>
  <si>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</si>
  <si>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</si>
  <si>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</si>
  <si>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</si>
  <si>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</si>
  <si>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</si>
  <si>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</si>
  <si>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</si>
  <si>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</si>
  <si>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</si>
  <si>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</si>
  <si>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</si>
  <si>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</si>
  <si>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</si>
  <si>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</si>
  <si>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</si>
  <si>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</si>
  <si>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</si>
  <si>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</si>
  <si>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</si>
  <si>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</si>
  <si>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</si>
  <si>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</si>
  <si>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</si>
  <si>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</si>
  <si>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</si>
  <si>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</si>
  <si>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</si>
  <si>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</si>
  <si>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</si>
  <si>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</si>
  <si>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</si>
  <si>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</si>
  <si>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</si>
  <si>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</si>
  <si>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</si>
  <si>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</si>
  <si>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</si>
  <si>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</si>
  <si>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</si>
  <si>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</si>
  <si>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</si>
  <si>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</si>
  <si>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</si>
  <si>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</si>
  <si>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</si>
  <si>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</si>
  <si>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</si>
  <si>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</si>
  <si>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</si>
  <si>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</si>
  <si>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</si>
  <si>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</si>
  <si>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</si>
  <si>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</si>
  <si>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</si>
  <si>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</si>
  <si>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</si>
  <si>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</si>
  <si>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</si>
  <si>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</si>
  <si>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</si>
  <si>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</si>
  <si>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</si>
  <si>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</si>
  <si>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</si>
  <si>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</si>
  <si>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</si>
  <si>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</si>
  <si>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</si>
  <si>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</si>
  <si>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</si>
  <si>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</si>
  <si>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</si>
  <si>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</si>
  <si>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</si>
  <si>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</si>
  <si>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</si>
  <si>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</si>
  <si>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</si>
  <si>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</si>
  <si>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</si>
  <si>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</si>
  <si>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</si>
  <si>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</si>
  <si>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</si>
  <si>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</si>
  <si>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</si>
  <si>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</si>
  <si>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</si>
  <si>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</si>
  <si>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</si>
  <si>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</si>
  <si>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</si>
  <si>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</si>
  <si>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</si>
  <si>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</si>
  <si>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</si>
  <si>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</si>
  <si>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</si>
  <si>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</si>
  <si>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</si>
  <si>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</si>
  <si>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</si>
  <si>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</si>
  <si>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</si>
  <si>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</si>
  <si>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</si>
  <si>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</si>
  <si>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</si>
  <si>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</si>
  <si>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</si>
  <si>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</si>
  <si>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</si>
  <si>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</si>
  <si>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</si>
  <si>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</si>
  <si>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</si>
  <si>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</si>
  <si>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</si>
  <si>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</si>
  <si>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</si>
  <si>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</si>
  <si>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</si>
  <si>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</si>
  <si>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</si>
  <si>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</si>
  <si>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</si>
  <si>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</si>
  <si>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</si>
  <si>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</si>
  <si>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</si>
  <si>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</si>
  <si>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</si>
  <si>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</si>
  <si>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</si>
  <si>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</si>
  <si>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</si>
  <si>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</si>
  <si>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</si>
  <si>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</si>
  <si>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</si>
  <si>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</si>
  <si>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</si>
  <si>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</si>
  <si>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</si>
  <si>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</si>
  <si>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</si>
  <si>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</si>
  <si>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</si>
  <si>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</si>
  <si>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</si>
  <si>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</si>
  <si>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</si>
  <si>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</si>
  <si>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</si>
  <si>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</si>
  <si>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</si>
  <si>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</si>
  <si>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</si>
  <si>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</si>
  <si>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</si>
  <si>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</si>
  <si>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</si>
  <si>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</si>
  <si>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</si>
  <si>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</si>
  <si>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</si>
  <si>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</si>
  <si>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</si>
  <si>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</si>
  <si>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</si>
  <si>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</si>
  <si>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</si>
  <si>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</si>
  <si>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</si>
  <si>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</si>
  <si>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</si>
  <si>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</si>
  <si>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</si>
  <si>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</si>
  <si>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</si>
  <si>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</si>
  <si>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</si>
  <si>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</si>
  <si>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</si>
  <si>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</si>
  <si>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</si>
  <si>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</si>
  <si>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</si>
  <si>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</si>
  <si>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</si>
  <si>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</si>
  <si>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</si>
  <si>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</si>
  <si>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</si>
  <si>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</si>
  <si>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</si>
  <si>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</si>
  <si>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</si>
  <si>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</si>
  <si>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</si>
  <si>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</si>
  <si>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</si>
  <si>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</si>
  <si>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</si>
  <si>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</si>
  <si>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</si>
  <si>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</si>
  <si>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</si>
  <si>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</si>
  <si>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</si>
  <si>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</si>
  <si>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</si>
  <si>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</si>
  <si>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</si>
  <si>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</si>
  <si>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</si>
  <si>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</si>
  <si>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</si>
  <si>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</si>
  <si>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</si>
  <si>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</si>
  <si>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</si>
  <si>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</si>
  <si>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</si>
  <si>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</si>
  <si>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</si>
  <si>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</si>
  <si>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</si>
  <si>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</si>
  <si>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</si>
  <si>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</si>
  <si>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</si>
  <si>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</si>
  <si>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</si>
  <si>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</si>
  <si>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</si>
  <si>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</si>
  <si>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</si>
  <si>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</si>
  <si>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</si>
  <si>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</si>
  <si>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</si>
  <si>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</si>
  <si>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</si>
  <si>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</si>
  <si>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</si>
  <si>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</si>
  <si>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</si>
  <si>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</si>
  <si>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</si>
  <si>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</si>
  <si>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</si>
  <si>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</si>
  <si>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</si>
  <si>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</si>
  <si>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</si>
  <si>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</si>
  <si>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</si>
  <si>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</si>
  <si>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</si>
  <si>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</si>
  <si>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</si>
  <si>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</si>
  <si>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</si>
  <si>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</si>
  <si>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</si>
  <si>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</si>
  <si>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</si>
  <si>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</si>
  <si>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</si>
  <si>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</si>
  <si>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</si>
  <si>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</si>
  <si>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</si>
  <si>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</si>
  <si>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</si>
  <si>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</si>
  <si>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</si>
  <si>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</si>
  <si>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</si>
  <si>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</si>
  <si>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</si>
  <si>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</si>
  <si>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</si>
  <si>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</si>
  <si>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</si>
  <si>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</si>
  <si>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</si>
  <si>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</si>
  <si>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</si>
  <si>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</si>
  <si>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</si>
  <si>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</si>
  <si>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</si>
  <si>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</si>
  <si>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</si>
  <si>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</si>
  <si>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</si>
  <si>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</si>
  <si>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</si>
  <si>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</si>
  <si>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</si>
  <si>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</si>
  <si>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</si>
  <si>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</si>
  <si>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</si>
  <si>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</si>
  <si>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</si>
  <si>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</si>
  <si>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</si>
  <si>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</si>
  <si>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</si>
  <si>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</si>
  <si>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</si>
  <si>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</si>
  <si>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</si>
  <si>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</si>
  <si>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</si>
  <si>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</si>
  <si>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</si>
  <si>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</si>
  <si>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</si>
  <si>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</si>
  <si>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</si>
  <si>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</si>
  <si>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</si>
  <si>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</si>
  <si>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</si>
  <si>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</si>
  <si>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</si>
  <si>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</si>
  <si>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</si>
  <si>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</si>
  <si>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</si>
  <si>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</si>
  <si>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</si>
  <si>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</si>
  <si>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</si>
  <si>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</si>
  <si>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</si>
  <si>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</si>
  <si>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</si>
  <si>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</si>
  <si>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</si>
  <si>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</si>
  <si>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</si>
  <si>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</si>
  <si>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</si>
  <si>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</si>
  <si>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</si>
  <si>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</si>
  <si>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</si>
  <si>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</si>
  <si>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</si>
  <si>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</si>
  <si>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</si>
  <si>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</si>
  <si>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</si>
  <si>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</si>
  <si>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</si>
  <si>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</si>
  <si>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</si>
  <si>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</si>
  <si>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</si>
  <si>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</si>
  <si>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</si>
  <si>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</si>
  <si>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</si>
  <si>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</si>
  <si>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</si>
  <si>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</si>
  <si>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</si>
  <si>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</si>
  <si>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</si>
  <si>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</si>
  <si>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</si>
  <si>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</si>
  <si>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</si>
  <si>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</si>
  <si>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</si>
  <si>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</si>
  <si>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</si>
  <si>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</si>
  <si>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</si>
  <si>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</si>
  <si>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</si>
  <si>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</si>
  <si>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</si>
  <si>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</si>
  <si>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</si>
  <si>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</si>
  <si>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</si>
  <si>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</si>
  <si>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</si>
  <si>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</si>
  <si>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</si>
  <si>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</si>
  <si>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</si>
  <si>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</si>
  <si>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</si>
  <si>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</si>
  <si>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</si>
  <si>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</si>
  <si>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</si>
  <si>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</si>
  <si>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</si>
  <si>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</si>
  <si>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</si>
  <si>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</si>
  <si>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</si>
  <si>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</si>
  <si>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</si>
  <si>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</si>
  <si>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</si>
  <si>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</si>
  <si>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</si>
  <si>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</si>
  <si>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</si>
  <si>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</si>
  <si>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</si>
  <si>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</si>
  <si>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</si>
  <si>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</si>
  <si>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</si>
  <si>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</si>
  <si>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</si>
  <si>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</si>
  <si>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</si>
  <si>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</si>
  <si>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</si>
  <si>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</si>
  <si>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</si>
  <si>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</si>
  <si>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</si>
  <si>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</si>
  <si>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</si>
  <si>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</si>
  <si>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</si>
  <si>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</si>
  <si>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</si>
  <si>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</si>
  <si>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</si>
  <si>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</si>
  <si>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</si>
  <si>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</si>
  <si>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</si>
  <si>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</si>
  <si>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</si>
  <si>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</si>
  <si>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</si>
  <si>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</si>
  <si>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</si>
  <si>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</si>
  <si>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</si>
  <si>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</si>
  <si>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</si>
  <si>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</si>
  <si>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</si>
  <si>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</si>
  <si>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</si>
  <si>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</si>
  <si>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</si>
  <si>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</si>
  <si>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</si>
  <si>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</si>
  <si>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</si>
  <si>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</si>
  <si>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</si>
  <si>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</si>
  <si>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</si>
  <si>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</si>
  <si>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</si>
  <si>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</si>
  <si>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</si>
  <si>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</si>
  <si>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</si>
  <si>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</si>
  <si>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</si>
  <si>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</si>
  <si>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</si>
  <si>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</si>
  <si>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</si>
  <si>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</si>
  <si>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</si>
  <si>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</si>
  <si>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</si>
  <si>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</si>
  <si>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</si>
  <si>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</si>
  <si>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</si>
  <si>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</si>
  <si>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</si>
  <si>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</si>
  <si>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</si>
  <si>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</si>
  <si>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</si>
  <si>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</si>
  <si>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</si>
  <si>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</si>
  <si>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</si>
  <si>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</si>
  <si>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</si>
  <si>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</si>
  <si>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</si>
  <si>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</si>
  <si>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</si>
  <si>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</si>
  <si>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</si>
  <si>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</si>
  <si>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</si>
  <si>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</si>
  <si>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</si>
  <si>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</si>
  <si>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</si>
  <si>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</si>
  <si>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</si>
  <si>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</si>
  <si>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</si>
  <si>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</si>
  <si>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</si>
  <si>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</si>
  <si>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</si>
  <si>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</si>
  <si>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</si>
  <si>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</si>
  <si>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</si>
  <si>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</si>
  <si>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</si>
  <si>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</si>
  <si>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</si>
  <si>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</si>
  <si>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</si>
  <si>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</si>
  <si>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</si>
  <si>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</si>
  <si>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</si>
  <si>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</si>
  <si>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</si>
  <si>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</si>
  <si>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</si>
  <si>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</si>
  <si>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</si>
  <si>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</si>
  <si>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</si>
  <si>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</si>
  <si>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</si>
  <si>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</si>
  <si>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</si>
  <si>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</si>
  <si>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</si>
  <si>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</si>
  <si>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</si>
  <si>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</si>
  <si>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</si>
  <si>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</si>
  <si>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</si>
  <si>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</si>
  <si>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</si>
  <si>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</si>
  <si>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</si>
  <si>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</si>
  <si>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</si>
  <si>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</si>
  <si>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</si>
  <si>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</si>
  <si>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</si>
  <si>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</si>
  <si>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</si>
  <si>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</si>
  <si>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</si>
  <si>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</si>
  <si>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</si>
  <si>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</si>
  <si>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</si>
  <si>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</si>
  <si>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</si>
  <si>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</si>
  <si>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</si>
  <si>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</si>
  <si>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</si>
  <si>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</si>
  <si>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</si>
  <si>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</si>
  <si>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</si>
  <si>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</si>
  <si>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</si>
  <si>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</si>
  <si>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</si>
  <si>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</si>
  <si>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</si>
  <si>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</si>
  <si>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</si>
  <si>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</si>
  <si>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</si>
  <si>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</si>
  <si>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</si>
  <si>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</si>
  <si>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</si>
  <si>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E</t>
  </si>
  <si>
    <t>ANDONI COLMENERO</t>
  </si>
  <si>
    <t>LUIS MOULIAA</t>
  </si>
  <si>
    <t>RAQUEL GARCIA-SAMPEDRO</t>
  </si>
  <si>
    <t>FERNANDO ESTARRONA</t>
  </si>
  <si>
    <t>PATRICIA ORTIZ DE ZARATE</t>
  </si>
  <si>
    <t>IKER BASKONES</t>
  </si>
  <si>
    <t>All-right. Good self corrections, before our info…</t>
  </si>
  <si>
    <t>C:\Temp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</si>
</sst>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76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03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03_022_BAS_PAN_E2025</v>
      </c>
      <c r="G1" s="5"/>
      <c r="H1" s="5"/>
      <c r="I1" s="5"/>
      <c r="J1" s="8" t="s">
        <v>707</v>
      </c>
      <c r="K1" s="121" t="s">
        <v>757</v>
      </c>
      <c r="L1" s="121"/>
      <c r="M1" s="122" t="s">
        <v>239</v>
      </c>
      <c r="N1" s="121" t="s">
        <v>757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45939.854166666664</v>
      </c>
      <c r="C3" s="178"/>
      <c r="D3" s="39">
        <v>675</v>
      </c>
      <c r="E3" s="29"/>
      <c r="F3" s="26">
        <f>SUBTOTAL(3,I17:I106)</f>
        <v>0</v>
      </c>
      <c r="G3" s="27">
        <f>IF(OR(D3="",D3=0),"",F3/D3)</f>
        <v>0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Baskonia Vitoria-Gasteiz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BAS</v>
      </c>
      <c r="I4" s="5"/>
      <c r="J4" s="119" t="s">
        <v>714</v>
      </c>
      <c r="K4" s="54" t="s">
        <v>742</v>
      </c>
      <c r="L4" s="5"/>
      <c r="M4" s="185" t="s">
        <v>756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Panathinaikos AKTOR Athens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PAN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">
        <v>750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">
        <v>752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">
        <v>751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">
        <v>753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">
        <v>754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">
        <v>755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22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748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REPORT_E2025022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"E2025022"</v>
      </c>
      <c r="F3" s="45" t="str">
        <f t="shared" ref="F3:F16" si="0">""""&amp;B3&amp;"""" &amp; " : " &amp;C3&amp;","</f>
        <v>"name" : "E2025022",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"E022"</v>
      </c>
      <c r="F4" s="45" t="str">
        <f t="shared" si="0"/>
        <v>"cod" : "E022",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022</v>
      </c>
      <c r="F6" s="45" t="str">
        <f t="shared" si="0"/>
        <v>"number" : 022,</v>
      </c>
    </row>
    <row r="7" spans="2:6" x14ac:dyDescent="0.2">
      <c r="B7" s="43" t="s">
        <v>116</v>
      </c>
      <c r="C7" s="43" t="str">
        <f ca="1">""""&amp;TEXT('SCOUT &amp; LOGISTICS'!B3,"dd/mm/aaaa")&amp;""""</f>
        <v>"09/10/Thursday"</v>
      </c>
      <c r="F7" s="45" t="str">
        <f t="shared" ca="1" si="0"/>
        <v>"date" : "09/10/Thursday",</v>
      </c>
    </row>
    <row r="8" spans="2:6" x14ac:dyDescent="0.2">
      <c r="B8" s="43" t="s">
        <v>125</v>
      </c>
      <c r="C8" s="43" t="str">
        <f>""""&amp;'SCOUT &amp; LOGISTICS'!D4 &amp;""""</f>
        <v>"Baskonia Vitoria-Gasteiz"</v>
      </c>
      <c r="F8" s="45" t="str">
        <f t="shared" si="0"/>
        <v>"home_team" : "Baskonia Vitoria-Gasteiz",</v>
      </c>
    </row>
    <row r="9" spans="2:6" x14ac:dyDescent="0.2">
      <c r="B9" s="43" t="s">
        <v>126</v>
      </c>
      <c r="C9" s="43" t="str">
        <f>""""&amp;'SCOUT &amp; LOGISTICS'!D5&amp;""""</f>
        <v>"Panathinaikos AKTOR Athens"</v>
      </c>
      <c r="F9" s="45" t="str">
        <f t="shared" si="0"/>
        <v>"away_team" : "Panathinaikos AKTOR Athens",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"ANDONI COLMENERO"</v>
      </c>
      <c r="F10" s="45" t="str">
        <f t="shared" si="0"/>
        <v>"Data_entry" : "ANDONI COLMENERO",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"RAQUEL GARCIA-SAMPEDRO"</v>
      </c>
      <c r="F11" s="45" t="str">
        <f t="shared" si="0"/>
        <v>"Caller_1" : "RAQUEL GARCIA-SAMPEDRO",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"LUIS MOULIAA"</v>
      </c>
      <c r="F12" s="45" t="str">
        <f t="shared" si="0"/>
        <v>"Caller_2" : "LUIS MOULIAA",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"FERNANDO ESTARRONA"</v>
      </c>
      <c r="F13" s="45" t="str">
        <f t="shared" si="0"/>
        <v>"Timerkeeper" : "FERNANDO ESTARRONA",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"PATRICIA ORTIZ DE ZARATE"</v>
      </c>
      <c r="F14" s="45" t="str">
        <f t="shared" si="0"/>
        <v>"Shotclock" : "PATRICIA ORTIZ DE ZARATE",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"IKER BASKONES"</v>
      </c>
      <c r="F15" s="45" t="str">
        <f t="shared" si="0"/>
        <v>"IRS" : "IKER BASKONES",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675</v>
      </c>
      <c r="F25" s="45" t="str">
        <f t="shared" ref="F25:F48" si="1">""""&amp;C25&amp;"""" &amp; " : " &amp;D25&amp;","</f>
        <v>"total_actions" : 675,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"All-right. Good self corrections, before our info…"</v>
      </c>
      <c r="F51" s="45" t="str">
        <f>""""&amp;B51&amp;"""" &amp; " : " &amp;C51&amp;","</f>
        <v>"comments" : "All-right. Good self corrections, before our info…",</v>
      </c>
    </row>
    <row r="52" spans="2:6" x14ac:dyDescent="0.2">
      <c r="B52" s="43" t="s">
        <v>153</v>
      </c>
      <c r="C52" s="43" t="str">
        <f>TEXT('SCOUT &amp; LOGISTICS'!F1,"0,0")</f>
        <v>03_022_BAS_PAN_E2025</v>
      </c>
      <c r="F52" s="45" t="str">
        <f>""""&amp;B52&amp;"""" &amp; " : " &amp;C52</f>
        <v>"result" : 03_022_BAS_PAN_E2025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E022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09/10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Baskonia Vitoria-Gasteiz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Panathinaikos Aktor Athens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ANDONI COLMENERO</v>
      </c>
      <c r="C8" s="201"/>
      <c r="D8" s="201"/>
      <c r="E8" s="201"/>
      <c r="F8" s="201"/>
      <c r="G8" s="201" t="str">
        <f>IF('SCOUT &amp; LOGISTICS'!D7="","",'SCOUT &amp; LOGISTICS'!D7)</f>
        <v>RAQUEL GARCIA-SAMPEDRO</v>
      </c>
      <c r="H8" s="201"/>
      <c r="I8" s="201"/>
      <c r="J8" s="201"/>
      <c r="K8" s="201"/>
      <c r="L8" s="201" t="str">
        <f>IF('SCOUT &amp; LOGISTICS'!D8="","",'SCOUT &amp; LOGISTICS'!D8)</f>
        <v>LUIS MOULIAA</v>
      </c>
      <c r="M8" s="201"/>
      <c r="N8" s="201"/>
      <c r="O8" s="201"/>
      <c r="P8" s="201"/>
      <c r="Q8" s="201" t="str">
        <f>IF('SCOUT &amp; LOGISTICS'!D9="","",'SCOUT &amp; LOGISTICS'!D9)</f>
        <v>FERNANDO ESTARRONA</v>
      </c>
      <c r="R8" s="201"/>
      <c r="S8" s="201"/>
      <c r="T8" s="201"/>
      <c r="U8" s="201"/>
      <c r="V8" s="201" t="str">
        <f>IF('SCOUT &amp; LOGISTICS'!D10="","",'SCOUT &amp; LOGISTICS'!D10)</f>
        <v>PATRICIA ORTIZ DE ZARATE</v>
      </c>
      <c r="W8" s="201"/>
      <c r="X8" s="201"/>
      <c r="Y8" s="201"/>
      <c r="Z8" s="201"/>
      <c r="AA8" s="201" t="str">
        <f>IF('SCOUT &amp; LOGISTICS'!D11="","",'SCOUT &amp; LOGISTICS'!D11)</f>
        <v>IKER BASKONES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675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0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All-right. Good self corrections, before our info…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42A99AF4-642A-48CB-A342-C8FFE871F392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2025-10-16T17:59:40Z</cp:lastPrinted>
  <dcterms:created xsi:type="dcterms:W3CDTF">2023-09-19T19:50:35Z</dcterms:created>
  <dcterms:modified xsi:type="dcterms:W3CDTF">2025-10-24T16:23:00Z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