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023732C9-1442-482E-9254-7358E7C23A12}" xr6:coauthVersionLast="47" xr6:coauthVersionMax="47" xr10:uidLastSave="{00000000-0000-0000-0000-000000000000}"/>
  <bookViews>
    <workbookView xWindow="28680" yWindow="-120" windowWidth="23280" windowHeight="1248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<sst xmlns="http://schemas.openxmlformats.org/spreadsheetml/2006/main" count="3252" uniqueCount="761">
  <si>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</si>
  <si>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</si>
  <si>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</si>
  <si>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</si>
  <si>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</si>
  <si>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</si>
  <si>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</si>
  <si>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</si>
  <si>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</si>
  <si>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</si>
  <si>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</si>
  <si>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</si>
  <si>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</si>
  <si>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</si>
  <si>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</si>
  <si>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</si>
  <si>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</si>
  <si>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</si>
  <si>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</si>
  <si>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</si>
  <si>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</si>
  <si>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</si>
  <si>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</si>
  <si>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</si>
  <si>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</si>
  <si>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</si>
  <si>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</si>
  <si>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</si>
  <si>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</si>
  <si>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</si>
  <si>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</si>
  <si>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</si>
  <si>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</si>
  <si>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</si>
  <si>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</si>
  <si>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</si>
  <si>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</si>
  <si>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</si>
  <si>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</si>
  <si>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</si>
  <si>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</si>
  <si>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</si>
  <si>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</si>
  <si>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</si>
  <si>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</si>
  <si>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</si>
  <si>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</si>
  <si>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</si>
  <si>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</si>
  <si>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</si>
  <si>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</si>
  <si>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</si>
  <si>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</si>
  <si>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</si>
  <si>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</si>
  <si>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</si>
  <si>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</si>
  <si>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</si>
  <si>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</si>
  <si>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</si>
  <si>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</si>
  <si>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</si>
  <si>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</si>
  <si>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</si>
  <si>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</si>
  <si>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</si>
  <si>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</si>
  <si>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</si>
  <si>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</si>
  <si>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</si>
  <si>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</si>
  <si>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</si>
  <si>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</si>
  <si>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</si>
  <si>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</si>
  <si>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</si>
  <si>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</si>
  <si>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</si>
  <si>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</si>
  <si>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</si>
  <si>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</si>
  <si>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</si>
  <si>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</si>
  <si>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</si>
  <si>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</si>
  <si>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</si>
  <si>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</si>
  <si>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</si>
  <si>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</si>
  <si>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</si>
  <si>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</si>
  <si>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</si>
  <si>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</si>
  <si>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</si>
  <si>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</si>
  <si>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</si>
  <si>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</si>
  <si>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</si>
  <si>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</si>
  <si>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</si>
  <si>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</si>
  <si>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</si>
  <si>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</si>
  <si>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</si>
  <si>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</si>
  <si>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</si>
  <si>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</si>
  <si>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</si>
  <si>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</si>
  <si>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</si>
  <si>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</si>
  <si>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</si>
  <si>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</si>
  <si>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</si>
  <si>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</si>
  <si>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</si>
  <si>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</si>
  <si>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</si>
  <si>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</si>
  <si>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</si>
  <si>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</si>
  <si>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</si>
  <si>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</si>
  <si>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</si>
  <si>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</si>
  <si>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</si>
  <si>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</si>
  <si>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</si>
  <si>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</si>
  <si>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</si>
  <si>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</si>
  <si>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</si>
  <si>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</si>
  <si>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</si>
  <si>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</si>
  <si>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</si>
  <si>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</si>
  <si>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</si>
  <si>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</si>
  <si>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</si>
  <si>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</si>
  <si>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</si>
  <si>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</si>
  <si>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</si>
  <si>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</si>
  <si>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</si>
  <si>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</si>
  <si>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</si>
  <si>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</si>
  <si>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</si>
  <si>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</si>
  <si>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</si>
  <si>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</si>
  <si>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</si>
  <si>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</si>
  <si>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</si>
  <si>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</si>
  <si>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</si>
  <si>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</si>
  <si>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</si>
  <si>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</si>
  <si>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</si>
  <si>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</si>
  <si>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</si>
  <si>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</si>
  <si>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</si>
  <si>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</si>
  <si>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</si>
  <si>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</si>
  <si>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</si>
  <si>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</si>
  <si>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</si>
  <si>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</si>
  <si>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</si>
  <si>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</si>
  <si>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</si>
  <si>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</si>
  <si>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</si>
  <si>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</si>
  <si>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</si>
  <si>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</si>
  <si>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</si>
  <si>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</si>
  <si>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</si>
  <si>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</si>
  <si>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</si>
  <si>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</si>
  <si>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</si>
  <si>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</si>
  <si>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</si>
  <si>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</si>
  <si>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</si>
  <si>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</si>
  <si>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</si>
  <si>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</si>
  <si>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</si>
  <si>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</si>
  <si>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</si>
  <si>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</si>
  <si>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</si>
  <si>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</si>
  <si>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</si>
  <si>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</si>
  <si>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</si>
  <si>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</si>
  <si>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</si>
  <si>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</si>
  <si>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</si>
  <si>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</si>
  <si>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</si>
  <si>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</si>
  <si>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</si>
  <si>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</si>
  <si>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</si>
  <si>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</si>
  <si>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</si>
  <si>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</si>
  <si>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</si>
  <si>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</si>
  <si>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</si>
  <si>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</si>
  <si>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</si>
  <si>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</si>
  <si>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</si>
  <si>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</si>
  <si>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</si>
  <si>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</si>
  <si>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</si>
  <si>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</si>
  <si>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</si>
  <si>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</si>
  <si>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</si>
  <si>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</si>
  <si>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</si>
  <si>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</si>
  <si>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</si>
  <si>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</si>
  <si>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</si>
  <si>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</si>
  <si>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</si>
  <si>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</si>
  <si>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</si>
  <si>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</si>
  <si>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</si>
  <si>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</si>
  <si>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</si>
  <si>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</si>
  <si>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</si>
  <si>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</si>
  <si>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</si>
  <si>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</si>
  <si>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</si>
  <si>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</si>
  <si>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</si>
  <si>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</si>
  <si>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</si>
  <si>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</si>
  <si>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</si>
  <si>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</si>
  <si>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</si>
  <si>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</si>
  <si>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</si>
  <si>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</si>
  <si>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</si>
  <si>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</si>
  <si>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</si>
  <si>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</si>
  <si>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</si>
  <si>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</si>
  <si>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</si>
  <si>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</si>
  <si>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</si>
  <si>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</si>
  <si>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</si>
  <si>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</si>
  <si>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</si>
  <si>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</si>
  <si>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</si>
  <si>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</si>
  <si>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</si>
  <si>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</si>
  <si>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</si>
  <si>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</si>
  <si>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</si>
  <si>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</si>
  <si>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</si>
  <si>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</si>
  <si>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</si>
  <si>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</si>
  <si>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</si>
  <si>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</si>
  <si>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</si>
  <si>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</si>
  <si>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</si>
  <si>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</si>
  <si>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</si>
  <si>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</si>
  <si>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</si>
  <si>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</si>
  <si>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</si>
  <si>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</si>
  <si>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</si>
  <si>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</si>
  <si>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</si>
  <si>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</si>
  <si>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</si>
  <si>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</si>
  <si>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</si>
  <si>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</si>
  <si>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</si>
  <si>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</si>
  <si>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</si>
  <si>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</si>
  <si>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</si>
  <si>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</si>
  <si>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</si>
  <si>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</si>
  <si>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</si>
  <si>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</si>
  <si>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</si>
  <si>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</si>
  <si>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</si>
  <si>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</si>
  <si>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</si>
  <si>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</si>
  <si>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</si>
  <si>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</si>
  <si>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</si>
  <si>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</si>
  <si>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</si>
  <si>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</si>
  <si>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</si>
  <si>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</si>
  <si>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</si>
  <si>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</si>
  <si>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</si>
  <si>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</si>
  <si>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</si>
  <si>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</si>
  <si>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</si>
  <si>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</si>
  <si>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</si>
  <si>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</si>
  <si>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</si>
  <si>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</si>
  <si>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</si>
  <si>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</si>
  <si>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</si>
  <si>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</si>
  <si>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</si>
  <si>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</si>
  <si>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</si>
  <si>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</si>
  <si>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</si>
  <si>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</si>
  <si>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</si>
  <si>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</si>
  <si>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</si>
  <si>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</si>
  <si>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</si>
  <si>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</si>
  <si>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</si>
  <si>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</si>
  <si>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</si>
  <si>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</si>
  <si>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</si>
  <si>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</si>
  <si>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</si>
  <si>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</si>
  <si>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</si>
  <si>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</si>
  <si>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</si>
  <si>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</si>
  <si>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</si>
  <si>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</si>
  <si>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</si>
  <si>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</si>
  <si>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</si>
  <si>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</si>
  <si>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</si>
  <si>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</si>
  <si>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</si>
  <si>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</si>
  <si>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</si>
  <si>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</si>
  <si>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</si>
  <si>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</si>
  <si>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</si>
  <si>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</si>
  <si>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</si>
  <si>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</si>
  <si>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</si>
  <si>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</si>
  <si>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</si>
  <si>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</si>
  <si>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</si>
  <si>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</si>
  <si>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</si>
  <si>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</si>
  <si>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</si>
  <si>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</si>
  <si>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</si>
  <si>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</si>
  <si>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</si>
  <si>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</si>
  <si>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</si>
  <si>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</si>
  <si>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</si>
  <si>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</si>
  <si>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</si>
  <si>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</si>
  <si>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</si>
  <si>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</si>
  <si>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</si>
  <si>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</si>
  <si>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</si>
  <si>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</si>
  <si>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</si>
  <si>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</si>
  <si>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</si>
  <si>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</si>
  <si>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</si>
  <si>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</si>
  <si>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</si>
  <si>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</si>
  <si>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</si>
  <si>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</si>
  <si>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</si>
  <si>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</si>
  <si>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</si>
  <si>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</si>
  <si>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</si>
  <si>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</si>
  <si>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</si>
  <si>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</si>
  <si>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</si>
  <si>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</si>
  <si>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</si>
  <si>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</si>
  <si>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</si>
  <si>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</si>
  <si>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</si>
  <si>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</si>
  <si>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</si>
  <si>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</si>
  <si>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</si>
  <si>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</si>
  <si>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</si>
  <si>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</si>
  <si>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</si>
  <si>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</si>
  <si>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</si>
  <si>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</si>
  <si>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</si>
  <si>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</si>
  <si>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</si>
  <si>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</si>
  <si>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</si>
  <si>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</si>
  <si>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</si>
  <si>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</si>
  <si>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</si>
  <si>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</si>
  <si>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</si>
  <si>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</si>
  <si>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</si>
  <si>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</si>
  <si>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</si>
  <si>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</si>
  <si>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</si>
  <si>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</si>
  <si>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</si>
  <si>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</si>
  <si>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</si>
  <si>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</si>
  <si>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</si>
  <si>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</si>
  <si>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</si>
  <si>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</si>
  <si>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</si>
  <si>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</si>
  <si>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</si>
  <si>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</si>
  <si>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</si>
  <si>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</si>
  <si>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</si>
  <si>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</si>
  <si>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</si>
  <si>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</si>
  <si>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</si>
  <si>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</si>
  <si>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</si>
  <si>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</si>
  <si>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</si>
  <si>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</si>
  <si>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</si>
  <si>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</si>
  <si>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</si>
  <si>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</si>
  <si>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</si>
  <si>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</si>
  <si>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</si>
  <si>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</si>
  <si>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</si>
  <si>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</si>
  <si>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</si>
  <si>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</si>
  <si>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</si>
  <si>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</si>
  <si>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</si>
  <si>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</si>
  <si>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</si>
  <si>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</si>
  <si>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</si>
  <si>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</si>
  <si>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</si>
  <si>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</si>
  <si>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</si>
  <si>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</si>
  <si>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</si>
  <si>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</si>
  <si>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</si>
  <si>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</si>
  <si>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</si>
  <si>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</si>
  <si>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</si>
  <si>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</si>
  <si>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</si>
  <si>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</si>
  <si>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</si>
  <si>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</si>
  <si>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</si>
  <si>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</si>
  <si>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</si>
  <si>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</si>
  <si>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</si>
  <si>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</si>
  <si>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</si>
  <si>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</si>
  <si>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</si>
  <si>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</si>
  <si>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</si>
  <si>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</si>
  <si>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</si>
  <si>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</si>
  <si>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</si>
  <si>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</si>
  <si>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</si>
  <si>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</si>
  <si>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</si>
  <si>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</si>
  <si>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</si>
  <si>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</si>
  <si>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</si>
  <si>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</si>
  <si>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</si>
  <si>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</si>
  <si>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</si>
  <si>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</si>
  <si>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</si>
  <si>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</si>
  <si>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</si>
  <si>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</si>
  <si>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</si>
  <si>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</si>
  <si>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</si>
  <si>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</si>
  <si>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</si>
  <si>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</si>
  <si>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</si>
  <si>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</si>
  <si>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</si>
  <si>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</si>
  <si>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</si>
  <si>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</si>
  <si>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</si>
  <si>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</si>
  <si>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</si>
  <si>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</si>
  <si>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</si>
  <si>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</si>
  <si>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</si>
  <si>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</si>
  <si>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</si>
  <si>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</si>
  <si>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</si>
  <si>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</si>
  <si>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</si>
  <si>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</si>
  <si>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</si>
  <si>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</si>
  <si>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</si>
  <si>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</si>
  <si>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</si>
  <si>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</si>
  <si>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</si>
  <si>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</si>
  <si>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</si>
  <si>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</si>
  <si>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</si>
  <si>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</si>
  <si>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</si>
  <si>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</si>
  <si>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</si>
  <si>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</si>
  <si>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</si>
  <si>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</si>
  <si>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</si>
  <si>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</si>
  <si>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</si>
  <si>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</si>
  <si>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</si>
  <si>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</si>
  <si>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</si>
  <si>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</si>
  <si>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</si>
  <si>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</si>
  <si>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</si>
  <si>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</si>
  <si>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</si>
  <si>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</si>
  <si>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</si>
  <si>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</si>
  <si>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</si>
  <si>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</si>
  <si>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</si>
  <si>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</si>
  <si>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</si>
  <si>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</si>
  <si>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</si>
  <si>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</si>
  <si>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</si>
  <si>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</si>
  <si>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</si>
  <si>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</si>
  <si>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</si>
  <si>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</si>
  <si>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</si>
  <si>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</si>
  <si>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</si>
  <si>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</si>
  <si>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</si>
  <si>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</si>
  <si>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</si>
  <si>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</si>
  <si>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</si>
  <si>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</si>
  <si>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</si>
  <si>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</si>
  <si>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</si>
  <si>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</si>
  <si>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</si>
  <si>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</si>
  <si>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</si>
  <si>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</si>
  <si>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</si>
  <si>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</si>
  <si>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</si>
  <si>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</si>
  <si>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</si>
  <si>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</si>
  <si>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</si>
  <si>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</si>
  <si>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</si>
  <si>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</si>
  <si>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</si>
  <si>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</si>
  <si>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</si>
  <si>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</si>
  <si>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</si>
  <si>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</si>
  <si>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</si>
  <si>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</si>
  <si>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</si>
  <si>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</si>
  <si>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</si>
  <si>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</si>
  <si>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</si>
  <si>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</si>
  <si>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</si>
  <si>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</si>
  <si>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</si>
  <si>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</si>
  <si>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</si>
  <si>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</si>
  <si>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</si>
  <si>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</si>
  <si>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</si>
  <si>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</si>
  <si>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</si>
  <si>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</si>
  <si>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</si>
  <si>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</si>
  <si>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</si>
  <si>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</si>
  <si>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</si>
  <si>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</si>
  <si>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</si>
  <si>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</si>
  <si>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</si>
  <si>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</si>
  <si>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</si>
  <si>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</si>
  <si>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</si>
  <si>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</si>
  <si>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</si>
  <si>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</si>
  <si>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</si>
  <si>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</si>
  <si>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</si>
  <si>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</si>
  <si>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</si>
  <si>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</si>
  <si>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</si>
  <si>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</si>
  <si>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</si>
  <si>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</si>
  <si>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</si>
  <si>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</si>
  <si>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</si>
  <si>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</si>
  <si>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</si>
  <si>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</si>
  <si>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</si>
  <si>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</si>
  <si>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</si>
  <si>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</si>
  <si>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</si>
  <si>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</si>
  <si>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</si>
  <si>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</si>
  <si>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</si>
  <si>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</si>
  <si>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</si>
  <si>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</si>
  <si>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</si>
  <si>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</si>
  <si>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</si>
  <si>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</si>
  <si>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</si>
  <si>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</si>
  <si>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</si>
  <si>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</si>
  <si>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</si>
  <si>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</si>
  <si>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</si>
  <si>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</si>
  <si>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</si>
  <si>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</si>
  <si>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</si>
  <si>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MARC VENTURA</t>
  </si>
  <si>
    <t>MARCO CONCINA</t>
  </si>
  <si>
    <t>MATTIA DECET</t>
  </si>
  <si>
    <t>RICCARDO PILUTTI</t>
  </si>
  <si>
    <t>DANIELE POSENATO</t>
  </si>
  <si>
    <t>ANDREA COPPO</t>
  </si>
  <si>
    <t>ALL CORRECT, NICE COMMUNICATION</t>
  </si>
  <si>
    <t>19706:22</t>
  </si>
  <si>
    <t>06:22</t>
  </si>
  <si>
    <t>DEFLECTER</t>
  </si>
  <si>
    <t>REALLY GOOD GAME. PROACTIVE AND VERY COMMUNICATIVE. AUTOCORRECTIONS WERE GOOD (AS LONG AS YOU KEEP IT LIKE THAT, NOT TOO MANY).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</si>
</sst>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03_022_VNC_KLA_U2025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22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45945.833333333336</v>
      </c>
      <c r="C3" s="178"/>
      <c r="D3" s="39">
        <v>619</v>
      </c>
      <c r="E3" s="29"/>
      <c r="F3" s="26">
        <f>SUBTOTAL(3,I17:I106)</f>
        <v>1</v>
      </c>
      <c r="G3" s="27">
        <f>IF(OR(D3="",D3=0),"",F3/D3)</f>
        <v>1.6155088852988692E-3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Umana Reyer Venice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VNC</v>
      </c>
      <c r="I4" s="5"/>
      <c r="J4" s="119" t="s">
        <v>714</v>
      </c>
      <c r="K4" s="54" t="s">
        <v>743</v>
      </c>
      <c r="L4" s="5"/>
      <c r="M4" s="185" t="s">
        <v>760</v>
      </c>
      <c r="N4" s="186"/>
      <c r="O4" s="2"/>
      <c r="P4" s="2"/>
      <c r="Q4" s="84" t="s">
        <v>175</v>
      </c>
      <c r="R4" s="94">
        <f>(IF(G3="",0,G3))</f>
        <v>1.6155088852988692E-3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Neptunas Klaipeda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KLA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0.16155088852988692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0.66155088852988686</v>
      </c>
      <c r="N7" s="58"/>
      <c r="O7" s="2"/>
      <c r="P7" s="2"/>
      <c r="Q7" s="86">
        <f>SUM(R5,S5,AC16)</f>
        <v>0.66155088852988686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0.66155088852988686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22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756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22</v>
      </c>
      <c r="D17" s="32" t="s">
        <v>758</v>
      </c>
      <c r="E17" s="33">
        <v>2</v>
      </c>
      <c r="F17" s="36">
        <v>36</v>
      </c>
      <c r="G17" s="36">
        <v>16</v>
      </c>
      <c r="H17" s="38" t="str">
        <f>IF(I17="","",$I$14)</f>
        <v>SCOUTING</v>
      </c>
      <c r="I17" s="34" t="s">
        <v>757</v>
      </c>
      <c r="J17" s="13" t="s">
        <v>4</v>
      </c>
      <c r="K17" s="13" t="s">
        <v>63</v>
      </c>
      <c r="L17" s="13" t="s">
        <v>5</v>
      </c>
      <c r="M17" s="13" t="s">
        <v>10</v>
      </c>
      <c r="N17" s="35" t="s">
        <v>759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REPORT_U2025022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"U2025022"</v>
      </c>
      <c r="F3" s="45" t="str">
        <f t="shared" ref="F3:F16" si="0">""""&amp;B3&amp;"""" &amp; " : " &amp;C3&amp;","</f>
        <v>"name" : "U2025022",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"U022"</v>
      </c>
      <c r="F4" s="45" t="str">
        <f t="shared" si="0"/>
        <v>"cod" : "U022",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022</v>
      </c>
      <c r="F6" s="45" t="str">
        <f t="shared" si="0"/>
        <v>"number" : 022,</v>
      </c>
    </row>
    <row r="7" spans="2:6" x14ac:dyDescent="0.2">
      <c r="B7" s="43" t="s">
        <v>116</v>
      </c>
      <c r="C7" s="43" t="str">
        <f ca="1">""""&amp;TEXT('SCOUT &amp; LOGISTICS'!B3,"dd/mm/aaaa")&amp;""""</f>
        <v>"15/10/2025"</v>
      </c>
      <c r="F7" s="45" t="str">
        <f t="shared" ca="1" si="0"/>
        <v>"date" : "15/10/2025",</v>
      </c>
    </row>
    <row r="8" spans="2:6" x14ac:dyDescent="0.2">
      <c r="B8" s="43" t="s">
        <v>125</v>
      </c>
      <c r="C8" s="43" t="str">
        <f>""""&amp;'SCOUT &amp; LOGISTICS'!D4 &amp;""""</f>
        <v>"Umana Reyer Venice"</v>
      </c>
      <c r="F8" s="45" t="str">
        <f t="shared" si="0"/>
        <v>"home_team" : "Umana Reyer Venice",</v>
      </c>
    </row>
    <row r="9" spans="2:6" x14ac:dyDescent="0.2">
      <c r="B9" s="43" t="s">
        <v>126</v>
      </c>
      <c r="C9" s="43" t="str">
        <f>""""&amp;'SCOUT &amp; LOGISTICS'!D5&amp;""""</f>
        <v>"Neptunas Klaipeda"</v>
      </c>
      <c r="F9" s="45" t="str">
        <f t="shared" si="0"/>
        <v>"away_team" : "Neptunas Klaipeda",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"MARCO CONCINA"</v>
      </c>
      <c r="F10" s="45" t="str">
        <f t="shared" si="0"/>
        <v>"Data_entry" : "MARCO CONCINA",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"MATTIA DECET"</v>
      </c>
      <c r="F11" s="45" t="str">
        <f t="shared" si="0"/>
        <v>"Caller_1" : "MATTIA DECET",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"RICCARDO PILUTTI"</v>
      </c>
      <c r="F12" s="45" t="str">
        <f t="shared" si="0"/>
        <v>"Caller_2" : "RICCARDO PILUTTI",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"DANIELE POSENATO"</v>
      </c>
      <c r="F13" s="45" t="str">
        <f t="shared" si="0"/>
        <v>"Timerkeeper" : "DANIELE POSENATO",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"ANDREA COPPO"</v>
      </c>
      <c r="F14" s="45" t="str">
        <f t="shared" si="0"/>
        <v>"Shotclock" : "ANDREA COPPO",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"MARC VENTURA"</v>
      </c>
      <c r="F16" s="45" t="str">
        <f t="shared" si="0"/>
        <v>"Live_Game_Manager" : "MARC 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619</v>
      </c>
      <c r="F25" s="45" t="str">
        <f t="shared" ref="F25:F48" si="1">""""&amp;C25&amp;"""" &amp; " : " &amp;D25&amp;","</f>
        <v>"total_actions" : 619,</v>
      </c>
    </row>
    <row r="26" spans="2:6" x14ac:dyDescent="0.2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"REALLY GOOD GAME. PROACTIVE AND VERY COMMUNICATIVE. AUTOCORRECTIONS WERE GOOD (AS LONG AS YOU KEEP IT LIKE THAT, NOT TOO MANY)."</v>
      </c>
      <c r="F51" s="45" t="str">
        <f>""""&amp;B51&amp;"""" &amp; " : " &amp;C51&amp;","</f>
        <v>"comments" : "REALLY GOOD GAME. PROACTIVE AND VERY COMMUNICATIVE. AUTOCORRECTIONS WERE GOOD (AS LONG AS YOU KEEP IT LIKE THAT, NOT TOO MANY).",</v>
      </c>
    </row>
    <row r="52" spans="2:6" x14ac:dyDescent="0.2">
      <c r="B52" s="43" t="s">
        <v>153</v>
      </c>
      <c r="C52" s="43" t="str">
        <f>TEXT('SCOUT &amp; LOGISTICS'!F1,"0,0")</f>
        <v>03_022_VNC_KLA_U2025</v>
      </c>
      <c r="F52" s="45" t="str">
        <f>""""&amp;B52&amp;"""" &amp; " : " &amp;C52</f>
        <v>"result" : 03_022_VNC_KLA_U2025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U022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15/10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Umana Reyer Venice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Neptunas Klaipeda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MARCO CONCINA</v>
      </c>
      <c r="C8" s="201"/>
      <c r="D8" s="201"/>
      <c r="E8" s="201"/>
      <c r="F8" s="201"/>
      <c r="G8" s="201" t="str">
        <f>IF('SCOUT &amp; LOGISTICS'!D7="","",'SCOUT &amp; LOGISTICS'!D7)</f>
        <v>MATTIA DECET</v>
      </c>
      <c r="H8" s="201"/>
      <c r="I8" s="201"/>
      <c r="J8" s="201"/>
      <c r="K8" s="201"/>
      <c r="L8" s="201" t="str">
        <f>IF('SCOUT &amp; LOGISTICS'!D8="","",'SCOUT &amp; LOGISTICS'!D8)</f>
        <v>RICCARDO PILUTTI</v>
      </c>
      <c r="M8" s="201"/>
      <c r="N8" s="201"/>
      <c r="O8" s="201"/>
      <c r="P8" s="201"/>
      <c r="Q8" s="201" t="str">
        <f>IF('SCOUT &amp; LOGISTICS'!D9="","",'SCOUT &amp; LOGISTICS'!D9)</f>
        <v>DANIELE POSENATO</v>
      </c>
      <c r="R8" s="201"/>
      <c r="S8" s="201"/>
      <c r="T8" s="201"/>
      <c r="U8" s="201"/>
      <c r="V8" s="201" t="str">
        <f>IF('SCOUT &amp; LOGISTICS'!D10="","",'SCOUT &amp; LOGISTICS'!D10)</f>
        <v>ANDREA COPPO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MARC VENTURA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619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1.6155088852988692E-3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REALLY GOOD GAME. PROACTIVE AND VERY COMMUNICATIVE. AUTOCORRECTIONS WERE GOOD (AS LONG AS YOU KEEP IT LIKE THAT, NOT TOO MANY).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0.66155088852988686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C14B298-7101-464C-95B8-B91E20A1C9C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2025-10-14T14:11:56Z</cp:lastPrinted>
  <dcterms:created xsi:type="dcterms:W3CDTF">2023-09-19T19:50:35Z</dcterms:created>
  <dcterms:modified xsi:type="dcterms:W3CDTF">2025-10-16T15:09:09Z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