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5" documentId="8_{E0898A8C-A4F1-45B0-9B97-841E4D87D831}" xr6:coauthVersionLast="47" xr6:coauthVersionMax="47" xr10:uidLastSave="{673DAE99-3B0A-4CE4-8D24-B9A66CA9DFA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<sst xmlns="http://schemas.openxmlformats.org/spreadsheetml/2006/main" count="3280" uniqueCount="765">
  <si>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</si>
  <si>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</si>
  <si>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</si>
  <si>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</si>
  <si>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</si>
  <si>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</si>
  <si>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</si>
  <si>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</si>
  <si>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</si>
  <si>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</si>
  <si>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</si>
  <si>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</si>
  <si>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</si>
  <si>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</si>
  <si>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</si>
  <si>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</si>
  <si>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</si>
  <si>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</si>
  <si>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</si>
  <si>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</si>
  <si>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</si>
  <si>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</si>
  <si>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</si>
  <si>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</si>
  <si>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</si>
  <si>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</si>
  <si>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</si>
  <si>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</si>
  <si>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</si>
  <si>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</si>
  <si>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</si>
  <si>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</si>
  <si>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</si>
  <si>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</si>
  <si>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</si>
  <si>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</si>
  <si>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</si>
  <si>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</si>
  <si>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</si>
  <si>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</si>
  <si>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</si>
  <si>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</si>
  <si>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</si>
  <si>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</si>
  <si>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</si>
  <si>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</si>
  <si>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</si>
  <si>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</si>
  <si>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</si>
  <si>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</si>
  <si>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</si>
  <si>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</si>
  <si>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</si>
  <si>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</si>
  <si>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</si>
  <si>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</si>
  <si>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</si>
  <si>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</si>
  <si>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</si>
  <si>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</si>
  <si>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</si>
  <si>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</si>
  <si>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</si>
  <si>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</si>
  <si>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</si>
  <si>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</si>
  <si>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</si>
  <si>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</si>
  <si>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</si>
  <si>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</si>
  <si>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</si>
  <si>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</si>
  <si>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</si>
  <si>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</si>
  <si>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</si>
  <si>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</si>
  <si>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</si>
  <si>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</si>
  <si>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</si>
  <si>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</si>
  <si>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</si>
  <si>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</si>
  <si>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</si>
  <si>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</si>
  <si>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</si>
  <si>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</si>
  <si>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</si>
  <si>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</si>
  <si>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</si>
  <si>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</si>
  <si>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</si>
  <si>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</si>
  <si>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</si>
  <si>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</si>
  <si>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</si>
  <si>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</si>
  <si>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</si>
  <si>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</si>
  <si>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</si>
  <si>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</si>
  <si>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</si>
  <si>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</si>
  <si>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</si>
  <si>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</si>
  <si>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</si>
  <si>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</si>
  <si>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</si>
  <si>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</si>
  <si>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</si>
  <si>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</si>
  <si>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</si>
  <si>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</si>
  <si>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</si>
  <si>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</si>
  <si>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</si>
  <si>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</si>
  <si>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</si>
  <si>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</si>
  <si>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</si>
  <si>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</si>
  <si>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</si>
  <si>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</si>
  <si>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</si>
  <si>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</si>
  <si>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</si>
  <si>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</si>
  <si>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</si>
  <si>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</si>
  <si>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</si>
  <si>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</si>
  <si>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</si>
  <si>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</si>
  <si>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</si>
  <si>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</si>
  <si>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</si>
  <si>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</si>
  <si>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</si>
  <si>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</si>
  <si>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</si>
  <si>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</si>
  <si>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</si>
  <si>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</si>
  <si>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</si>
  <si>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</si>
  <si>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</si>
  <si>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</si>
  <si>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</si>
  <si>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</si>
  <si>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</si>
  <si>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</si>
  <si>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</si>
  <si>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</si>
  <si>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</si>
  <si>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</si>
  <si>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</si>
  <si>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</si>
  <si>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</si>
  <si>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</si>
  <si>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</si>
  <si>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</si>
  <si>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</si>
  <si>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</si>
  <si>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</si>
  <si>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</si>
  <si>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</si>
  <si>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</si>
  <si>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</si>
  <si>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</si>
  <si>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</si>
  <si>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</si>
  <si>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</si>
  <si>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</si>
  <si>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</si>
  <si>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</si>
  <si>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</si>
  <si>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</si>
  <si>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</si>
  <si>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</si>
  <si>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</si>
  <si>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</si>
  <si>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</si>
  <si>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</si>
  <si>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</si>
  <si>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</si>
  <si>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</si>
  <si>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</si>
  <si>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</si>
  <si>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</si>
  <si>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</si>
  <si>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</si>
  <si>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</si>
  <si>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</si>
  <si>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</si>
  <si>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</si>
  <si>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</si>
  <si>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</si>
  <si>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</si>
  <si>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</si>
  <si>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</si>
  <si>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</si>
  <si>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</si>
  <si>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</si>
  <si>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</si>
  <si>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</si>
  <si>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</si>
  <si>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</si>
  <si>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</si>
  <si>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</si>
  <si>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</si>
  <si>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</si>
  <si>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</si>
  <si>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</si>
  <si>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</si>
  <si>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</si>
  <si>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</si>
  <si>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</si>
  <si>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</si>
  <si>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</si>
  <si>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</si>
  <si>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</si>
  <si>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</si>
  <si>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</si>
  <si>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</si>
  <si>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</si>
  <si>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</si>
  <si>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</si>
  <si>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</si>
  <si>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</si>
  <si>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</si>
  <si>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</si>
  <si>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</si>
  <si>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</si>
  <si>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</si>
  <si>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</si>
  <si>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</si>
  <si>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</si>
  <si>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</si>
  <si>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</si>
  <si>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</si>
  <si>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</si>
  <si>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</si>
  <si>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</si>
  <si>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</si>
  <si>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</si>
  <si>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</si>
  <si>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</si>
  <si>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</si>
  <si>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</si>
  <si>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</si>
  <si>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</si>
  <si>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</si>
  <si>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</si>
  <si>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</si>
  <si>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</si>
  <si>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</si>
  <si>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</si>
  <si>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</si>
  <si>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</si>
  <si>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</si>
  <si>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</si>
  <si>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</si>
  <si>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</si>
  <si>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</si>
  <si>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</si>
  <si>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</si>
  <si>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</si>
  <si>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</si>
  <si>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</si>
  <si>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</si>
  <si>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</si>
  <si>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</si>
  <si>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</si>
  <si>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</si>
  <si>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</si>
  <si>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</si>
  <si>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</si>
  <si>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</si>
  <si>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</si>
  <si>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</si>
  <si>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</si>
  <si>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</si>
  <si>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</si>
  <si>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</si>
  <si>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</si>
  <si>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</si>
  <si>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</si>
  <si>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</si>
  <si>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</si>
  <si>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</si>
  <si>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</si>
  <si>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</si>
  <si>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</si>
  <si>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</si>
  <si>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</si>
  <si>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</si>
  <si>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</si>
  <si>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</si>
  <si>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</si>
  <si>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</si>
  <si>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</si>
  <si>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</si>
  <si>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</si>
  <si>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</si>
  <si>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</si>
  <si>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</si>
  <si>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</si>
  <si>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</si>
  <si>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</si>
  <si>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</si>
  <si>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</si>
  <si>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</si>
  <si>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</si>
  <si>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</si>
  <si>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</si>
  <si>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</si>
  <si>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</si>
  <si>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</si>
  <si>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</si>
  <si>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</si>
  <si>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</si>
  <si>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</si>
  <si>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</si>
  <si>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</si>
  <si>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</si>
  <si>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</si>
  <si>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</si>
  <si>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</si>
  <si>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</si>
  <si>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</si>
  <si>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</si>
  <si>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</si>
  <si>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</si>
  <si>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</si>
  <si>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</si>
  <si>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</si>
  <si>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</si>
  <si>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</si>
  <si>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</si>
  <si>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</si>
  <si>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</si>
  <si>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</si>
  <si>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</si>
  <si>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</si>
  <si>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</si>
  <si>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</si>
  <si>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</si>
  <si>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</si>
  <si>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</si>
  <si>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</si>
  <si>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</si>
  <si>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</si>
  <si>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</si>
  <si>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</si>
  <si>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</si>
  <si>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</si>
  <si>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</si>
  <si>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</si>
  <si>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</si>
  <si>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</si>
  <si>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</si>
  <si>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</si>
  <si>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</si>
  <si>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</si>
  <si>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</si>
  <si>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</si>
  <si>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</si>
  <si>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</si>
  <si>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</si>
  <si>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</si>
  <si>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</si>
  <si>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</si>
  <si>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</si>
  <si>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</si>
  <si>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</si>
  <si>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</si>
  <si>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</si>
  <si>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</si>
  <si>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</si>
  <si>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</si>
  <si>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</si>
  <si>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</si>
  <si>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</si>
  <si>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</si>
  <si>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</si>
  <si>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</si>
  <si>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</si>
  <si>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</si>
  <si>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</si>
  <si>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</si>
  <si>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</si>
  <si>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</si>
  <si>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</si>
  <si>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</si>
  <si>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</si>
  <si>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</si>
  <si>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</si>
  <si>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</si>
  <si>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</si>
  <si>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</si>
  <si>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</si>
  <si>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</si>
  <si>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</si>
  <si>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</si>
  <si>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</si>
  <si>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</si>
  <si>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</si>
  <si>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</si>
  <si>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</si>
  <si>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</si>
  <si>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</si>
  <si>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</si>
  <si>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</si>
  <si>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</si>
  <si>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</si>
  <si>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</si>
  <si>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</si>
  <si>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</si>
  <si>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</si>
  <si>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</si>
  <si>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</si>
  <si>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</si>
  <si>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</si>
  <si>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</si>
  <si>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</si>
  <si>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</si>
  <si>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</si>
  <si>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</si>
  <si>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</si>
  <si>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</si>
  <si>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</si>
  <si>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</si>
  <si>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</si>
  <si>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</si>
  <si>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</si>
  <si>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</si>
  <si>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</si>
  <si>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</si>
  <si>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</si>
  <si>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</si>
  <si>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</si>
  <si>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</si>
  <si>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</si>
  <si>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</si>
  <si>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</si>
  <si>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</si>
  <si>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</si>
  <si>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</si>
  <si>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</si>
  <si>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</si>
  <si>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</si>
  <si>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</si>
  <si>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</si>
  <si>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</si>
  <si>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</si>
  <si>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</si>
  <si>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</si>
  <si>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</si>
  <si>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</si>
  <si>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</si>
  <si>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</si>
  <si>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</si>
  <si>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</si>
  <si>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</si>
  <si>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</si>
  <si>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</si>
  <si>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</si>
  <si>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</si>
  <si>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</si>
  <si>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</si>
  <si>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</si>
  <si>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</si>
  <si>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</si>
  <si>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</si>
  <si>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</si>
  <si>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</si>
  <si>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</si>
  <si>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</si>
  <si>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</si>
  <si>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</si>
  <si>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</si>
  <si>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</si>
  <si>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</si>
  <si>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</si>
  <si>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</si>
  <si>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</si>
  <si>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</si>
  <si>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</si>
  <si>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</si>
  <si>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</si>
  <si>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</si>
  <si>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</si>
  <si>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</si>
  <si>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</si>
  <si>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</si>
  <si>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</si>
  <si>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</si>
  <si>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</si>
  <si>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</si>
  <si>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</si>
  <si>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</si>
  <si>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</si>
  <si>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</si>
  <si>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</si>
  <si>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</si>
  <si>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</si>
  <si>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</si>
  <si>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</si>
  <si>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</si>
  <si>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</si>
  <si>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</si>
  <si>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</si>
  <si>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</si>
  <si>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</si>
  <si>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</si>
  <si>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</si>
  <si>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</si>
  <si>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</si>
  <si>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</si>
  <si>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</si>
  <si>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</si>
  <si>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</si>
  <si>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</si>
  <si>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</si>
  <si>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</si>
  <si>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</si>
  <si>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</si>
  <si>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</si>
  <si>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</si>
  <si>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</si>
  <si>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</si>
  <si>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</si>
  <si>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</si>
  <si>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</si>
  <si>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</si>
  <si>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</si>
  <si>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</si>
  <si>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</si>
  <si>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</si>
  <si>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</si>
  <si>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</si>
  <si>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</si>
  <si>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</si>
  <si>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</si>
  <si>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</si>
  <si>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</si>
  <si>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</si>
  <si>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</si>
  <si>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</si>
  <si>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</si>
  <si>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</si>
  <si>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</si>
  <si>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</si>
  <si>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</si>
  <si>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</si>
  <si>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</si>
  <si>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</si>
  <si>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</si>
  <si>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</si>
  <si>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</si>
  <si>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</si>
  <si>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</si>
  <si>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</si>
  <si>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</si>
  <si>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</si>
  <si>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</si>
  <si>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</si>
  <si>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</si>
  <si>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</si>
  <si>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</si>
  <si>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</si>
  <si>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</si>
  <si>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</si>
  <si>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</si>
  <si>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</si>
  <si>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</si>
  <si>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</si>
  <si>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</si>
  <si>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</si>
  <si>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</si>
  <si>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</si>
  <si>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</si>
  <si>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</si>
  <si>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</si>
  <si>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</si>
  <si>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</si>
  <si>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</si>
  <si>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</si>
  <si>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</si>
  <si>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</si>
  <si>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</si>
  <si>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</si>
  <si>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</si>
  <si>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</si>
  <si>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</si>
  <si>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</si>
  <si>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</si>
  <si>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</si>
  <si>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</si>
  <si>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</si>
  <si>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</si>
  <si>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</si>
  <si>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</si>
  <si>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</si>
  <si>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</si>
  <si>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</si>
  <si>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</si>
  <si>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</si>
  <si>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</si>
  <si>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</si>
  <si>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</si>
  <si>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</si>
  <si>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</si>
  <si>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</si>
  <si>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</si>
  <si>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</si>
  <si>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</si>
  <si>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</si>
  <si>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</si>
  <si>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</si>
  <si>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</si>
  <si>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</si>
  <si>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</si>
  <si>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</si>
  <si>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</si>
  <si>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</si>
  <si>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</si>
  <si>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</si>
  <si>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</si>
  <si>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</si>
  <si>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</si>
  <si>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</si>
  <si>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</si>
  <si>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</si>
  <si>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</si>
  <si>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</si>
  <si>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</si>
  <si>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</si>
  <si>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</si>
  <si>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</si>
  <si>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</si>
  <si>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</si>
  <si>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</si>
  <si>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</si>
  <si>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</si>
  <si>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</si>
  <si>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</si>
  <si>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</si>
  <si>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</si>
  <si>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</si>
  <si>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</si>
  <si>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</si>
  <si>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</si>
  <si>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</si>
  <si>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</si>
  <si>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</si>
  <si>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</si>
  <si>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</si>
  <si>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</si>
  <si>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</si>
  <si>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</si>
  <si>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</si>
  <si>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</si>
  <si>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</si>
  <si>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</si>
  <si>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</si>
  <si>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</si>
  <si>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</si>
  <si>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</si>
  <si>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</si>
  <si>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</si>
  <si>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</si>
  <si>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</si>
  <si>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</si>
  <si>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</si>
  <si>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</si>
  <si>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</si>
  <si>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</si>
  <si>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</si>
  <si>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</si>
  <si>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</si>
  <si>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</si>
  <si>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</si>
  <si>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</si>
  <si>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</si>
  <si>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</si>
  <si>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</si>
  <si>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</si>
  <si>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</si>
  <si>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</si>
  <si>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</si>
  <si>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</si>
  <si>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</si>
  <si>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</si>
  <si>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</si>
  <si>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</si>
  <si>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</si>
  <si>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</si>
  <si>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</si>
  <si>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</si>
  <si>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</si>
  <si>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</si>
  <si>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</si>
  <si>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</si>
  <si>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</si>
  <si>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</si>
  <si>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</si>
  <si>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</si>
  <si>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</si>
  <si>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</si>
  <si>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</si>
  <si>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</si>
  <si>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</si>
  <si>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</si>
  <si>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</si>
  <si>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</si>
  <si>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</si>
  <si>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</si>
  <si>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</si>
  <si>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</si>
  <si>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</si>
  <si>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</si>
  <si>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</si>
  <si>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</si>
  <si>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</si>
  <si>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</si>
  <si>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</si>
  <si>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</si>
  <si>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</si>
  <si>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</si>
  <si>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</si>
  <si>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</si>
  <si>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</si>
  <si>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</si>
  <si>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</si>
  <si>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</si>
  <si>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</si>
  <si>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</si>
  <si>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</si>
  <si>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</si>
  <si>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</si>
  <si>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</si>
  <si>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</si>
  <si>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</si>
  <si>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</si>
  <si>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</si>
  <si>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</si>
  <si>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</si>
  <si>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</si>
  <si>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</si>
  <si>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</si>
  <si>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</si>
  <si>
    <t>ALESSANDRO ZUCCA</t>
  </si>
  <si>
    <t>RENATO BOCCOTTI</t>
  </si>
  <si>
    <t>SAMUELE CATALLO</t>
  </si>
  <si>
    <t>CINZIA COZZI</t>
  </si>
  <si>
    <t>SIMONA PANFILI</t>
  </si>
  <si>
    <t>ENRICO ROSTI</t>
  </si>
  <si>
    <t>9:45</t>
  </si>
  <si>
    <t>8:15</t>
  </si>
  <si>
    <t>8:47</t>
  </si>
  <si>
    <t>4:13</t>
  </si>
  <si>
    <t>6:55</t>
  </si>
  <si>
    <t>3:50</t>
  </si>
  <si>
    <t>0:15</t>
  </si>
  <si>
    <t>C:\Users\hector.guillen\EUROLEAGUE\EB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</si>
</sst>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03_023_MIL_MCO_E2025</v>
      </c>
      <c r="G1" s="5"/>
      <c r="H1" s="5"/>
      <c r="I1" s="5"/>
      <c r="J1" s="8" t="s">
        <v>707</v>
      </c>
      <c r="K1" s="121" t="s">
        <v>764</v>
      </c>
      <c r="L1" s="121"/>
      <c r="M1" s="122" t="s">
        <v>239</v>
      </c>
      <c r="N1" s="121" t="s">
        <v>764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45939.854166666664</v>
      </c>
      <c r="C3" s="157"/>
      <c r="D3" s="39">
        <v>587</v>
      </c>
      <c r="E3" s="29"/>
      <c r="F3" s="26">
        <f>SUBTOTAL(3,I17:I106)</f>
        <v>7</v>
      </c>
      <c r="G3" s="27">
        <f>IF(OR(D3="",D3=0),"",F3/D3)</f>
        <v>1.192504258943782E-2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1.192504258943782E-2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1.192504258943782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6.1925042589437815</v>
      </c>
      <c r="N7" s="58"/>
      <c r="O7" s="2"/>
      <c r="P7" s="2"/>
      <c r="Q7" s="86">
        <f>SUM(R5,S5,AC16)</f>
        <v>6.1925042589437815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6.1925042589437815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7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</v>
      </c>
      <c r="D18" s="32" t="s">
        <v>758</v>
      </c>
      <c r="E18" s="33">
        <v>1</v>
      </c>
      <c r="F18" s="36">
        <v>2</v>
      </c>
      <c r="G18" s="36">
        <v>5</v>
      </c>
      <c r="H18" s="38" t="str">
        <f t="shared" ref="H18:H81" si="8">IF(I18="","",$I$14)</f>
        <v>SCOUTING</v>
      </c>
      <c r="I18" s="34">
        <v>20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</v>
      </c>
      <c r="D19" s="32" t="s">
        <v>759</v>
      </c>
      <c r="E19" s="33">
        <v>2</v>
      </c>
      <c r="F19" s="36">
        <v>20</v>
      </c>
      <c r="G19" s="36">
        <v>22</v>
      </c>
      <c r="H19" s="38" t="str">
        <f t="shared" si="8"/>
        <v>SCOUTING</v>
      </c>
      <c r="I19" s="34">
        <v>147</v>
      </c>
      <c r="J19" s="13" t="s">
        <v>4</v>
      </c>
      <c r="K19" s="13" t="s">
        <v>62</v>
      </c>
      <c r="L19" s="13" t="s">
        <v>6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23</v>
      </c>
      <c r="D20" s="32" t="s">
        <v>760</v>
      </c>
      <c r="E20" s="33">
        <v>3</v>
      </c>
      <c r="F20" s="36">
        <v>51</v>
      </c>
      <c r="G20" s="36">
        <v>56</v>
      </c>
      <c r="H20" s="38" t="str">
        <f t="shared" si="8"/>
        <v>SCOUTING</v>
      </c>
      <c r="I20" s="34">
        <v>378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23</v>
      </c>
      <c r="D21" s="32" t="s">
        <v>761</v>
      </c>
      <c r="E21" s="33">
        <v>4</v>
      </c>
      <c r="F21" s="36">
        <v>65</v>
      </c>
      <c r="G21" s="36">
        <v>70</v>
      </c>
      <c r="H21" s="38" t="str">
        <f t="shared" si="8"/>
        <v>SCOUTING</v>
      </c>
      <c r="I21" s="34">
        <v>493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23</v>
      </c>
      <c r="D22" s="32" t="s">
        <v>762</v>
      </c>
      <c r="E22" s="33">
        <v>4</v>
      </c>
      <c r="F22" s="36">
        <v>71</v>
      </c>
      <c r="G22" s="36">
        <v>79</v>
      </c>
      <c r="H22" s="38" t="str">
        <f t="shared" si="8"/>
        <v>SCOUTING</v>
      </c>
      <c r="I22" s="34">
        <v>528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23</v>
      </c>
      <c r="D23" s="32" t="s">
        <v>763</v>
      </c>
      <c r="E23" s="33">
        <v>4</v>
      </c>
      <c r="F23" s="36">
        <v>79</v>
      </c>
      <c r="G23" s="36">
        <v>80</v>
      </c>
      <c r="H23" s="38" t="str">
        <f t="shared" si="8"/>
        <v>SCOUTING</v>
      </c>
      <c r="I23" s="34">
        <v>572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"E2025023"</v>
      </c>
      <c r="F3" s="45" t="str">
        <f t="shared" ref="F3:F16" si="0">""""&amp;B3&amp;"""" &amp; " : " &amp;C3&amp;","</f>
        <v>"name" : "E2025023",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"E023"</v>
      </c>
      <c r="F4" s="45" t="str">
        <f t="shared" si="0"/>
        <v>"cod" : "E023",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023</v>
      </c>
      <c r="F6" s="45" t="str">
        <f t="shared" si="0"/>
        <v>"number" : 023,</v>
      </c>
    </row>
    <row r="7" spans="2:6" x14ac:dyDescent="0.25">
      <c r="B7" s="43" t="s">
        <v>116</v>
      </c>
      <c r="C7" s="43" t="str">
        <f ca="1">""""&amp;TEXT('SCOUT &amp; LOGISTICS'!B3,"dd/mm/aaaa")&amp;""""</f>
        <v>"09/10/Thursday"</v>
      </c>
      <c r="F7" s="45" t="str">
        <f t="shared" ca="1" si="0"/>
        <v>"date" : "09/10/Thursday",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"SAMUELE CATALLO"</v>
      </c>
      <c r="F12" s="45" t="str">
        <f t="shared" si="0"/>
        <v>"Caller_2" : "SAMUELE CATALLO",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"CINZIA COZZI"</v>
      </c>
      <c r="F13" s="45" t="str">
        <f t="shared" si="0"/>
        <v>"Timerkeeper" : "CINZIA COZZI",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"SIMONA PANFILI"</v>
      </c>
      <c r="F14" s="45" t="str">
        <f t="shared" si="0"/>
        <v>"Shotclock" : "SIMONA PANFILI",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587</v>
      </c>
      <c r="F25" s="45" t="str">
        <f t="shared" ref="F25:F48" si="1">""""&amp;C25&amp;"""" &amp; " : " &amp;D25&amp;","</f>
        <v>"total_actions" : 587,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03_023_MIL_MCO_E2025</v>
      </c>
      <c r="F52" s="45" t="str">
        <f>""""&amp;B52&amp;"""" &amp; " : " &amp;C52</f>
        <v>"result" : 03_023_MIL_MCO_E2025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E023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SAMUELE CATALLO</v>
      </c>
      <c r="M8" s="206"/>
      <c r="N8" s="206"/>
      <c r="O8" s="206"/>
      <c r="P8" s="206"/>
      <c r="Q8" s="206" t="str">
        <f>IF('SCOUT &amp; LOGISTICS'!D9="","",'SCOUT &amp; LOGISTICS'!D9)</f>
        <v>CINZIA COZZI</v>
      </c>
      <c r="R8" s="206"/>
      <c r="S8" s="206"/>
      <c r="T8" s="206"/>
      <c r="U8" s="206"/>
      <c r="V8" s="206" t="str">
        <f>IF('SCOUT &amp; LOGISTICS'!D10="","",'SCOUT &amp; LOGISTICS'!D10)</f>
        <v>SIMONA PANFILI</v>
      </c>
      <c r="W8" s="206"/>
      <c r="X8" s="206"/>
      <c r="Y8" s="206"/>
      <c r="Z8" s="206"/>
      <c r="AA8" s="206" t="str">
        <f>IF('SCOUT &amp; LOGISTICS'!D11="","",'SCOUT &amp; LOGISTICS'!D11)</f>
        <v>ENRICO ROSTI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1.192504258943782E-2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6.1925042589437815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477C07-B769-4217-B851-9983588B297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2025-10-09T20:41:17Z</cp:lastPrinted>
  <dcterms:created xsi:type="dcterms:W3CDTF">2023-09-19T19:50:35Z</dcterms:created>
  <dcterms:modified xsi:type="dcterms:W3CDTF">2025-10-09T20:41:21Z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