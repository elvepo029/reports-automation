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7" Type="http://schemas.openxmlformats.org/officeDocument/2006/relationships/custom-properties" Target="docProps/custom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extended-properties" Target="docProps/app.xml"/><Relationship Id="rId5" Type="http://schemas.openxmlformats.org/package/2006/relationships/metadata/core-properties" Target="docProps/core.xml"/><Relationship Id="rId4" Type="http://schemas.openxmlformats.org/package/2006/relationships/metadata/thumbnail" Target="docProps/thumbnail.emf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8_{753970B9-76CA-4A55-84B7-CFB6FEFFDAC7}" xr6:coauthVersionLast="47" xr6:coauthVersionMax="47" xr10:uidLastSave="{00000000-0000-0000-0000-000000000000}"/>
  <bookViews>
    <workbookView xWindow="28680" yWindow="-120" windowWidth="23280" windowHeight="1248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<sst xmlns="http://schemas.openxmlformats.org/spreadsheetml/2006/main" count="3267" uniqueCount="764">
  <si>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</si>
  <si>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</si>
  <si>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</si>
  <si>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</si>
  <si>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</si>
  <si>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</si>
  <si>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</si>
  <si>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</si>
  <si>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</si>
  <si>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</si>
  <si>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</si>
  <si>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</si>
  <si>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</si>
  <si>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</si>
  <si>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</si>
  <si>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</si>
  <si>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</si>
  <si>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</si>
  <si>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</si>
  <si>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</si>
  <si>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</si>
  <si>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</si>
  <si>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</si>
  <si>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</si>
  <si>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</si>
  <si>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</si>
  <si>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</si>
  <si>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</si>
  <si>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</si>
  <si>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</si>
  <si>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</si>
  <si>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</si>
  <si>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</si>
  <si>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</si>
  <si>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</si>
  <si>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</si>
  <si>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</si>
  <si>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</si>
  <si>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</si>
  <si>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</si>
  <si>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</si>
  <si>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</si>
  <si>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</si>
  <si>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</si>
  <si>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</si>
  <si>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</si>
  <si>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</si>
  <si>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</si>
  <si>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</si>
  <si>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</si>
  <si>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</si>
  <si>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</si>
  <si>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</si>
  <si>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</si>
  <si>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</si>
  <si>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</si>
  <si>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</si>
  <si>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</si>
  <si>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</si>
  <si>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</si>
  <si>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</si>
  <si>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</si>
  <si>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</si>
  <si>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</si>
  <si>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</si>
  <si>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</si>
  <si>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</si>
  <si>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</si>
  <si>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</si>
  <si>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</si>
  <si>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</si>
  <si>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</si>
  <si>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</si>
  <si>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</si>
  <si>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</si>
  <si>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</si>
  <si>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</si>
  <si>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</si>
  <si>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</si>
  <si>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</si>
  <si>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</si>
  <si>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</si>
  <si>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</si>
  <si>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</si>
  <si>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</si>
  <si>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</si>
  <si>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</si>
  <si>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</si>
  <si>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</si>
  <si>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</si>
  <si>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</si>
  <si>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</si>
  <si>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</si>
  <si>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</si>
  <si>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</si>
  <si>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</si>
  <si>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</si>
  <si>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</si>
  <si>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</si>
  <si>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</si>
  <si>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</si>
  <si>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</si>
  <si>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</si>
  <si>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</si>
  <si>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</si>
  <si>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</si>
  <si>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</si>
  <si>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</si>
  <si>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</si>
  <si>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</si>
  <si>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</si>
  <si>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</si>
  <si>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</si>
  <si>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</si>
  <si>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</si>
  <si>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</si>
  <si>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</si>
  <si>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</si>
  <si>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</si>
  <si>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</si>
  <si>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</si>
  <si>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</si>
  <si>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</si>
  <si>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</si>
  <si>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</si>
  <si>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</si>
  <si>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</si>
  <si>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</si>
  <si>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</si>
  <si>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</si>
  <si>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</si>
  <si>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</si>
  <si>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</si>
  <si>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</si>
  <si>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</si>
  <si>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</si>
  <si>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</si>
  <si>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</si>
  <si>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</si>
  <si>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</si>
  <si>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</si>
  <si>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</si>
  <si>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</si>
  <si>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</si>
  <si>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</si>
  <si>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</si>
  <si>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</si>
  <si>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</si>
  <si>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</si>
  <si>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</si>
  <si>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</si>
  <si>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</si>
  <si>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</si>
  <si>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</si>
  <si>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</si>
  <si>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</si>
  <si>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</si>
  <si>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</si>
  <si>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</si>
  <si>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</si>
  <si>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</si>
  <si>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</si>
  <si>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</si>
  <si>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</si>
  <si>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</si>
  <si>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</si>
  <si>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</si>
  <si>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</si>
  <si>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</si>
  <si>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</si>
  <si>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</si>
  <si>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</si>
  <si>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</si>
  <si>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</si>
  <si>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</si>
  <si>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</si>
  <si>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</si>
  <si>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</si>
  <si>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</si>
  <si>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</si>
  <si>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</si>
  <si>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</si>
  <si>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</si>
  <si>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</si>
  <si>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</si>
  <si>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</si>
  <si>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</si>
  <si>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</si>
  <si>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</si>
  <si>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</si>
  <si>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</si>
  <si>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</si>
  <si>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</si>
  <si>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</si>
  <si>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</si>
  <si>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</si>
  <si>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</si>
  <si>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</si>
  <si>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</si>
  <si>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</si>
  <si>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</si>
  <si>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</si>
  <si>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</si>
  <si>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</si>
  <si>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</si>
  <si>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</si>
  <si>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</si>
  <si>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</si>
  <si>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</si>
  <si>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</si>
  <si>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</si>
  <si>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</si>
  <si>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</si>
  <si>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</si>
  <si>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</si>
  <si>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</si>
  <si>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</si>
  <si>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</si>
  <si>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</si>
  <si>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</si>
  <si>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</si>
  <si>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</si>
  <si>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</si>
  <si>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</si>
  <si>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</si>
  <si>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</si>
  <si>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</si>
  <si>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</si>
  <si>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</si>
  <si>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</si>
  <si>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</si>
  <si>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</si>
  <si>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</si>
  <si>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</si>
  <si>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</si>
  <si>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</si>
  <si>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</si>
  <si>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</si>
  <si>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</si>
  <si>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</si>
  <si>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</si>
  <si>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</si>
  <si>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</si>
  <si>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</si>
  <si>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</si>
  <si>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</si>
  <si>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</si>
  <si>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</si>
  <si>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</si>
  <si>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</si>
  <si>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</si>
  <si>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</si>
  <si>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</si>
  <si>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</si>
  <si>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</si>
  <si>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</si>
  <si>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</si>
  <si>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</si>
  <si>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</si>
  <si>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</si>
  <si>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</si>
  <si>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</si>
  <si>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</si>
  <si>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</si>
  <si>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</si>
  <si>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</si>
  <si>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</si>
  <si>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</si>
  <si>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</si>
  <si>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</si>
  <si>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</si>
  <si>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</si>
  <si>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</si>
  <si>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</si>
  <si>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</si>
  <si>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</si>
  <si>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</si>
  <si>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</si>
  <si>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</si>
  <si>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</si>
  <si>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</si>
  <si>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</si>
  <si>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</si>
  <si>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</si>
  <si>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</si>
  <si>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</si>
  <si>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</si>
  <si>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</si>
  <si>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</si>
  <si>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</si>
  <si>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</si>
  <si>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</si>
  <si>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</si>
  <si>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</si>
  <si>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</si>
  <si>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</si>
  <si>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</si>
  <si>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</si>
  <si>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</si>
  <si>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</si>
  <si>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</si>
  <si>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</si>
  <si>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</si>
  <si>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</si>
  <si>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</si>
  <si>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</si>
  <si>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</si>
  <si>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</si>
  <si>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</si>
  <si>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</si>
  <si>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</si>
  <si>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</si>
  <si>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</si>
  <si>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</si>
  <si>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</si>
  <si>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</si>
  <si>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</si>
  <si>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</si>
  <si>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</si>
  <si>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</si>
  <si>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</si>
  <si>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</si>
  <si>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</si>
  <si>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</si>
  <si>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</si>
  <si>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</si>
  <si>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</si>
  <si>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</si>
  <si>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</si>
  <si>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</si>
  <si>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</si>
  <si>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</si>
  <si>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</si>
  <si>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</si>
  <si>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</si>
  <si>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</si>
  <si>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</si>
  <si>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</si>
  <si>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</si>
  <si>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</si>
  <si>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</si>
  <si>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</si>
  <si>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</si>
  <si>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</si>
  <si>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</si>
  <si>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</si>
  <si>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</si>
  <si>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</si>
  <si>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</si>
  <si>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</si>
  <si>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</si>
  <si>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</si>
  <si>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</si>
  <si>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</si>
  <si>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</si>
  <si>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</si>
  <si>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</si>
  <si>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</si>
  <si>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</si>
  <si>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</si>
  <si>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</si>
  <si>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</si>
  <si>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</si>
  <si>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</si>
  <si>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</si>
  <si>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</si>
  <si>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</si>
  <si>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</si>
  <si>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</si>
  <si>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</si>
  <si>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</si>
  <si>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</si>
  <si>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</si>
  <si>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</si>
  <si>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</si>
  <si>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</si>
  <si>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</si>
  <si>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</si>
  <si>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</si>
  <si>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</si>
  <si>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</si>
  <si>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</si>
  <si>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</si>
  <si>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</si>
  <si>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</si>
  <si>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</si>
  <si>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</si>
  <si>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</si>
  <si>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</si>
  <si>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</si>
  <si>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</si>
  <si>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</si>
  <si>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</si>
  <si>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</si>
  <si>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</si>
  <si>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</si>
  <si>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</si>
  <si>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</si>
  <si>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</si>
  <si>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</si>
  <si>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</si>
  <si>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</si>
  <si>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</si>
  <si>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</si>
  <si>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</si>
  <si>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</si>
  <si>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</si>
  <si>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</si>
  <si>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</si>
  <si>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</si>
  <si>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</si>
  <si>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</si>
  <si>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</si>
  <si>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</si>
  <si>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</si>
  <si>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</si>
  <si>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</si>
  <si>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</si>
  <si>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</si>
  <si>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</si>
  <si>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</si>
  <si>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</si>
  <si>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</si>
  <si>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</si>
  <si>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</si>
  <si>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</si>
  <si>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</si>
  <si>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</si>
  <si>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</si>
  <si>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</si>
  <si>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</si>
  <si>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</si>
  <si>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</si>
  <si>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</si>
  <si>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</si>
  <si>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</si>
  <si>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</si>
  <si>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</si>
  <si>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</si>
  <si>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</si>
  <si>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</si>
  <si>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</si>
  <si>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</si>
  <si>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</si>
  <si>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</si>
  <si>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</si>
  <si>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</si>
  <si>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</si>
  <si>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</si>
  <si>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</si>
  <si>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</si>
  <si>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</si>
  <si>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</si>
  <si>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</si>
  <si>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</si>
  <si>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</si>
  <si>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</si>
  <si>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</si>
  <si>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</si>
  <si>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</si>
  <si>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</si>
  <si>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</si>
  <si>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</si>
  <si>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</si>
  <si>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</si>
  <si>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</si>
  <si>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</si>
  <si>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</si>
  <si>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</si>
  <si>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</si>
  <si>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</si>
  <si>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</si>
  <si>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</si>
  <si>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</si>
  <si>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</si>
  <si>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</si>
  <si>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</si>
  <si>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</si>
  <si>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</si>
  <si>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</si>
  <si>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</si>
  <si>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</si>
  <si>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</si>
  <si>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</si>
  <si>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</si>
  <si>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</si>
  <si>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</si>
  <si>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</si>
  <si>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</si>
  <si>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</si>
  <si>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</si>
  <si>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</si>
  <si>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</si>
  <si>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</si>
  <si>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</si>
  <si>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</si>
  <si>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</si>
  <si>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</si>
  <si>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</si>
  <si>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</si>
  <si>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</si>
  <si>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</si>
  <si>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</si>
  <si>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</si>
  <si>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</si>
  <si>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</si>
  <si>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</si>
  <si>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</si>
  <si>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</si>
  <si>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</si>
  <si>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</si>
  <si>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</si>
  <si>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</si>
  <si>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</si>
  <si>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</si>
  <si>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</si>
  <si>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</si>
  <si>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</si>
  <si>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</si>
  <si>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</si>
  <si>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</si>
  <si>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</si>
  <si>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</si>
  <si>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</si>
  <si>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</si>
  <si>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</si>
  <si>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</si>
  <si>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</si>
  <si>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</si>
  <si>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</si>
  <si>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</si>
  <si>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</si>
  <si>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</si>
  <si>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</si>
  <si>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</si>
  <si>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</si>
  <si>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</si>
  <si>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</si>
  <si>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</si>
  <si>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</si>
  <si>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</si>
  <si>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</si>
  <si>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</si>
  <si>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</si>
  <si>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</si>
  <si>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</si>
  <si>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</si>
  <si>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</si>
  <si>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</si>
  <si>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</si>
  <si>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</si>
  <si>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</si>
  <si>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</si>
  <si>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</si>
  <si>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</si>
  <si>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</si>
  <si>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</si>
  <si>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</si>
  <si>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</si>
  <si>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</si>
  <si>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</si>
  <si>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</si>
  <si>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</si>
  <si>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</si>
  <si>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</si>
  <si>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</si>
  <si>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</si>
  <si>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</si>
  <si>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</si>
  <si>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</si>
  <si>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</si>
  <si>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</si>
  <si>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</si>
  <si>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</si>
  <si>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</si>
  <si>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</si>
  <si>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</si>
  <si>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</si>
  <si>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</si>
  <si>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</si>
  <si>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</si>
  <si>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</si>
  <si>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</si>
  <si>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</si>
  <si>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</si>
  <si>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</si>
  <si>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</si>
  <si>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</si>
  <si>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</si>
  <si>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</si>
  <si>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</si>
  <si>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</si>
  <si>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</si>
  <si>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</si>
  <si>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</si>
  <si>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</si>
  <si>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</si>
  <si>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</si>
  <si>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</si>
  <si>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</si>
  <si>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</si>
  <si>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</si>
  <si>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</si>
  <si>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</si>
  <si>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</si>
  <si>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</si>
  <si>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</si>
  <si>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</si>
  <si>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</si>
  <si>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</si>
  <si>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</si>
  <si>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</si>
  <si>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</si>
  <si>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</si>
  <si>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</si>
  <si>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</si>
  <si>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</si>
  <si>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</si>
  <si>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</si>
  <si>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</si>
  <si>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</si>
  <si>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</si>
  <si>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</si>
  <si>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</si>
  <si>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</si>
  <si>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</si>
  <si>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</si>
  <si>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</si>
  <si>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</si>
  <si>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</si>
  <si>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</si>
  <si>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</si>
  <si>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</si>
  <si>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</si>
  <si>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</si>
  <si>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</si>
  <si>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</si>
  <si>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</si>
  <si>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</si>
  <si>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</si>
  <si>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</si>
  <si>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</si>
  <si>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</si>
  <si>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</si>
  <si>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</si>
  <si>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</si>
  <si>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</si>
  <si>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</si>
  <si>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</si>
  <si>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</si>
  <si>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</si>
  <si>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</si>
  <si>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</si>
  <si>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</si>
  <si>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</si>
  <si>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</si>
  <si>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</si>
  <si>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</si>
  <si>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</si>
  <si>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</si>
  <si>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</si>
  <si>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</si>
  <si>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</si>
  <si>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</si>
  <si>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</si>
  <si>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</si>
  <si>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</si>
  <si>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</si>
  <si>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</si>
  <si>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</si>
  <si>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</si>
  <si>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</si>
  <si>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</si>
  <si>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</si>
  <si>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</si>
  <si>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</si>
  <si>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</si>
  <si>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</si>
  <si>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</si>
  <si>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</si>
  <si>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</si>
  <si>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</si>
  <si>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</si>
  <si>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</si>
  <si>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</si>
  <si>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</si>
  <si>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</si>
  <si>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</si>
  <si>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</si>
  <si>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</si>
  <si>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</si>
  <si>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</si>
  <si>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</si>
  <si>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</si>
  <si>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</si>
  <si>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</si>
  <si>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</si>
  <si>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</si>
  <si>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</si>
  <si>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</si>
  <si>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</si>
  <si>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</si>
  <si>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</si>
  <si>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</si>
  <si>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</si>
  <si>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</si>
  <si>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</si>
  <si>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</si>
  <si>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</si>
  <si>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</si>
  <si>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</si>
  <si>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</si>
  <si>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</si>
  <si>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</si>
  <si>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</si>
  <si>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</si>
  <si>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</si>
  <si>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</si>
  <si>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</si>
  <si>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</si>
  <si>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</si>
  <si>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</si>
  <si>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</si>
  <si>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</si>
  <si>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</si>
  <si>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</si>
  <si>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</si>
  <si>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</si>
  <si>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</si>
  <si>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</si>
  <si>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</si>
  <si>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</si>
  <si>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</si>
  <si>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</si>
  <si>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</si>
  <si>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</si>
  <si>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</si>
  <si>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</si>
  <si>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</si>
  <si>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</si>
  <si>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</si>
  <si>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</si>
  <si>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</si>
  <si>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</si>
  <si>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</si>
  <si>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</si>
  <si>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</si>
  <si>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</si>
  <si>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</si>
  <si>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</si>
  <si>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MARC VENTURA</t>
  </si>
  <si>
    <t>ZIGA BENKO</t>
  </si>
  <si>
    <t>MATIC MARKIC</t>
  </si>
  <si>
    <t>SILVO MARKIC</t>
  </si>
  <si>
    <t>MATJAZ PODLESNIK</t>
  </si>
  <si>
    <t>ZIGA JANEZ</t>
  </si>
  <si>
    <t>00:53</t>
  </si>
  <si>
    <t>THEY MISSED CREDITING THE DEFLECTER</t>
  </si>
  <si>
    <t>7:29</t>
  </si>
  <si>
    <t>2:52</t>
  </si>
  <si>
    <t>00:11</t>
  </si>
  <si>
    <t>AFTER A THIS JUMPBALL SUPPOSED TO BE TEAM REB</t>
  </si>
  <si>
    <t>GOOD JOB, GOOD COMUNICATIONS, RESOLUTIVE AND ACTIVE.</t>
  </si>
  <si>
    <t>ALL GOOD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</si>
</sst>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K1" sqref="K1"/>
    </sheetView>
  </sheetViews>
  <sheetFormatPr defaultColWidth="0" defaultRowHeight="15" x14ac:dyDescent="0.2"/>
  <cols>
    <col min="1" max="1" width="1.5703125" customWidth="1"/>
    <col min="2" max="3" width="6.85546875" style="3" customWidth="1"/>
    <col min="4" max="7" width="7.85546875" style="3" customWidth="1"/>
    <col min="8" max="8" width="12.42578125" style="4" customWidth="1"/>
    <col min="9" max="9" width="11.85546875" style="3" bestFit="1" customWidth="1"/>
    <col min="10" max="13" width="22" style="3" customWidth="1"/>
    <col min="14" max="14" width="41.140625" style="3" bestFit="1" customWidth="1"/>
    <col min="15" max="15" width="13.5703125" hidden="1" customWidth="1"/>
    <col min="16" max="16" width="5.42578125" hidden="1" customWidth="1"/>
    <col min="17" max="17" width="21.140625" style="87" hidden="1" customWidth="1"/>
    <col min="18" max="18" width="2.7109375" hidden="1" customWidth="1"/>
    <col min="19" max="20" width="2.7109375" style="91" hidden="1" customWidth="1"/>
    <col min="21" max="21" width="2.7109375" style="97" hidden="1" customWidth="1"/>
    <col min="22" max="24" width="2.7109375" style="91" hidden="1" customWidth="1"/>
    <col min="25" max="25" width="2.7109375" style="98" hidden="1" customWidth="1"/>
    <col min="26" max="26" width="9.5703125" style="87" hidden="1" customWidth="1"/>
    <col min="27" max="27" width="2.7109375" style="91" hidden="1" customWidth="1"/>
    <col min="28" max="28" width="2.7109375" style="97" hidden="1" customWidth="1"/>
    <col min="29" max="29" width="2.7109375" style="99" hidden="1" customWidth="1"/>
    <col min="30" max="30" width="2.7109375" style="91" hidden="1" customWidth="1"/>
    <col min="31" max="31" width="2.7109375" style="97" hidden="1" customWidth="1"/>
    <col min="32" max="46" width="2.7109375" style="91" hidden="1" customWidth="1"/>
    <col min="47" max="47" width="2.7109375" style="99" hidden="1" customWidth="1"/>
    <col min="48" max="48" width="2.7109375" style="91" hidden="1" customWidth="1"/>
    <col min="49" max="52" width="2.7109375" style="99" hidden="1" customWidth="1"/>
    <col min="53" max="53" width="2.7109375" style="91" hidden="1" customWidth="1"/>
    <col min="54" max="54" width="2.7109375" style="99" hidden="1" customWidth="1"/>
    <col min="55" max="71" width="2.7109375" style="91" hidden="1" customWidth="1"/>
    <col min="72" max="16384" width="2.710937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03_024_LJU_ARI_U2025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6.25" thickBot="1" x14ac:dyDescent="0.25">
      <c r="A2" s="1"/>
      <c r="B2" s="117" t="str">
        <f>D1&amp;E1</f>
        <v>U2025</v>
      </c>
      <c r="C2" s="123">
        <v>24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25">
      <c r="A3" s="1"/>
      <c r="B3" s="156">
        <f ca="1">IF(ISERROR(VLOOKUP($B$2&amp;TEXT($C$2,"000"),GAMES!$A$3:$I$562,8,FALSE)),NOW(),VLOOKUP($B$2&amp;TEXT($C$2,"000"),GAMES!$A$3:$I$562,8,FALSE))</f>
        <v>45944.770833333336</v>
      </c>
      <c r="C3" s="157"/>
      <c r="D3" s="39">
        <v>574</v>
      </c>
      <c r="E3" s="29"/>
      <c r="F3" s="26">
        <f>SUBTOTAL(3,I17:I106)</f>
        <v>4</v>
      </c>
      <c r="G3" s="27">
        <f>IF(OR(D3="",D3=0),"",F3/D3)</f>
        <v>6.9686411149825784E-3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2.75" x14ac:dyDescent="0.2">
      <c r="A4" s="2"/>
      <c r="B4" s="163" t="s">
        <v>86</v>
      </c>
      <c r="C4" s="164"/>
      <c r="D4" s="160" t="str">
        <f>IF(ISERROR(VLOOKUP(H4,Teams!$B$2:$C$44,2,FALSE)),"Local Team",VLOOKUP(H4,Teams!$B$2:$C$44,2,FALSE))</f>
        <v>Cedevita Olimpija Ljubljana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LJU</v>
      </c>
      <c r="I4" s="5"/>
      <c r="J4" s="119" t="s">
        <v>714</v>
      </c>
      <c r="K4" s="54" t="s">
        <v>743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6.9686411149825784E-3</v>
      </c>
      <c r="S4" s="61">
        <f>SUM(I13:M13)</f>
        <v>0</v>
      </c>
      <c r="T4" s="78"/>
      <c r="U4" s="61">
        <f>AC18</f>
        <v>2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1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25">
      <c r="A5" s="2"/>
      <c r="B5" s="165" t="s">
        <v>87</v>
      </c>
      <c r="C5" s="166"/>
      <c r="D5" s="173" t="str">
        <f>IF(ISERROR(VLOOKUP(H5,Teams!$B$2:$C$44,2,FALSE)),"Visitor Team",VLOOKUP(H5,Teams!$B$2:$C$44,2,FALSE))</f>
        <v>Aris Thessaloniki Betsson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ARI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0.69686411149825789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10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2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2.75" x14ac:dyDescent="0.2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12.696864111498257</v>
      </c>
      <c r="N7" s="58"/>
      <c r="O7" s="2"/>
      <c r="P7" s="2"/>
      <c r="Q7" s="86">
        <f>SUM(R5,S5,AC16)</f>
        <v>12.696864111498257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25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12.696864111498257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25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2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3.5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2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24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 t="s">
        <v>763</v>
      </c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2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12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2.7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24</v>
      </c>
      <c r="D17" s="32" t="s">
        <v>756</v>
      </c>
      <c r="E17" s="33">
        <v>1</v>
      </c>
      <c r="F17" s="36">
        <v>16</v>
      </c>
      <c r="G17" s="36">
        <v>13</v>
      </c>
      <c r="H17" s="38" t="str">
        <f>IF(I17="","",$I$14)</f>
        <v>SCOUTING</v>
      </c>
      <c r="I17" s="34">
        <v>113</v>
      </c>
      <c r="J17" s="13" t="s">
        <v>4</v>
      </c>
      <c r="K17" s="13" t="s">
        <v>63</v>
      </c>
      <c r="L17" s="13" t="s">
        <v>5</v>
      </c>
      <c r="M17" s="13" t="s">
        <v>10</v>
      </c>
      <c r="N17" s="35" t="s">
        <v>757</v>
      </c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1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0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2.75" x14ac:dyDescent="0.25">
      <c r="A18" s="20"/>
      <c r="B18" s="31" t="str">
        <f t="shared" si="2"/>
        <v>U2025</v>
      </c>
      <c r="C18" s="31">
        <f t="shared" si="3"/>
        <v>24</v>
      </c>
      <c r="D18" s="32" t="s">
        <v>758</v>
      </c>
      <c r="E18" s="33">
        <v>2</v>
      </c>
      <c r="F18" s="36">
        <v>22</v>
      </c>
      <c r="G18" s="36">
        <v>22</v>
      </c>
      <c r="H18" s="38" t="str">
        <f t="shared" ref="H18:H81" si="8">IF(I18="","",$I$14)</f>
        <v>SCOUTING</v>
      </c>
      <c r="I18" s="34">
        <v>155</v>
      </c>
      <c r="J18" s="13" t="s">
        <v>4</v>
      </c>
      <c r="K18" s="13" t="s">
        <v>63</v>
      </c>
      <c r="L18" s="13" t="s">
        <v>6</v>
      </c>
      <c r="M18" s="13" t="s">
        <v>22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2.75" x14ac:dyDescent="0.25">
      <c r="A19" s="20"/>
      <c r="B19" s="31" t="str">
        <f t="shared" si="2"/>
        <v>U2025</v>
      </c>
      <c r="C19" s="31">
        <f t="shared" si="3"/>
        <v>24</v>
      </c>
      <c r="D19" s="32" t="s">
        <v>759</v>
      </c>
      <c r="E19" s="33">
        <v>3</v>
      </c>
      <c r="F19" s="36">
        <v>61</v>
      </c>
      <c r="G19" s="36">
        <v>47</v>
      </c>
      <c r="H19" s="38" t="str">
        <f t="shared" si="8"/>
        <v>SCOUTING</v>
      </c>
      <c r="I19" s="34">
        <v>394</v>
      </c>
      <c r="J19" s="13" t="s">
        <v>4</v>
      </c>
      <c r="K19" s="13" t="s">
        <v>63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2.75" x14ac:dyDescent="0.25">
      <c r="A20" s="20"/>
      <c r="B20" s="31" t="str">
        <f t="shared" si="2"/>
        <v>U2025</v>
      </c>
      <c r="C20" s="31">
        <f t="shared" si="3"/>
        <v>24</v>
      </c>
      <c r="D20" s="32" t="s">
        <v>760</v>
      </c>
      <c r="E20" s="33">
        <v>4</v>
      </c>
      <c r="F20" s="36">
        <v>63</v>
      </c>
      <c r="G20" s="36">
        <v>51</v>
      </c>
      <c r="H20" s="38" t="str">
        <f t="shared" si="8"/>
        <v>SCOUTING</v>
      </c>
      <c r="I20" s="34">
        <v>431</v>
      </c>
      <c r="J20" s="13" t="s">
        <v>4</v>
      </c>
      <c r="K20" s="13" t="s">
        <v>63</v>
      </c>
      <c r="L20" s="13" t="s">
        <v>19</v>
      </c>
      <c r="M20" s="13" t="s">
        <v>168</v>
      </c>
      <c r="N20" s="35" t="s">
        <v>761</v>
      </c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2.7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2.7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2.7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2.7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2.7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2.7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2.7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2.7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2.7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2.7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2.7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2.7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2.7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2.7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2.7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2.7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2.7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2.7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2.7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2.7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2.7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2.7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2.7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2.7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2.7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2.7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2.7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2.7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2.7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2.7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2.7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2.7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2.7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2.7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2.7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2.7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2.7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2.7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2.7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2.7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2.7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2.7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2.7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2.7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2.7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2.7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2.7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2.7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2.7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2.7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2.7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2.7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2.7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2.7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2.7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2.7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2.7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2.7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2.7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2.7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2.7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2.7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2.7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2.7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2.7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2.7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2.7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2.7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2.7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2.7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2.7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2.7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2.7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2.7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2.7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2.7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2.7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2.7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2.7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2.7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2.7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2.7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2.7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2.7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2.7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2.7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2.75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2.75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">
      <c r="W109" s="96"/>
    </row>
    <row r="110" spans="1:71" x14ac:dyDescent="0.2">
      <c r="W110" s="4"/>
    </row>
    <row r="111" spans="1:71" x14ac:dyDescent="0.2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3.5" x14ac:dyDescent="0.25"/>
  <cols>
    <col min="1" max="1" width="0.7109375" customWidth="1"/>
    <col min="2" max="2" width="3.7109375" style="150" customWidth="1"/>
    <col min="3" max="3" width="23.5703125" style="150" bestFit="1" customWidth="1"/>
    <col min="4" max="15" width="14" style="25" customWidth="1"/>
  </cols>
  <sheetData>
    <row r="1" spans="2:15" ht="14.25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4.25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4.25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4.25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4.25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75" x14ac:dyDescent="0.2"/>
  <cols>
    <col min="2" max="2" width="11.85546875" bestFit="1" customWidth="1"/>
    <col min="3" max="3" width="6.140625" bestFit="1" customWidth="1"/>
    <col min="4" max="4" width="3.42578125" bestFit="1" customWidth="1"/>
    <col min="5" max="5" width="15.28515625" bestFit="1" customWidth="1"/>
    <col min="6" max="7" width="14.140625" bestFit="1" customWidth="1"/>
    <col min="8" max="8" width="14.85546875" bestFit="1" customWidth="1"/>
    <col min="9" max="9" width="20.85546875" bestFit="1" customWidth="1"/>
  </cols>
  <sheetData>
    <row r="2" spans="1:9" ht="15" x14ac:dyDescent="0.2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5" x14ac:dyDescent="0.2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5" x14ac:dyDescent="0.2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5" x14ac:dyDescent="0.2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5" x14ac:dyDescent="0.2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5" x14ac:dyDescent="0.2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5" x14ac:dyDescent="0.2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5" x14ac:dyDescent="0.2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5" x14ac:dyDescent="0.2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5" x14ac:dyDescent="0.2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5" x14ac:dyDescent="0.2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5" x14ac:dyDescent="0.2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5" x14ac:dyDescent="0.2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5" x14ac:dyDescent="0.2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5" x14ac:dyDescent="0.2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5" x14ac:dyDescent="0.2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5" x14ac:dyDescent="0.2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5" x14ac:dyDescent="0.2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5" x14ac:dyDescent="0.2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5" x14ac:dyDescent="0.2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5" x14ac:dyDescent="0.2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5" x14ac:dyDescent="0.2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5" x14ac:dyDescent="0.2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5" x14ac:dyDescent="0.2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5" x14ac:dyDescent="0.2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5" x14ac:dyDescent="0.2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5" x14ac:dyDescent="0.2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5" x14ac:dyDescent="0.2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5" x14ac:dyDescent="0.2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5" x14ac:dyDescent="0.2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5" x14ac:dyDescent="0.2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5" x14ac:dyDescent="0.2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5" x14ac:dyDescent="0.2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5" x14ac:dyDescent="0.2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5" x14ac:dyDescent="0.2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5" x14ac:dyDescent="0.2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5" x14ac:dyDescent="0.2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5" x14ac:dyDescent="0.2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5" x14ac:dyDescent="0.2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5" x14ac:dyDescent="0.2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5" x14ac:dyDescent="0.2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5" x14ac:dyDescent="0.2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5" x14ac:dyDescent="0.2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5" x14ac:dyDescent="0.2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5" x14ac:dyDescent="0.2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5" x14ac:dyDescent="0.2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5" x14ac:dyDescent="0.2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5" x14ac:dyDescent="0.2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5" x14ac:dyDescent="0.2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5" x14ac:dyDescent="0.2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5" x14ac:dyDescent="0.2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5" x14ac:dyDescent="0.2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5" x14ac:dyDescent="0.2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5" x14ac:dyDescent="0.2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5" x14ac:dyDescent="0.2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5" x14ac:dyDescent="0.2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5" x14ac:dyDescent="0.2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5" x14ac:dyDescent="0.2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5" x14ac:dyDescent="0.2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5" x14ac:dyDescent="0.2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5" x14ac:dyDescent="0.2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5" x14ac:dyDescent="0.2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5" x14ac:dyDescent="0.2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5" x14ac:dyDescent="0.2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5" x14ac:dyDescent="0.2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5" x14ac:dyDescent="0.2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5" x14ac:dyDescent="0.2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5" x14ac:dyDescent="0.2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5" x14ac:dyDescent="0.2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5" x14ac:dyDescent="0.2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5" x14ac:dyDescent="0.2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5" x14ac:dyDescent="0.2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5" x14ac:dyDescent="0.2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5" x14ac:dyDescent="0.2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5" x14ac:dyDescent="0.2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5" x14ac:dyDescent="0.2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5" x14ac:dyDescent="0.2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5" x14ac:dyDescent="0.2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5" x14ac:dyDescent="0.2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5" x14ac:dyDescent="0.2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5" x14ac:dyDescent="0.2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5" x14ac:dyDescent="0.2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5" x14ac:dyDescent="0.2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5" x14ac:dyDescent="0.2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5" x14ac:dyDescent="0.2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5" x14ac:dyDescent="0.2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5" x14ac:dyDescent="0.2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5" x14ac:dyDescent="0.2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5" x14ac:dyDescent="0.2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5" x14ac:dyDescent="0.2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5" x14ac:dyDescent="0.2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5" x14ac:dyDescent="0.2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5" x14ac:dyDescent="0.2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5" x14ac:dyDescent="0.2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5" x14ac:dyDescent="0.2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5" x14ac:dyDescent="0.2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5" x14ac:dyDescent="0.2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5" x14ac:dyDescent="0.2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5" x14ac:dyDescent="0.2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5" x14ac:dyDescent="0.2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5" x14ac:dyDescent="0.2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5" x14ac:dyDescent="0.2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5" x14ac:dyDescent="0.2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5" x14ac:dyDescent="0.2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5" x14ac:dyDescent="0.2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5" x14ac:dyDescent="0.2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5" x14ac:dyDescent="0.2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5" x14ac:dyDescent="0.2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5" x14ac:dyDescent="0.2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5" x14ac:dyDescent="0.2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5" x14ac:dyDescent="0.2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5" x14ac:dyDescent="0.2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5" x14ac:dyDescent="0.2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5" x14ac:dyDescent="0.2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5" x14ac:dyDescent="0.2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5" x14ac:dyDescent="0.2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5" x14ac:dyDescent="0.2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5" x14ac:dyDescent="0.2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5" x14ac:dyDescent="0.2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5" x14ac:dyDescent="0.2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5" x14ac:dyDescent="0.2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5" x14ac:dyDescent="0.2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5" x14ac:dyDescent="0.2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5" x14ac:dyDescent="0.2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5" x14ac:dyDescent="0.2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5" x14ac:dyDescent="0.2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5" x14ac:dyDescent="0.2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5" x14ac:dyDescent="0.2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5" x14ac:dyDescent="0.2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5" x14ac:dyDescent="0.2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5" x14ac:dyDescent="0.2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5" x14ac:dyDescent="0.2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5" x14ac:dyDescent="0.2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5" x14ac:dyDescent="0.2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5" x14ac:dyDescent="0.2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5" x14ac:dyDescent="0.2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5" x14ac:dyDescent="0.2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5" x14ac:dyDescent="0.2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5" x14ac:dyDescent="0.2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5" x14ac:dyDescent="0.2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5" x14ac:dyDescent="0.2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5" x14ac:dyDescent="0.2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5" x14ac:dyDescent="0.2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5" x14ac:dyDescent="0.2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5" x14ac:dyDescent="0.2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5" x14ac:dyDescent="0.2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5" x14ac:dyDescent="0.2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5" x14ac:dyDescent="0.2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5" x14ac:dyDescent="0.2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5" x14ac:dyDescent="0.2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5" x14ac:dyDescent="0.2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5" x14ac:dyDescent="0.2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5" x14ac:dyDescent="0.2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5" x14ac:dyDescent="0.2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5" x14ac:dyDescent="0.2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5" x14ac:dyDescent="0.2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5" x14ac:dyDescent="0.2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5" x14ac:dyDescent="0.2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5" x14ac:dyDescent="0.2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5" x14ac:dyDescent="0.2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5" x14ac:dyDescent="0.2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5" x14ac:dyDescent="0.2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5" x14ac:dyDescent="0.2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5" x14ac:dyDescent="0.2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5" x14ac:dyDescent="0.2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5" x14ac:dyDescent="0.2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5" x14ac:dyDescent="0.2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5" x14ac:dyDescent="0.2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5" x14ac:dyDescent="0.2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5" x14ac:dyDescent="0.2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5" x14ac:dyDescent="0.2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5" x14ac:dyDescent="0.2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5" x14ac:dyDescent="0.2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5" x14ac:dyDescent="0.2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5" x14ac:dyDescent="0.2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5" x14ac:dyDescent="0.2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5" x14ac:dyDescent="0.2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5" x14ac:dyDescent="0.2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5" x14ac:dyDescent="0.2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5" x14ac:dyDescent="0.2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5" x14ac:dyDescent="0.2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5" x14ac:dyDescent="0.2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5" x14ac:dyDescent="0.2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5" x14ac:dyDescent="0.2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5" x14ac:dyDescent="0.2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5" x14ac:dyDescent="0.2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5" x14ac:dyDescent="0.2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5" x14ac:dyDescent="0.2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5" x14ac:dyDescent="0.2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5" x14ac:dyDescent="0.2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5" x14ac:dyDescent="0.2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5" x14ac:dyDescent="0.2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5" x14ac:dyDescent="0.2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5" x14ac:dyDescent="0.2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5" x14ac:dyDescent="0.2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5" x14ac:dyDescent="0.2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5" x14ac:dyDescent="0.2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5" x14ac:dyDescent="0.2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5" x14ac:dyDescent="0.2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5" x14ac:dyDescent="0.2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5" x14ac:dyDescent="0.2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5" x14ac:dyDescent="0.2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5" x14ac:dyDescent="0.2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5" x14ac:dyDescent="0.2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5" x14ac:dyDescent="0.2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5" x14ac:dyDescent="0.2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5" x14ac:dyDescent="0.2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5" x14ac:dyDescent="0.2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5" x14ac:dyDescent="0.2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5" x14ac:dyDescent="0.2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5" x14ac:dyDescent="0.2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5" x14ac:dyDescent="0.2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5" x14ac:dyDescent="0.2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5" x14ac:dyDescent="0.2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5" x14ac:dyDescent="0.2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5" x14ac:dyDescent="0.2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5" x14ac:dyDescent="0.2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5" x14ac:dyDescent="0.2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5" x14ac:dyDescent="0.2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5" x14ac:dyDescent="0.2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5" x14ac:dyDescent="0.2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5" x14ac:dyDescent="0.2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5" x14ac:dyDescent="0.2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5" x14ac:dyDescent="0.2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5" x14ac:dyDescent="0.2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5" x14ac:dyDescent="0.2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5" x14ac:dyDescent="0.2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5" x14ac:dyDescent="0.2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5" x14ac:dyDescent="0.2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5" x14ac:dyDescent="0.2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5" x14ac:dyDescent="0.2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5" x14ac:dyDescent="0.2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5" x14ac:dyDescent="0.2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5" x14ac:dyDescent="0.2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5" x14ac:dyDescent="0.2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5" x14ac:dyDescent="0.2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5" x14ac:dyDescent="0.2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5" x14ac:dyDescent="0.2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5" x14ac:dyDescent="0.2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5" x14ac:dyDescent="0.2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5" x14ac:dyDescent="0.2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5" x14ac:dyDescent="0.2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5" x14ac:dyDescent="0.2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5" x14ac:dyDescent="0.2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5" x14ac:dyDescent="0.2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5" x14ac:dyDescent="0.2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5" x14ac:dyDescent="0.2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5" x14ac:dyDescent="0.2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5" x14ac:dyDescent="0.2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5" x14ac:dyDescent="0.2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5" x14ac:dyDescent="0.2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5" x14ac:dyDescent="0.2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5" x14ac:dyDescent="0.2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5" x14ac:dyDescent="0.2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5" x14ac:dyDescent="0.2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5" x14ac:dyDescent="0.2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5" x14ac:dyDescent="0.2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5" x14ac:dyDescent="0.2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5" x14ac:dyDescent="0.2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5" x14ac:dyDescent="0.2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5" x14ac:dyDescent="0.2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5" x14ac:dyDescent="0.2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5" x14ac:dyDescent="0.2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5" x14ac:dyDescent="0.2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5" x14ac:dyDescent="0.2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5" x14ac:dyDescent="0.2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5" x14ac:dyDescent="0.2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5" x14ac:dyDescent="0.2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5" x14ac:dyDescent="0.2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5" x14ac:dyDescent="0.2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5" x14ac:dyDescent="0.2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5" x14ac:dyDescent="0.2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5" x14ac:dyDescent="0.2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5" x14ac:dyDescent="0.2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5" x14ac:dyDescent="0.2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5" x14ac:dyDescent="0.2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5" x14ac:dyDescent="0.2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5" x14ac:dyDescent="0.2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5" x14ac:dyDescent="0.2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5" x14ac:dyDescent="0.2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5" x14ac:dyDescent="0.2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5" x14ac:dyDescent="0.2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5" x14ac:dyDescent="0.2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5" x14ac:dyDescent="0.2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5" x14ac:dyDescent="0.2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5" x14ac:dyDescent="0.2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5" x14ac:dyDescent="0.2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5" x14ac:dyDescent="0.2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5" x14ac:dyDescent="0.2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5" x14ac:dyDescent="0.2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5" x14ac:dyDescent="0.2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5" x14ac:dyDescent="0.2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5" x14ac:dyDescent="0.2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5" x14ac:dyDescent="0.2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5" x14ac:dyDescent="0.2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5" x14ac:dyDescent="0.2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5" x14ac:dyDescent="0.2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5" x14ac:dyDescent="0.2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5" x14ac:dyDescent="0.2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5" x14ac:dyDescent="0.2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5" x14ac:dyDescent="0.2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5" x14ac:dyDescent="0.2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5" x14ac:dyDescent="0.2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5" x14ac:dyDescent="0.2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5" x14ac:dyDescent="0.2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5" x14ac:dyDescent="0.2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5" x14ac:dyDescent="0.2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5" x14ac:dyDescent="0.2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5" x14ac:dyDescent="0.2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5" x14ac:dyDescent="0.2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5" x14ac:dyDescent="0.2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5" x14ac:dyDescent="0.2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5" x14ac:dyDescent="0.2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5" x14ac:dyDescent="0.2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5" x14ac:dyDescent="0.2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5" x14ac:dyDescent="0.2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5" x14ac:dyDescent="0.2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5" x14ac:dyDescent="0.2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5" x14ac:dyDescent="0.2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5" x14ac:dyDescent="0.2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5" x14ac:dyDescent="0.2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5" x14ac:dyDescent="0.2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5" x14ac:dyDescent="0.2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5" x14ac:dyDescent="0.2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5" x14ac:dyDescent="0.2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5" x14ac:dyDescent="0.2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5" x14ac:dyDescent="0.2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5" x14ac:dyDescent="0.2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5" x14ac:dyDescent="0.2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5" x14ac:dyDescent="0.2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5" x14ac:dyDescent="0.2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5" x14ac:dyDescent="0.2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5" x14ac:dyDescent="0.2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5" x14ac:dyDescent="0.2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5" x14ac:dyDescent="0.2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5" x14ac:dyDescent="0.2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5" x14ac:dyDescent="0.2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5" x14ac:dyDescent="0.2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5" x14ac:dyDescent="0.2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5" x14ac:dyDescent="0.2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5" x14ac:dyDescent="0.2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5" x14ac:dyDescent="0.2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5" x14ac:dyDescent="0.2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5" x14ac:dyDescent="0.2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5" x14ac:dyDescent="0.2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5" x14ac:dyDescent="0.2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5" x14ac:dyDescent="0.2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5" x14ac:dyDescent="0.2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5" x14ac:dyDescent="0.2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5" x14ac:dyDescent="0.2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5" x14ac:dyDescent="0.2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5" x14ac:dyDescent="0.2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5" x14ac:dyDescent="0.2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5" x14ac:dyDescent="0.2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5" x14ac:dyDescent="0.2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5" x14ac:dyDescent="0.2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5" x14ac:dyDescent="0.2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5" x14ac:dyDescent="0.2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5" x14ac:dyDescent="0.2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5" x14ac:dyDescent="0.2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5" x14ac:dyDescent="0.2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5" x14ac:dyDescent="0.2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5" x14ac:dyDescent="0.2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5" x14ac:dyDescent="0.2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5" x14ac:dyDescent="0.2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5" x14ac:dyDescent="0.2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5" x14ac:dyDescent="0.2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5" x14ac:dyDescent="0.2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5" x14ac:dyDescent="0.2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5" x14ac:dyDescent="0.2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5" x14ac:dyDescent="0.2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5" x14ac:dyDescent="0.2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5" x14ac:dyDescent="0.2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5" x14ac:dyDescent="0.2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5" x14ac:dyDescent="0.2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5" x14ac:dyDescent="0.2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5" x14ac:dyDescent="0.2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5" x14ac:dyDescent="0.2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5" x14ac:dyDescent="0.2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5" x14ac:dyDescent="0.2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5" x14ac:dyDescent="0.2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5" x14ac:dyDescent="0.2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5" x14ac:dyDescent="0.2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5" x14ac:dyDescent="0.2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5" x14ac:dyDescent="0.2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5" x14ac:dyDescent="0.2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5" x14ac:dyDescent="0.2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5" x14ac:dyDescent="0.2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5" x14ac:dyDescent="0.2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5" x14ac:dyDescent="0.2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5" x14ac:dyDescent="0.2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5" x14ac:dyDescent="0.2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5" x14ac:dyDescent="0.2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5" x14ac:dyDescent="0.2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5" x14ac:dyDescent="0.2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5" x14ac:dyDescent="0.2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5" x14ac:dyDescent="0.2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5" x14ac:dyDescent="0.2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5" x14ac:dyDescent="0.2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5" x14ac:dyDescent="0.2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5" x14ac:dyDescent="0.2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5" x14ac:dyDescent="0.2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5" x14ac:dyDescent="0.2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5" x14ac:dyDescent="0.2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5" x14ac:dyDescent="0.2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5" x14ac:dyDescent="0.2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5" x14ac:dyDescent="0.2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5" x14ac:dyDescent="0.2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5" x14ac:dyDescent="0.2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5" x14ac:dyDescent="0.2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5" x14ac:dyDescent="0.2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5" x14ac:dyDescent="0.2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5" x14ac:dyDescent="0.2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5" x14ac:dyDescent="0.2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5" x14ac:dyDescent="0.2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5" x14ac:dyDescent="0.2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5" x14ac:dyDescent="0.2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5" x14ac:dyDescent="0.2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5" x14ac:dyDescent="0.2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5" x14ac:dyDescent="0.2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5" x14ac:dyDescent="0.2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5" x14ac:dyDescent="0.2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5" x14ac:dyDescent="0.2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5" x14ac:dyDescent="0.2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5" x14ac:dyDescent="0.2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5" x14ac:dyDescent="0.2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5" x14ac:dyDescent="0.2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5" x14ac:dyDescent="0.2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5" x14ac:dyDescent="0.2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5" x14ac:dyDescent="0.2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5" x14ac:dyDescent="0.2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5" x14ac:dyDescent="0.2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5" x14ac:dyDescent="0.2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5" x14ac:dyDescent="0.2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5" x14ac:dyDescent="0.2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5" x14ac:dyDescent="0.2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5" x14ac:dyDescent="0.2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5" x14ac:dyDescent="0.2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5" x14ac:dyDescent="0.2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5" x14ac:dyDescent="0.2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5" x14ac:dyDescent="0.2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5" x14ac:dyDescent="0.2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5" x14ac:dyDescent="0.2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5" x14ac:dyDescent="0.2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5" x14ac:dyDescent="0.2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5" x14ac:dyDescent="0.2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5" x14ac:dyDescent="0.2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5" x14ac:dyDescent="0.2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5" x14ac:dyDescent="0.2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5" x14ac:dyDescent="0.2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5" x14ac:dyDescent="0.2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5" x14ac:dyDescent="0.2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5" x14ac:dyDescent="0.2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5" x14ac:dyDescent="0.2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5" x14ac:dyDescent="0.2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5" x14ac:dyDescent="0.2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5" x14ac:dyDescent="0.2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5" x14ac:dyDescent="0.2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5" x14ac:dyDescent="0.2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5" x14ac:dyDescent="0.2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5" x14ac:dyDescent="0.2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5" x14ac:dyDescent="0.2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5" x14ac:dyDescent="0.2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5" x14ac:dyDescent="0.2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5" x14ac:dyDescent="0.2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5" x14ac:dyDescent="0.2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5" x14ac:dyDescent="0.2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5" x14ac:dyDescent="0.2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5" x14ac:dyDescent="0.2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5" x14ac:dyDescent="0.2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5" x14ac:dyDescent="0.2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5" x14ac:dyDescent="0.2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5" x14ac:dyDescent="0.2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5" x14ac:dyDescent="0.2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5" x14ac:dyDescent="0.2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5" x14ac:dyDescent="0.2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5" x14ac:dyDescent="0.2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5" x14ac:dyDescent="0.2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5" x14ac:dyDescent="0.2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5" x14ac:dyDescent="0.2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5" x14ac:dyDescent="0.2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5" x14ac:dyDescent="0.2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5" x14ac:dyDescent="0.2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5" x14ac:dyDescent="0.2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5" x14ac:dyDescent="0.2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5" x14ac:dyDescent="0.2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5" x14ac:dyDescent="0.2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5" x14ac:dyDescent="0.2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5" x14ac:dyDescent="0.2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5" x14ac:dyDescent="0.2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5" x14ac:dyDescent="0.2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5" x14ac:dyDescent="0.2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5" x14ac:dyDescent="0.2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5" x14ac:dyDescent="0.2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5" x14ac:dyDescent="0.2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5" x14ac:dyDescent="0.2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5" x14ac:dyDescent="0.2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5" x14ac:dyDescent="0.2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5" x14ac:dyDescent="0.2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5" x14ac:dyDescent="0.2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5" x14ac:dyDescent="0.2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5" x14ac:dyDescent="0.2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5" x14ac:dyDescent="0.2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5" x14ac:dyDescent="0.2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5" x14ac:dyDescent="0.2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5" x14ac:dyDescent="0.2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5" x14ac:dyDescent="0.2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5" x14ac:dyDescent="0.2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5" x14ac:dyDescent="0.2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5" x14ac:dyDescent="0.2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5" x14ac:dyDescent="0.2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5" x14ac:dyDescent="0.2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5" x14ac:dyDescent="0.2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5" x14ac:dyDescent="0.2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5" x14ac:dyDescent="0.2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5" x14ac:dyDescent="0.2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5" x14ac:dyDescent="0.2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5" x14ac:dyDescent="0.2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5" x14ac:dyDescent="0.2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5" x14ac:dyDescent="0.2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5" x14ac:dyDescent="0.2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5" x14ac:dyDescent="0.2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5" x14ac:dyDescent="0.2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5" x14ac:dyDescent="0.2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5" x14ac:dyDescent="0.2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5" x14ac:dyDescent="0.2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5" x14ac:dyDescent="0.2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5" x14ac:dyDescent="0.2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5" x14ac:dyDescent="0.2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5" x14ac:dyDescent="0.2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5" x14ac:dyDescent="0.2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5" x14ac:dyDescent="0.2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5" x14ac:dyDescent="0.2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5" x14ac:dyDescent="0.2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5" x14ac:dyDescent="0.2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5" x14ac:dyDescent="0.2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5" x14ac:dyDescent="0.2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5" x14ac:dyDescent="0.2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5" x14ac:dyDescent="0.2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5" x14ac:dyDescent="0.2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5" x14ac:dyDescent="0.2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5" x14ac:dyDescent="0.2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5" x14ac:dyDescent="0.2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5" x14ac:dyDescent="0.2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5" x14ac:dyDescent="0.2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5" x14ac:dyDescent="0.2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5" x14ac:dyDescent="0.2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5" x14ac:dyDescent="0.2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5" x14ac:dyDescent="0.2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5" x14ac:dyDescent="0.2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5" x14ac:dyDescent="0.2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5" x14ac:dyDescent="0.2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5" x14ac:dyDescent="0.2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5" x14ac:dyDescent="0.2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5" x14ac:dyDescent="0.2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5" x14ac:dyDescent="0.2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5" x14ac:dyDescent="0.2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5" x14ac:dyDescent="0.2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5" x14ac:dyDescent="0.2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5" x14ac:dyDescent="0.2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5" x14ac:dyDescent="0.2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2.75" zeroHeight="1" x14ac:dyDescent="0.2"/>
  <cols>
    <col min="1" max="1" width="3.140625" style="43" customWidth="1"/>
    <col min="2" max="2" width="13.85546875" style="43" bestFit="1" customWidth="1"/>
    <col min="3" max="3" width="24.85546875" style="43" bestFit="1" customWidth="1"/>
    <col min="4" max="4" width="6.42578125" style="43" bestFit="1" customWidth="1"/>
    <col min="5" max="5" width="1.42578125" style="43" customWidth="1"/>
    <col min="6" max="6" width="34.42578125" style="43" bestFit="1" customWidth="1"/>
    <col min="7" max="7" width="1.42578125" style="43" customWidth="1"/>
    <col min="8" max="16382" width="10.85546875" style="43" hidden="1"/>
    <col min="16383" max="16384" width="52.5703125" style="43" hidden="1" customWidth="1"/>
  </cols>
  <sheetData>
    <row r="1" spans="2:6" x14ac:dyDescent="0.2">
      <c r="F1" s="44" t="str">
        <f>"REPORT_"&amp;'SCOUT &amp; LOGISTICS'!B2&amp;TEXT('SCOUT &amp; LOGISTICS'!C2,"000")</f>
        <v>REPORT_U2025024</v>
      </c>
    </row>
    <row r="2" spans="2:6" x14ac:dyDescent="0.2">
      <c r="F2" s="45" t="s">
        <v>157</v>
      </c>
    </row>
    <row r="3" spans="2:6" x14ac:dyDescent="0.2">
      <c r="B3" s="43" t="s">
        <v>156</v>
      </c>
      <c r="C3" s="43" t="str">
        <f>""""&amp;'SCOUT &amp; LOGISTICS'!B2&amp;TEXT('SCOUT &amp; LOGISTICS'!C2,"000")&amp;""""</f>
        <v>"U2025024"</v>
      </c>
      <c r="F3" s="45" t="str">
        <f t="shared" ref="F3:F16" si="0">""""&amp;B3&amp;"""" &amp; " : " &amp;C3&amp;","</f>
        <v>"name" : "U2025024",</v>
      </c>
    </row>
    <row r="4" spans="2:6" x14ac:dyDescent="0.2">
      <c r="B4" s="43" t="s">
        <v>119</v>
      </c>
      <c r="C4" s="43" t="str">
        <f>""""&amp;LEFT('SCOUT &amp; LOGISTICS'!B2,1) &amp; TEXT('SCOUT &amp; LOGISTICS'!C2,"000")&amp;""""</f>
        <v>"U024"</v>
      </c>
      <c r="F4" s="45" t="str">
        <f t="shared" si="0"/>
        <v>"cod" : "U024",</v>
      </c>
    </row>
    <row r="5" spans="2:6" x14ac:dyDescent="0.2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">
      <c r="B6" s="43" t="s">
        <v>118</v>
      </c>
      <c r="C6" s="43" t="str">
        <f>TEXT('SCOUT &amp; LOGISTICS'!C2,"000")</f>
        <v>024</v>
      </c>
      <c r="F6" s="45" t="str">
        <f t="shared" si="0"/>
        <v>"number" : 024,</v>
      </c>
    </row>
    <row r="7" spans="2:6" x14ac:dyDescent="0.2">
      <c r="B7" s="43" t="s">
        <v>116</v>
      </c>
      <c r="C7" s="43" t="str">
        <f ca="1">""""&amp;TEXT('SCOUT &amp; LOGISTICS'!B3,"dd/mm/aaaa")&amp;""""</f>
        <v>"14/10/2025"</v>
      </c>
      <c r="F7" s="45" t="str">
        <f t="shared" ca="1" si="0"/>
        <v>"date" : "14/10/2025",</v>
      </c>
    </row>
    <row r="8" spans="2:6" x14ac:dyDescent="0.2">
      <c r="B8" s="43" t="s">
        <v>125</v>
      </c>
      <c r="C8" s="43" t="str">
        <f>""""&amp;'SCOUT &amp; LOGISTICS'!D4 &amp;""""</f>
        <v>"Cedevita Olimpija Ljubljana"</v>
      </c>
      <c r="F8" s="45" t="str">
        <f t="shared" si="0"/>
        <v>"home_team" : "Cedevita Olimpija Ljubljana",</v>
      </c>
    </row>
    <row r="9" spans="2:6" x14ac:dyDescent="0.2">
      <c r="B9" s="43" t="s">
        <v>126</v>
      </c>
      <c r="C9" s="43" t="str">
        <f>""""&amp;'SCOUT &amp; LOGISTICS'!D5&amp;""""</f>
        <v>"Aris Thessaloniki Betsson"</v>
      </c>
      <c r="F9" s="45" t="str">
        <f t="shared" si="0"/>
        <v>"away_team" : "Aris Thessaloniki Betsson",</v>
      </c>
    </row>
    <row r="10" spans="2:6" x14ac:dyDescent="0.2">
      <c r="B10" s="43" t="s">
        <v>127</v>
      </c>
      <c r="C10" s="43" t="str">
        <f>""""&amp;IF('SCOUT &amp; LOGISTICS'!D6="","",'SCOUT &amp; LOGISTICS'!D6)&amp;""""</f>
        <v>"ZIGA BENKO"</v>
      </c>
      <c r="F10" s="45" t="str">
        <f t="shared" si="0"/>
        <v>"Data_entry" : "ZIGA BENKO",</v>
      </c>
    </row>
    <row r="11" spans="2:6" x14ac:dyDescent="0.2">
      <c r="B11" s="43" t="s">
        <v>128</v>
      </c>
      <c r="C11" s="43" t="str">
        <f>""""&amp;IF('SCOUT &amp; LOGISTICS'!D7="","",'SCOUT &amp; LOGISTICS'!D7)&amp;""""</f>
        <v>"MATIC MARKIC"</v>
      </c>
      <c r="F11" s="45" t="str">
        <f t="shared" si="0"/>
        <v>"Caller_1" : "MATIC MARKIC",</v>
      </c>
    </row>
    <row r="12" spans="2:6" x14ac:dyDescent="0.2">
      <c r="B12" s="43" t="s">
        <v>129</v>
      </c>
      <c r="C12" s="43" t="str">
        <f>""""&amp;IF('SCOUT &amp; LOGISTICS'!D8="","",'SCOUT &amp; LOGISTICS'!D8)&amp;""""</f>
        <v>"SILVO MARKIC"</v>
      </c>
      <c r="F12" s="45" t="str">
        <f t="shared" si="0"/>
        <v>"Caller_2" : "SILVO MARKIC",</v>
      </c>
    </row>
    <row r="13" spans="2:6" x14ac:dyDescent="0.2">
      <c r="B13" s="43" t="s">
        <v>98</v>
      </c>
      <c r="C13" s="43" t="str">
        <f>""""&amp;IF('SCOUT &amp; LOGISTICS'!D9="","",'SCOUT &amp; LOGISTICS'!D9)&amp;""""</f>
        <v>"MATJAZ PODLESNIK"</v>
      </c>
      <c r="F13" s="45" t="str">
        <f t="shared" si="0"/>
        <v>"Timerkeeper" : "MATJAZ PODLESNIK",</v>
      </c>
    </row>
    <row r="14" spans="2:6" x14ac:dyDescent="0.2">
      <c r="B14" s="43" t="s">
        <v>99</v>
      </c>
      <c r="C14" s="43" t="str">
        <f>""""&amp;IF('SCOUT &amp; LOGISTICS'!D10="","",'SCOUT &amp; LOGISTICS'!D10)&amp;""""</f>
        <v>"ZIGA JANEZ"</v>
      </c>
      <c r="F14" s="45" t="str">
        <f t="shared" si="0"/>
        <v>"Shotclock" : "ZIGA JANEZ",</v>
      </c>
    </row>
    <row r="15" spans="2:6" x14ac:dyDescent="0.2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">
      <c r="B16" s="43" t="s">
        <v>130</v>
      </c>
      <c r="C16" s="43" t="str">
        <f>""""&amp;IF('SCOUT &amp; LOGISTICS'!D14=0,"",'SCOUT &amp; LOGISTICS'!D14)&amp;""""</f>
        <v>"MARC VENTURA"</v>
      </c>
      <c r="F16" s="45" t="str">
        <f t="shared" si="0"/>
        <v>"Live_Game_Manager" : "MARC VENTURA",</v>
      </c>
    </row>
    <row r="17" spans="2:6" x14ac:dyDescent="0.2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">
      <c r="F23" s="45" t="s">
        <v>158</v>
      </c>
    </row>
    <row r="24" spans="2:6" x14ac:dyDescent="0.2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">
      <c r="C25" s="43" t="s">
        <v>131</v>
      </c>
      <c r="D25" s="43">
        <f>'SCOUT &amp; LOGISTICS'!D3</f>
        <v>574</v>
      </c>
      <c r="F25" s="45" t="str">
        <f t="shared" ref="F25:F48" si="1">""""&amp;C25&amp;"""" &amp; " : " &amp;D25&amp;","</f>
        <v>"total_actions" : 574,</v>
      </c>
    </row>
    <row r="26" spans="2:6" x14ac:dyDescent="0.2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">
      <c r="C27" s="43" t="s">
        <v>133</v>
      </c>
      <c r="D27" s="43" t="str">
        <f>""""&amp;IF(OR(D25="",D25=0),"",TEXT(D26/D25,"0,0%"))&amp;""""</f>
        <v>"0,7%"</v>
      </c>
      <c r="F27" s="45" t="str">
        <f t="shared" si="1"/>
        <v>"%_corrections" : "0,7%",</v>
      </c>
    </row>
    <row r="28" spans="2:6" x14ac:dyDescent="0.2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">
      <c r="C38" s="43" t="s">
        <v>141</v>
      </c>
      <c r="D38" s="43">
        <f>'SCOUT &amp; LOGISTICS'!AC17</f>
        <v>1</v>
      </c>
      <c r="F38" s="45" t="str">
        <f t="shared" si="1"/>
        <v>"criteria" : 1,</v>
      </c>
    </row>
    <row r="39" spans="3:6" x14ac:dyDescent="0.2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">
      <c r="F50" s="45" t="s">
        <v>158</v>
      </c>
    </row>
    <row r="51" spans="2:6" x14ac:dyDescent="0.2">
      <c r="B51" s="43" t="s">
        <v>152</v>
      </c>
      <c r="C51" s="43" t="str">
        <f>""""&amp;IF('SCOUT &amp; LOGISTICS'!M4="","",'SCOUT &amp; LOGISTICS'!M4)&amp;""""</f>
        <v>"GOOD JOB, GOOD COMUNICATIONS, RESOLUTIVE AND ACTIVE."</v>
      </c>
      <c r="F51" s="45" t="str">
        <f>""""&amp;B51&amp;"""" &amp; " : " &amp;C51&amp;","</f>
        <v>"comments" : "GOOD JOB, GOOD COMUNICATIONS, RESOLUTIVE AND ACTIVE.",</v>
      </c>
    </row>
    <row r="52" spans="2:6" x14ac:dyDescent="0.2">
      <c r="B52" s="43" t="s">
        <v>153</v>
      </c>
      <c r="C52" s="43" t="str">
        <f>TEXT('SCOUT &amp; LOGISTICS'!F1,"0,0")</f>
        <v>03_024_LJU_ARI_U2025</v>
      </c>
      <c r="F52" s="45" t="str">
        <f>""""&amp;B52&amp;"""" &amp; " : " &amp;C52</f>
        <v>"result" : 03_024_LJU_ARI_U2025</v>
      </c>
    </row>
    <row r="53" spans="2:6" x14ac:dyDescent="0.2">
      <c r="F53" s="45" t="s">
        <v>155</v>
      </c>
    </row>
    <row r="54" spans="2:6" x14ac:dyDescent="0.2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6.5" zeroHeight="1" x14ac:dyDescent="0.35"/>
  <cols>
    <col min="1" max="1" width="5.140625" style="47" customWidth="1"/>
    <col min="2" max="2" width="2.85546875" style="47" customWidth="1"/>
    <col min="3" max="31" width="3.140625" style="47" customWidth="1"/>
    <col min="32" max="32" width="5.5703125" style="47" customWidth="1"/>
    <col min="33" max="16384" width="6.5703125" style="47" hidden="1"/>
  </cols>
  <sheetData>
    <row r="1" spans="1:33" s="48" customFormat="1" ht="11.1" customHeight="1" x14ac:dyDescent="0.35"/>
    <row r="2" spans="1:33" ht="42.6" customHeight="1" thickBot="1" x14ac:dyDescent="0.4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4">
      <c r="A3" s="48"/>
      <c r="B3" s="208" t="str">
        <f>"GAME: "&amp; LEFT('SCOUT &amp; LOGISTICS'!B2,1) &amp; TEXT('SCOUT &amp; LOGISTICS'!C2,"000") &amp; " " &amp; IF(LEFT('SCOUT &amp; LOGISTICS'!B2,1)="U","(EUROCUP)","(EUROLEAGUE)")</f>
        <v>GAME: U024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4">
      <c r="A4" s="48"/>
      <c r="B4" s="194" t="str">
        <f ca="1">"DATE: " &amp; TEXT('SCOUT &amp; LOGISTICS'!B3,"dd/mm")</f>
        <v>DATE: 14/10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4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4">
      <c r="A6" s="48"/>
      <c r="B6" s="212" t="str">
        <f>PROPER('SCOUT &amp; LOGISTICS'!D4)</f>
        <v>Cedevita Olimpija Ljubljana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Aris Thessaloniki Betsson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4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4">
      <c r="A8" s="48"/>
      <c r="B8" s="206" t="str">
        <f>IF('SCOUT &amp; LOGISTICS'!D6="","",'SCOUT &amp; LOGISTICS'!D6)</f>
        <v>ZIGA BENKO</v>
      </c>
      <c r="C8" s="206"/>
      <c r="D8" s="206"/>
      <c r="E8" s="206"/>
      <c r="F8" s="206"/>
      <c r="G8" s="206" t="str">
        <f>IF('SCOUT &amp; LOGISTICS'!D7="","",'SCOUT &amp; LOGISTICS'!D7)</f>
        <v>MATIC MARKIC</v>
      </c>
      <c r="H8" s="206"/>
      <c r="I8" s="206"/>
      <c r="J8" s="206"/>
      <c r="K8" s="206"/>
      <c r="L8" s="206" t="str">
        <f>IF('SCOUT &amp; LOGISTICS'!D8="","",'SCOUT &amp; LOGISTICS'!D8)</f>
        <v>SILVO MARKIC</v>
      </c>
      <c r="M8" s="206"/>
      <c r="N8" s="206"/>
      <c r="O8" s="206"/>
      <c r="P8" s="206"/>
      <c r="Q8" s="206" t="str">
        <f>IF('SCOUT &amp; LOGISTICS'!D9="","",'SCOUT &amp; LOGISTICS'!D9)</f>
        <v>MATJAZ PODLESNIK</v>
      </c>
      <c r="R8" s="206"/>
      <c r="S8" s="206"/>
      <c r="T8" s="206"/>
      <c r="U8" s="206"/>
      <c r="V8" s="206" t="str">
        <f>IF('SCOUT &amp; LOGISTICS'!D10="","",'SCOUT &amp; LOGISTICS'!D10)</f>
        <v>ZIGA JANEZ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7.25" thickBot="1" x14ac:dyDescent="0.4">
      <c r="A9" s="48"/>
      <c r="B9" s="200" t="str">
        <f>IF(OR('SCOUT &amp; LOGISTICS'!D14="",'SCOUT &amp; LOGISTICS'!D14=0),"",'SCOUT &amp; LOGISTICS'!B14 &amp; ": " &amp; 'SCOUT &amp; LOGISTICS'!D14) &amp; "     "</f>
        <v xml:space="preserve">L G M: : MARC VENTURA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7.25" thickBot="1" x14ac:dyDescent="0.4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4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4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4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7.25" thickBot="1" x14ac:dyDescent="0.4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4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4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4">
      <c r="A17" s="48"/>
      <c r="B17" s="204">
        <f>'SCOUT &amp; LOGISTICS'!D3</f>
        <v>574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6.9686411149825784E-3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7.25" thickBot="1" x14ac:dyDescent="0.4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4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4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4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4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7.25" thickBot="1" x14ac:dyDescent="0.4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4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4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4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4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1</v>
      </c>
      <c r="AB27" s="197"/>
      <c r="AC27" s="197"/>
      <c r="AD27" s="197"/>
      <c r="AE27" s="197"/>
      <c r="AF27" s="48"/>
    </row>
    <row r="28" spans="1:32" ht="21" customHeight="1" thickBot="1" x14ac:dyDescent="0.4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4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7.25" thickBot="1" x14ac:dyDescent="0.4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4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4">
      <c r="A32" s="48"/>
      <c r="B32" s="195" t="str">
        <f>IF('SCOUT &amp; LOGISTICS'!M4="","",'SCOUT &amp; LOGISTICS'!M4)</f>
        <v>GOOD JOB, GOOD COMUNICATIONS, RESOLUTIVE AND ACTIVE.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4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4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4">
      <c r="A35" s="48"/>
      <c r="B35" s="196">
        <f>'SCOUT &amp; LOGISTICS'!M7</f>
        <v>12.696864111498257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3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8448FE2-E6DF-4892-B767-4EB04A1B9EEF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Marc Ventura</cp:lastModifiedBy>
  <cp:lastPrinted>2025-10-14T14:12:22Z</cp:lastPrinted>
  <dcterms:created xsi:type="dcterms:W3CDTF">2023-09-19T19:50:35Z</dcterms:created>
  <dcterms:modified xsi:type="dcterms:W3CDTF">2025-10-16T14:59:09Z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