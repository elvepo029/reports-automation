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245" documentId="8_{0CEBCC62-4412-41DA-BEE3-D38D5DFF9FA9}" xr6:coauthVersionLast="47" xr6:coauthVersionMax="47" xr10:uidLastSave="{60E6D26A-761D-46A5-B73E-C162C8F0748D}"/>
  <bookViews>
    <workbookView xWindow="-6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<sst xmlns="http://schemas.openxmlformats.org/spreadsheetml/2006/main" count="3369" uniqueCount="785">
  <si>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</si>
  <si>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</si>
  <si>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</si>
  <si>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</si>
  <si>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</si>
  <si>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</si>
  <si>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</si>
  <si>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</si>
  <si>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</si>
  <si>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</si>
  <si>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</si>
  <si>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</si>
  <si>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</si>
  <si>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</si>
  <si>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</si>
  <si>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</si>
  <si>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</si>
  <si>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</si>
  <si>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</si>
  <si>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</si>
  <si>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</si>
  <si>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</si>
  <si>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</si>
  <si>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</si>
  <si>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</si>
  <si>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</si>
  <si>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</si>
  <si>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</si>
  <si>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</si>
  <si>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</si>
  <si>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</si>
  <si>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</si>
  <si>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</si>
  <si>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</si>
  <si>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</si>
  <si>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</si>
  <si>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</si>
  <si>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</si>
  <si>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</si>
  <si>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</si>
  <si>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</si>
  <si>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</si>
  <si>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</si>
  <si>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</si>
  <si>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</si>
  <si>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</si>
  <si>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</si>
  <si>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</si>
  <si>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</si>
  <si>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</si>
  <si>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</si>
  <si>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</si>
  <si>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</si>
  <si>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</si>
  <si>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</si>
  <si>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</si>
  <si>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</si>
  <si>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</si>
  <si>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</si>
  <si>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</si>
  <si>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</si>
  <si>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</si>
  <si>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</si>
  <si>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</si>
  <si>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</si>
  <si>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</si>
  <si>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</si>
  <si>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</si>
  <si>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</si>
  <si>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</si>
  <si>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</si>
  <si>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</si>
  <si>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</si>
  <si>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</si>
  <si>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</si>
  <si>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</si>
  <si>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</si>
  <si>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</si>
  <si>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</si>
  <si>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</si>
  <si>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</si>
  <si>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</si>
  <si>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</si>
  <si>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</si>
  <si>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</si>
  <si>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</si>
  <si>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</si>
  <si>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</si>
  <si>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</si>
  <si>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</si>
  <si>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</si>
  <si>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</si>
  <si>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</si>
  <si>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</si>
  <si>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</si>
  <si>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</si>
  <si>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</si>
  <si>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</si>
  <si>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</si>
  <si>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</si>
  <si>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</si>
  <si>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</si>
  <si>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</si>
  <si>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</si>
  <si>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</si>
  <si>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</si>
  <si>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</si>
  <si>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</si>
  <si>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</si>
  <si>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</si>
  <si>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</si>
  <si>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</si>
  <si>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</si>
  <si>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</si>
  <si>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</si>
  <si>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</si>
  <si>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</si>
  <si>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</si>
  <si>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</si>
  <si>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</si>
  <si>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</si>
  <si>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</si>
  <si>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</si>
  <si>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</si>
  <si>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</si>
  <si>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</si>
  <si>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</si>
  <si>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</si>
  <si>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</si>
  <si>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</si>
  <si>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</si>
  <si>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</si>
  <si>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</si>
  <si>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</si>
  <si>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</si>
  <si>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</si>
  <si>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</si>
  <si>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</si>
  <si>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</si>
  <si>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</si>
  <si>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</si>
  <si>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</si>
  <si>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</si>
  <si>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</si>
  <si>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</si>
  <si>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</si>
  <si>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</si>
  <si>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</si>
  <si>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</si>
  <si>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</si>
  <si>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</si>
  <si>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</si>
  <si>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</si>
  <si>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</si>
  <si>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</si>
  <si>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</si>
  <si>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</si>
  <si>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</si>
  <si>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</si>
  <si>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</si>
  <si>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</si>
  <si>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</si>
  <si>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</si>
  <si>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</si>
  <si>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</si>
  <si>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</si>
  <si>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</si>
  <si>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</si>
  <si>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</si>
  <si>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</si>
  <si>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</si>
  <si>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</si>
  <si>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</si>
  <si>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</si>
  <si>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</si>
  <si>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</si>
  <si>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</si>
  <si>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</si>
  <si>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</si>
  <si>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</si>
  <si>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</si>
  <si>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</si>
  <si>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</si>
  <si>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</si>
  <si>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</si>
  <si>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</si>
  <si>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</si>
  <si>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</si>
  <si>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</si>
  <si>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</si>
  <si>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</si>
  <si>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</si>
  <si>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</si>
  <si>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</si>
  <si>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</si>
  <si>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</si>
  <si>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</si>
  <si>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</si>
  <si>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</si>
  <si>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</si>
  <si>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</si>
  <si>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</si>
  <si>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</si>
  <si>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</si>
  <si>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</si>
  <si>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</si>
  <si>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</si>
  <si>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</si>
  <si>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</si>
  <si>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</si>
  <si>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</si>
  <si>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</si>
  <si>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</si>
  <si>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</si>
  <si>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</si>
  <si>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</si>
  <si>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</si>
  <si>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</si>
  <si>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</si>
  <si>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</si>
  <si>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</si>
  <si>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</si>
  <si>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</si>
  <si>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</si>
  <si>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</si>
  <si>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</si>
  <si>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</si>
  <si>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</si>
  <si>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</si>
  <si>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</si>
  <si>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</si>
  <si>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</si>
  <si>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</si>
  <si>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</si>
  <si>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</si>
  <si>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</si>
  <si>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</si>
  <si>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</si>
  <si>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</si>
  <si>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</si>
  <si>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</si>
  <si>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</si>
  <si>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</si>
  <si>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</si>
  <si>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</si>
  <si>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</si>
  <si>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</si>
  <si>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</si>
  <si>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</si>
  <si>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</si>
  <si>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</si>
  <si>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</si>
  <si>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</si>
  <si>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</si>
  <si>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</si>
  <si>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</si>
  <si>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</si>
  <si>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</si>
  <si>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</si>
  <si>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</si>
  <si>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</si>
  <si>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</si>
  <si>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</si>
  <si>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</si>
  <si>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</si>
  <si>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</si>
  <si>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</si>
  <si>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</si>
  <si>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</si>
  <si>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</si>
  <si>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</si>
  <si>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</si>
  <si>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</si>
  <si>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</si>
  <si>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</si>
  <si>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</si>
  <si>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</si>
  <si>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</si>
  <si>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</si>
  <si>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</si>
  <si>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</si>
  <si>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</si>
  <si>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</si>
  <si>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</si>
  <si>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</si>
  <si>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</si>
  <si>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</si>
  <si>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</si>
  <si>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</si>
  <si>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</si>
  <si>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</si>
  <si>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</si>
  <si>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</si>
  <si>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</si>
  <si>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</si>
  <si>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</si>
  <si>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</si>
  <si>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</si>
  <si>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</si>
  <si>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</si>
  <si>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</si>
  <si>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</si>
  <si>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</si>
  <si>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</si>
  <si>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</si>
  <si>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</si>
  <si>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</si>
  <si>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</si>
  <si>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</si>
  <si>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</si>
  <si>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</si>
  <si>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</si>
  <si>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</si>
  <si>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</si>
  <si>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</si>
  <si>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</si>
  <si>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</si>
  <si>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</si>
  <si>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</si>
  <si>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</si>
  <si>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</si>
  <si>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</si>
  <si>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</si>
  <si>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</si>
  <si>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</si>
  <si>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</si>
  <si>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</si>
  <si>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</si>
  <si>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</si>
  <si>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</si>
  <si>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</si>
  <si>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</si>
  <si>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</si>
  <si>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</si>
  <si>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</si>
  <si>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</si>
  <si>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</si>
  <si>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</si>
  <si>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</si>
  <si>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</si>
  <si>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</si>
  <si>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</si>
  <si>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</si>
  <si>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</si>
  <si>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</si>
  <si>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</si>
  <si>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</si>
  <si>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</si>
  <si>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</si>
  <si>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</si>
  <si>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</si>
  <si>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</si>
  <si>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</si>
  <si>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</si>
  <si>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</si>
  <si>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</si>
  <si>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</si>
  <si>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</si>
  <si>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</si>
  <si>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</si>
  <si>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</si>
  <si>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</si>
  <si>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</si>
  <si>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</si>
  <si>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</si>
  <si>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</si>
  <si>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</si>
  <si>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</si>
  <si>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</si>
  <si>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</si>
  <si>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</si>
  <si>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</si>
  <si>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</si>
  <si>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</si>
  <si>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</si>
  <si>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</si>
  <si>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</si>
  <si>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</si>
  <si>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</si>
  <si>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</si>
  <si>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</si>
  <si>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</si>
  <si>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</si>
  <si>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</si>
  <si>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</si>
  <si>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</si>
  <si>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</si>
  <si>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</si>
  <si>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</si>
  <si>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</si>
  <si>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</si>
  <si>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</si>
  <si>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</si>
  <si>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</si>
  <si>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</si>
  <si>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</si>
  <si>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</si>
  <si>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</si>
  <si>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</si>
  <si>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</si>
  <si>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</si>
  <si>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</si>
  <si>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</si>
  <si>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</si>
  <si>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</si>
  <si>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</si>
  <si>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</si>
  <si>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</si>
  <si>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</si>
  <si>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</si>
  <si>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</si>
  <si>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</si>
  <si>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</si>
  <si>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</si>
  <si>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</si>
  <si>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</si>
  <si>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</si>
  <si>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</si>
  <si>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</si>
  <si>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</si>
  <si>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</si>
  <si>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</si>
  <si>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</si>
  <si>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</si>
  <si>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</si>
  <si>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</si>
  <si>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</si>
  <si>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</si>
  <si>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</si>
  <si>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</si>
  <si>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</si>
  <si>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</si>
  <si>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</si>
  <si>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</si>
  <si>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</si>
  <si>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</si>
  <si>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</si>
  <si>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</si>
  <si>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</si>
  <si>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</si>
  <si>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</si>
  <si>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</si>
  <si>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</si>
  <si>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</si>
  <si>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</si>
  <si>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</si>
  <si>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</si>
  <si>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</si>
  <si>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</si>
  <si>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</si>
  <si>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</si>
  <si>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</si>
  <si>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</si>
  <si>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</si>
  <si>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</si>
  <si>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</si>
  <si>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</si>
  <si>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</si>
  <si>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</si>
  <si>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</si>
  <si>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</si>
  <si>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</si>
  <si>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</si>
  <si>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</si>
  <si>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</si>
  <si>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</si>
  <si>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</si>
  <si>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</si>
  <si>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</si>
  <si>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</si>
  <si>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</si>
  <si>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</si>
  <si>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</si>
  <si>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</si>
  <si>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</si>
  <si>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</si>
  <si>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</si>
  <si>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</si>
  <si>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</si>
  <si>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</si>
  <si>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</si>
  <si>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</si>
  <si>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</si>
  <si>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</si>
  <si>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</si>
  <si>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</si>
  <si>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</si>
  <si>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</si>
  <si>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</si>
  <si>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</si>
  <si>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</si>
  <si>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</si>
  <si>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</si>
  <si>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</si>
  <si>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</si>
  <si>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</si>
  <si>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</si>
  <si>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</si>
  <si>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</si>
  <si>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</si>
  <si>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</si>
  <si>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</si>
  <si>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</si>
  <si>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</si>
  <si>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</si>
  <si>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</si>
  <si>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</si>
  <si>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</si>
  <si>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</si>
  <si>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</si>
  <si>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</si>
  <si>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</si>
  <si>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</si>
  <si>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</si>
  <si>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</si>
  <si>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</si>
  <si>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</si>
  <si>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</si>
  <si>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</si>
  <si>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</si>
  <si>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</si>
  <si>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</si>
  <si>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</si>
  <si>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</si>
  <si>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</si>
  <si>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</si>
  <si>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</si>
  <si>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</si>
  <si>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</si>
  <si>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</si>
  <si>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</si>
  <si>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</si>
  <si>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</si>
  <si>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</si>
  <si>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</si>
  <si>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</si>
  <si>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</si>
  <si>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</si>
  <si>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</si>
  <si>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</si>
  <si>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</si>
  <si>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</si>
  <si>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</si>
  <si>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</si>
  <si>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</si>
  <si>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</si>
  <si>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</si>
  <si>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</si>
  <si>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</si>
  <si>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</si>
  <si>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</si>
  <si>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</si>
  <si>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</si>
  <si>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</si>
  <si>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</si>
  <si>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</si>
  <si>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</si>
  <si>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</si>
  <si>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</si>
  <si>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</si>
  <si>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</si>
  <si>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</si>
  <si>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</si>
  <si>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</si>
  <si>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</si>
  <si>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</si>
  <si>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</si>
  <si>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</si>
  <si>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</si>
  <si>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</si>
  <si>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</si>
  <si>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</si>
  <si>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</si>
  <si>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</si>
  <si>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</si>
  <si>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</si>
  <si>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</si>
  <si>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</si>
  <si>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</si>
  <si>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</si>
  <si>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</si>
  <si>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</si>
  <si>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</si>
  <si>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</si>
  <si>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</si>
  <si>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</si>
  <si>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</si>
  <si>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</si>
  <si>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</si>
  <si>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</si>
  <si>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</si>
  <si>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</si>
  <si>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</si>
  <si>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</si>
  <si>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</si>
  <si>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</si>
  <si>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</si>
  <si>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</si>
  <si>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</si>
  <si>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</si>
  <si>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</si>
  <si>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</si>
  <si>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</si>
  <si>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</si>
  <si>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</si>
  <si>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</si>
  <si>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</si>
  <si>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</si>
  <si>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</si>
  <si>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</si>
  <si>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</si>
  <si>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</si>
  <si>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</si>
  <si>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</si>
  <si>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</si>
  <si>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</si>
  <si>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</si>
  <si>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</si>
  <si>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</si>
  <si>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</si>
  <si>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</si>
  <si>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</si>
  <si>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</si>
  <si>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</si>
  <si>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</si>
  <si>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</si>
  <si>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</si>
  <si>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</si>
  <si>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</si>
  <si>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</si>
  <si>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</si>
  <si>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</si>
  <si>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</si>
  <si>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</si>
  <si>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</si>
  <si>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</si>
  <si>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</si>
  <si>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</si>
  <si>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</si>
  <si>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</si>
  <si>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</si>
  <si>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</si>
  <si>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</si>
  <si>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</si>
  <si>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</si>
  <si>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</si>
  <si>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</si>
  <si>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</si>
  <si>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</si>
  <si>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</si>
  <si>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</si>
  <si>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</si>
  <si>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</si>
  <si>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</si>
  <si>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</si>
  <si>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</si>
  <si>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</si>
  <si>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</si>
  <si>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</si>
  <si>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</si>
  <si>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</si>
  <si>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</si>
  <si>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</si>
  <si>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</si>
  <si>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</si>
  <si>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</si>
  <si>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</si>
  <si>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</si>
  <si>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</si>
  <si>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</si>
  <si>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</si>
  <si>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</si>
  <si>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</si>
  <si>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</si>
  <si>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</si>
  <si>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</si>
  <si>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</si>
  <si>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</si>
  <si>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</si>
  <si>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</si>
  <si>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</si>
  <si>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</si>
  <si>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</si>
  <si>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</si>
  <si>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</si>
  <si>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</si>
  <si>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</si>
  <si>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</si>
  <si>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</si>
  <si>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</si>
  <si>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</si>
  <si>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</si>
  <si>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</si>
  <si>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</si>
  <si>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</si>
  <si>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</si>
  <si>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</si>
  <si>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</si>
  <si>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</si>
  <si>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</si>
  <si>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</si>
  <si>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</si>
  <si>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</si>
  <si>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</si>
  <si>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</si>
  <si>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</si>
  <si>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</si>
  <si>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</si>
  <si>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</si>
  <si>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</si>
  <si>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</si>
  <si>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</si>
  <si>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</si>
  <si>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</si>
  <si>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</si>
  <si>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</si>
  <si>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</si>
  <si>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</si>
  <si>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</si>
  <si>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</si>
  <si>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</si>
  <si>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</si>
  <si>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</si>
  <si>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</si>
  <si>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</si>
  <si>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</si>
  <si>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</si>
  <si>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</si>
  <si>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</si>
  <si>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</si>
  <si>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</si>
  <si>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</si>
  <si>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</si>
  <si>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</si>
  <si>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</si>
  <si>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</si>
  <si>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</si>
  <si>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</si>
  <si>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</si>
  <si>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</si>
  <si>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</si>
  <si>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</si>
  <si>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</si>
  <si>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</si>
  <si>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</si>
  <si>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</si>
  <si>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</si>
  <si>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</si>
  <si>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</si>
  <si>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LUIS CALLEJA</t>
  </si>
  <si>
    <t>PABLO KELLER</t>
  </si>
  <si>
    <t>VICTOR LAQUIDAIN</t>
  </si>
  <si>
    <t>MARIA RUTH TARREGA DE LA RUA</t>
  </si>
  <si>
    <t>ANA MARTIN</t>
  </si>
  <si>
    <t>ALVARO PENALBA</t>
  </si>
  <si>
    <t>ELOI VERGÉ</t>
  </si>
  <si>
    <t>06:04</t>
  </si>
  <si>
    <t>02:29</t>
  </si>
  <si>
    <t>02:33</t>
  </si>
  <si>
    <t>01:44</t>
  </si>
  <si>
    <t>00:50</t>
  </si>
  <si>
    <t>It was a missed 3P</t>
  </si>
  <si>
    <t>06:46</t>
  </si>
  <si>
    <t>05:14</t>
  </si>
  <si>
    <t>It was an Off REB</t>
  </si>
  <si>
    <t>The same with the related foul</t>
  </si>
  <si>
    <t>Another substitution at the same time was also missplaced</t>
  </si>
  <si>
    <t>And the following Def REB</t>
  </si>
  <si>
    <t>05:01</t>
  </si>
  <si>
    <t>03:26</t>
  </si>
  <si>
    <t>The same with the previous Off REB</t>
  </si>
  <si>
    <t>02:11</t>
  </si>
  <si>
    <t>08:02</t>
  </si>
  <si>
    <t>07:51</t>
  </si>
  <si>
    <t>01:50</t>
  </si>
  <si>
    <t>02:44</t>
  </si>
  <si>
    <t>00:48</t>
  </si>
  <si>
    <t>02:07</t>
  </si>
  <si>
    <t>02:19</t>
  </si>
  <si>
    <t>The same with the following Off REB, missed 2P, and the following Off REB</t>
  </si>
  <si>
    <t>02:12</t>
  </si>
  <si>
    <t>The same with the following Def REB</t>
  </si>
  <si>
    <t>The same with the following AST</t>
  </si>
  <si>
    <t>Some corrections, such as those related to criteria or timing, are understandable given the context of a live game. However, I strongly recommend paying closer attention to complex game situations and prioritizing the avoidance of missed actions over potential errors in criteria or timing.</t>
  </si>
  <si>
    <t>C:\Users\eloi.verge\OneDrive - EUROLEAGUE\Desktop\GAME REPORTS\25-26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</si>
</sst>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J7" sqref="J7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03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03_025_MAD_ASV_E2025</v>
      </c>
      <c r="G1" s="5"/>
      <c r="H1" s="5"/>
      <c r="I1" s="5"/>
      <c r="J1" s="8" t="s">
        <v>707</v>
      </c>
      <c r="K1" s="121" t="s">
        <v>784</v>
      </c>
      <c r="L1" s="121"/>
      <c r="M1" s="122" t="s">
        <v>239</v>
      </c>
      <c r="N1" s="121" t="s">
        <v>784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45939.875</v>
      </c>
      <c r="C3" s="157"/>
      <c r="D3" s="39">
        <v>585</v>
      </c>
      <c r="E3" s="29"/>
      <c r="F3" s="26">
        <f>SUBTOTAL(3,I17:I106)</f>
        <v>23</v>
      </c>
      <c r="G3" s="27">
        <f>IF(OR(D3="",D3=0),"",F3/D3)</f>
        <v>3.9316239316239315E-2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Real Madrid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MAD</v>
      </c>
      <c r="I4" s="5"/>
      <c r="J4" s="119" t="s">
        <v>714</v>
      </c>
      <c r="K4" s="54" t="s">
        <v>742</v>
      </c>
      <c r="L4" s="5"/>
      <c r="M4" s="167" t="s">
        <v>783</v>
      </c>
      <c r="N4" s="168"/>
      <c r="O4" s="2"/>
      <c r="P4" s="2"/>
      <c r="Q4" s="84" t="s">
        <v>175</v>
      </c>
      <c r="R4" s="94">
        <f>(IF(G3="",0,G3))</f>
        <v>3.9316239316239315E-2</v>
      </c>
      <c r="S4" s="61">
        <f>SUM(I13:M13)</f>
        <v>0</v>
      </c>
      <c r="T4" s="78"/>
      <c r="U4" s="61">
        <f>AC18</f>
        <v>6</v>
      </c>
      <c r="V4" s="61">
        <f>+AC22</f>
        <v>2</v>
      </c>
      <c r="W4" s="61">
        <f>AC24</f>
        <v>3</v>
      </c>
      <c r="X4" s="61">
        <f>AC29</f>
        <v>5</v>
      </c>
      <c r="Y4" s="61">
        <f>AC25</f>
        <v>3</v>
      </c>
      <c r="Z4" s="84">
        <f>AC23</f>
        <v>4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LDLC ASVEL Villeurbanne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ASV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3.9316239316239314</v>
      </c>
      <c r="S5" s="70">
        <f t="shared" ref="S5" si="0">S4*S3</f>
        <v>0</v>
      </c>
      <c r="T5" s="92"/>
      <c r="U5" s="70">
        <f t="shared" ref="U5:AG5" si="1">U4*U3</f>
        <v>3</v>
      </c>
      <c r="V5" s="70">
        <f t="shared" si="1"/>
        <v>2</v>
      </c>
      <c r="W5" s="70">
        <f t="shared" si="1"/>
        <v>3</v>
      </c>
      <c r="X5" s="70">
        <f t="shared" si="1"/>
        <v>5</v>
      </c>
      <c r="Y5" s="70">
        <f t="shared" si="1"/>
        <v>6</v>
      </c>
      <c r="Z5" s="89">
        <f t="shared" si="1"/>
        <v>10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749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750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32.931623931623932</v>
      </c>
      <c r="N7" s="58"/>
      <c r="O7" s="2"/>
      <c r="P7" s="2"/>
      <c r="Q7" s="86">
        <f>SUM(R5,S5,AC16)</f>
        <v>32.931623931623932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751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32.931623931623932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752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753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754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25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755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23</v>
      </c>
      <c r="J15" s="24">
        <f>SUBTOTAL(3,J17:J106)</f>
        <v>23</v>
      </c>
      <c r="K15" s="24">
        <f>SUBTOTAL(3,K17:K106)</f>
        <v>23</v>
      </c>
      <c r="L15" s="24">
        <f>SUBTOTAL(3,L17:L106)</f>
        <v>23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23</v>
      </c>
      <c r="Z16" s="90" t="s">
        <v>110</v>
      </c>
      <c r="AA16" s="75">
        <f>SUM(AA17:AA24)</f>
        <v>23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29</v>
      </c>
      <c r="AD16" s="75">
        <f>SUM(AD17:AD24)</f>
        <v>45</v>
      </c>
      <c r="AE16" s="76" t="s">
        <v>42</v>
      </c>
      <c r="AF16" s="75">
        <f>SUM(AF17:AF24)</f>
        <v>7</v>
      </c>
      <c r="AG16" s="75">
        <f>SUM(AG17:AG21)</f>
        <v>23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2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25</v>
      </c>
      <c r="D17" s="32" t="s">
        <v>756</v>
      </c>
      <c r="E17" s="33">
        <v>1</v>
      </c>
      <c r="F17" s="36">
        <v>17</v>
      </c>
      <c r="G17" s="36">
        <v>6</v>
      </c>
      <c r="H17" s="38" t="str">
        <f>IF(I17="","",$I$14)</f>
        <v>SCOUTING</v>
      </c>
      <c r="I17" s="34">
        <v>52</v>
      </c>
      <c r="J17" s="13" t="s">
        <v>4</v>
      </c>
      <c r="K17" s="13" t="s">
        <v>62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23</v>
      </c>
      <c r="Z17" s="105" t="s">
        <v>63</v>
      </c>
      <c r="AA17" s="62">
        <f>COUNTIF($K$17:$K$106,Z17)</f>
        <v>13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4</v>
      </c>
      <c r="AG17" s="62">
        <f>COUNTIF($E$17:$E$106,$AK17)</f>
        <v>6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25</v>
      </c>
      <c r="D18" s="32" t="s">
        <v>757</v>
      </c>
      <c r="E18" s="33">
        <v>1</v>
      </c>
      <c r="F18" s="36">
        <v>22</v>
      </c>
      <c r="G18" s="36">
        <v>16</v>
      </c>
      <c r="H18" s="38" t="str">
        <f t="shared" ref="H18:H81" si="8">IF(I18="","",$I$14)</f>
        <v>SCOUTING</v>
      </c>
      <c r="I18" s="34">
        <v>104</v>
      </c>
      <c r="J18" s="13" t="s">
        <v>4</v>
      </c>
      <c r="K18" s="13" t="s">
        <v>63</v>
      </c>
      <c r="L18" s="13" t="s">
        <v>7</v>
      </c>
      <c r="M18" s="13" t="s">
        <v>168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9</v>
      </c>
      <c r="AB18" s="66" t="s">
        <v>5</v>
      </c>
      <c r="AC18" s="61">
        <f t="shared" si="5"/>
        <v>6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8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25</v>
      </c>
      <c r="D19" s="32" t="s">
        <v>757</v>
      </c>
      <c r="E19" s="33">
        <v>1</v>
      </c>
      <c r="F19" s="36">
        <v>22</v>
      </c>
      <c r="G19" s="36">
        <v>16</v>
      </c>
      <c r="H19" s="38" t="str">
        <f t="shared" si="8"/>
        <v>SCOUTING</v>
      </c>
      <c r="I19" s="34">
        <v>107</v>
      </c>
      <c r="J19" s="13" t="s">
        <v>4</v>
      </c>
      <c r="K19" s="13" t="s">
        <v>63</v>
      </c>
      <c r="L19" s="13" t="s">
        <v>75</v>
      </c>
      <c r="M19" s="13" t="s">
        <v>22</v>
      </c>
      <c r="N19" s="35" t="s">
        <v>765</v>
      </c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1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7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2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25</v>
      </c>
      <c r="D20" s="32" t="s">
        <v>758</v>
      </c>
      <c r="E20" s="33">
        <v>1</v>
      </c>
      <c r="F20" s="36">
        <v>22</v>
      </c>
      <c r="G20" s="36">
        <v>14</v>
      </c>
      <c r="H20" s="38" t="str">
        <f t="shared" si="8"/>
        <v>SCOUTING</v>
      </c>
      <c r="I20" s="34">
        <v>101</v>
      </c>
      <c r="J20" s="13" t="s">
        <v>4</v>
      </c>
      <c r="K20" s="13" t="s">
        <v>63</v>
      </c>
      <c r="L20" s="13" t="s">
        <v>47</v>
      </c>
      <c r="M20" s="13" t="s">
        <v>78</v>
      </c>
      <c r="N20" s="35" t="s">
        <v>766</v>
      </c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3</v>
      </c>
      <c r="AG20" s="62">
        <f>COUNTIF($E$17:$E$106,$AK20)</f>
        <v>2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25</v>
      </c>
      <c r="D21" s="32" t="s">
        <v>759</v>
      </c>
      <c r="E21" s="33">
        <v>1</v>
      </c>
      <c r="F21" s="36">
        <v>25</v>
      </c>
      <c r="G21" s="36">
        <v>19</v>
      </c>
      <c r="H21" s="38" t="str">
        <f t="shared" si="8"/>
        <v>SCOUTING</v>
      </c>
      <c r="I21" s="34">
        <v>121</v>
      </c>
      <c r="J21" s="13" t="s">
        <v>4</v>
      </c>
      <c r="K21" s="13" t="s">
        <v>62</v>
      </c>
      <c r="L21" s="13" t="s">
        <v>47</v>
      </c>
      <c r="M21" s="13" t="s">
        <v>11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E2025</v>
      </c>
      <c r="C22" s="31">
        <f t="shared" si="3"/>
        <v>25</v>
      </c>
      <c r="D22" s="32" t="s">
        <v>760</v>
      </c>
      <c r="E22" s="33">
        <v>1</v>
      </c>
      <c r="F22" s="36">
        <v>25</v>
      </c>
      <c r="G22" s="36">
        <v>19</v>
      </c>
      <c r="H22" s="38" t="str">
        <f t="shared" si="8"/>
        <v>SCOUTING</v>
      </c>
      <c r="I22" s="34">
        <v>131</v>
      </c>
      <c r="J22" s="13" t="s">
        <v>4</v>
      </c>
      <c r="K22" s="13" t="s">
        <v>63</v>
      </c>
      <c r="L22" s="13" t="s">
        <v>48</v>
      </c>
      <c r="M22" s="13" t="s">
        <v>27</v>
      </c>
      <c r="N22" s="35" t="s">
        <v>761</v>
      </c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2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E2025</v>
      </c>
      <c r="C23" s="31">
        <f t="shared" si="3"/>
        <v>25</v>
      </c>
      <c r="D23" s="32" t="s">
        <v>762</v>
      </c>
      <c r="E23" s="33">
        <v>2</v>
      </c>
      <c r="F23" s="36">
        <v>30</v>
      </c>
      <c r="G23" s="36">
        <v>21</v>
      </c>
      <c r="H23" s="38" t="str">
        <f t="shared" si="8"/>
        <v>SCOUTING</v>
      </c>
      <c r="I23" s="34">
        <v>195</v>
      </c>
      <c r="J23" s="13" t="s">
        <v>4</v>
      </c>
      <c r="K23" s="13" t="s">
        <v>63</v>
      </c>
      <c r="L23" s="13" t="s">
        <v>6</v>
      </c>
      <c r="M23" s="13" t="s">
        <v>9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4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E2025</v>
      </c>
      <c r="C24" s="31">
        <f t="shared" si="3"/>
        <v>25</v>
      </c>
      <c r="D24" s="32" t="s">
        <v>763</v>
      </c>
      <c r="E24" s="33">
        <v>2</v>
      </c>
      <c r="F24" s="36">
        <v>32</v>
      </c>
      <c r="G24" s="36">
        <v>26</v>
      </c>
      <c r="H24" s="38" t="str">
        <f t="shared" si="8"/>
        <v>SCOUTING</v>
      </c>
      <c r="I24" s="34">
        <v>207</v>
      </c>
      <c r="J24" s="13" t="s">
        <v>4</v>
      </c>
      <c r="K24" s="13" t="s">
        <v>62</v>
      </c>
      <c r="L24" s="13" t="s">
        <v>48</v>
      </c>
      <c r="M24" s="13" t="s">
        <v>168</v>
      </c>
      <c r="N24" s="35" t="s">
        <v>764</v>
      </c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3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>E2025</v>
      </c>
      <c r="C25" s="31">
        <f t="shared" si="3"/>
        <v>25</v>
      </c>
      <c r="D25" s="32" t="s">
        <v>763</v>
      </c>
      <c r="E25" s="33">
        <v>2</v>
      </c>
      <c r="F25" s="36">
        <v>32</v>
      </c>
      <c r="G25" s="36">
        <v>26</v>
      </c>
      <c r="H25" s="38" t="str">
        <f t="shared" si="8"/>
        <v>SCOUTING</v>
      </c>
      <c r="I25" s="34">
        <v>207</v>
      </c>
      <c r="J25" s="13" t="s">
        <v>4</v>
      </c>
      <c r="K25" s="13" t="s">
        <v>62</v>
      </c>
      <c r="L25" s="13" t="s">
        <v>7</v>
      </c>
      <c r="M25" s="13" t="s">
        <v>27</v>
      </c>
      <c r="N25" s="35" t="s">
        <v>767</v>
      </c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3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>E2025</v>
      </c>
      <c r="C26" s="31">
        <f t="shared" si="3"/>
        <v>25</v>
      </c>
      <c r="D26" s="32" t="s">
        <v>763</v>
      </c>
      <c r="E26" s="33">
        <v>2</v>
      </c>
      <c r="F26" s="36">
        <v>32</v>
      </c>
      <c r="G26" s="36">
        <v>26</v>
      </c>
      <c r="H26" s="38" t="str">
        <f t="shared" si="8"/>
        <v>SCOUTING</v>
      </c>
      <c r="I26" s="34">
        <v>208</v>
      </c>
      <c r="J26" s="13" t="s">
        <v>4</v>
      </c>
      <c r="K26" s="13" t="s">
        <v>62</v>
      </c>
      <c r="L26" s="13" t="s">
        <v>48</v>
      </c>
      <c r="M26" s="13" t="s">
        <v>9</v>
      </c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>E2025</v>
      </c>
      <c r="C27" s="31">
        <f t="shared" si="3"/>
        <v>25</v>
      </c>
      <c r="D27" s="32" t="s">
        <v>763</v>
      </c>
      <c r="E27" s="33">
        <v>2</v>
      </c>
      <c r="F27" s="36">
        <v>32</v>
      </c>
      <c r="G27" s="36">
        <v>26</v>
      </c>
      <c r="H27" s="38" t="str">
        <f t="shared" si="8"/>
        <v>SCOUTING</v>
      </c>
      <c r="I27" s="34">
        <v>209</v>
      </c>
      <c r="J27" s="13" t="s">
        <v>4</v>
      </c>
      <c r="K27" s="13" t="s">
        <v>61</v>
      </c>
      <c r="L27" s="13" t="s">
        <v>7</v>
      </c>
      <c r="M27" s="13" t="s">
        <v>38</v>
      </c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>E2025</v>
      </c>
      <c r="C28" s="31">
        <f t="shared" si="3"/>
        <v>25</v>
      </c>
      <c r="D28" s="32" t="s">
        <v>768</v>
      </c>
      <c r="E28" s="33">
        <v>2</v>
      </c>
      <c r="F28" s="36">
        <v>32</v>
      </c>
      <c r="G28" s="36">
        <v>26</v>
      </c>
      <c r="H28" s="38" t="str">
        <f t="shared" si="8"/>
        <v>SCOUTING</v>
      </c>
      <c r="I28" s="34">
        <v>218</v>
      </c>
      <c r="J28" s="13" t="s">
        <v>4</v>
      </c>
      <c r="K28" s="13" t="s">
        <v>63</v>
      </c>
      <c r="L28" s="13" t="s">
        <v>7</v>
      </c>
      <c r="M28" s="13" t="s">
        <v>28</v>
      </c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>E2025</v>
      </c>
      <c r="C29" s="31">
        <f t="shared" si="3"/>
        <v>25</v>
      </c>
      <c r="D29" s="32" t="s">
        <v>769</v>
      </c>
      <c r="E29" s="33">
        <v>2</v>
      </c>
      <c r="F29" s="36">
        <v>35</v>
      </c>
      <c r="G29" s="36">
        <v>29</v>
      </c>
      <c r="H29" s="38" t="str">
        <f t="shared" si="8"/>
        <v>SCOUTING</v>
      </c>
      <c r="I29" s="34">
        <v>247</v>
      </c>
      <c r="J29" s="13" t="s">
        <v>4</v>
      </c>
      <c r="K29" s="13" t="s">
        <v>63</v>
      </c>
      <c r="L29" s="13" t="s">
        <v>6</v>
      </c>
      <c r="M29" s="13" t="s">
        <v>27</v>
      </c>
      <c r="N29" s="35" t="s">
        <v>770</v>
      </c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5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>E2025</v>
      </c>
      <c r="C30" s="31">
        <f t="shared" si="3"/>
        <v>25</v>
      </c>
      <c r="D30" s="32" t="s">
        <v>771</v>
      </c>
      <c r="E30" s="33">
        <v>2</v>
      </c>
      <c r="F30" s="36">
        <v>43</v>
      </c>
      <c r="G30" s="36">
        <v>35</v>
      </c>
      <c r="H30" s="38" t="str">
        <f t="shared" si="8"/>
        <v>SCOUTING</v>
      </c>
      <c r="I30" s="34">
        <v>272</v>
      </c>
      <c r="J30" s="13" t="s">
        <v>4</v>
      </c>
      <c r="K30" s="13" t="s">
        <v>62</v>
      </c>
      <c r="L30" s="13" t="s">
        <v>5</v>
      </c>
      <c r="M30" s="13" t="s">
        <v>11</v>
      </c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2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>E2025</v>
      </c>
      <c r="C31" s="31">
        <f t="shared" si="3"/>
        <v>25</v>
      </c>
      <c r="D31" s="32" t="s">
        <v>772</v>
      </c>
      <c r="E31" s="33">
        <v>3</v>
      </c>
      <c r="F31" s="36">
        <v>53</v>
      </c>
      <c r="G31" s="36">
        <v>44</v>
      </c>
      <c r="H31" s="38" t="str">
        <f t="shared" si="8"/>
        <v>SCOUTING</v>
      </c>
      <c r="I31" s="34">
        <v>334</v>
      </c>
      <c r="J31" s="13" t="s">
        <v>4</v>
      </c>
      <c r="K31" s="13" t="s">
        <v>62</v>
      </c>
      <c r="L31" s="13" t="s">
        <v>5</v>
      </c>
      <c r="M31" s="13" t="s">
        <v>9</v>
      </c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3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>E2025</v>
      </c>
      <c r="C32" s="31">
        <f t="shared" si="3"/>
        <v>25</v>
      </c>
      <c r="D32" s="32" t="s">
        <v>773</v>
      </c>
      <c r="E32" s="33">
        <v>3</v>
      </c>
      <c r="F32" s="36">
        <v>53</v>
      </c>
      <c r="G32" s="36">
        <v>46</v>
      </c>
      <c r="H32" s="38" t="str">
        <f t="shared" si="8"/>
        <v>SCOUTING</v>
      </c>
      <c r="I32" s="34">
        <v>338</v>
      </c>
      <c r="J32" s="13" t="s">
        <v>4</v>
      </c>
      <c r="K32" s="13" t="s">
        <v>63</v>
      </c>
      <c r="L32" s="13" t="s">
        <v>47</v>
      </c>
      <c r="M32" s="13" t="s">
        <v>39</v>
      </c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>E2025</v>
      </c>
      <c r="C33" s="31">
        <f t="shared" si="3"/>
        <v>25</v>
      </c>
      <c r="D33" s="32" t="s">
        <v>774</v>
      </c>
      <c r="E33" s="33">
        <v>3</v>
      </c>
      <c r="F33" s="36">
        <v>64</v>
      </c>
      <c r="G33" s="36">
        <v>51</v>
      </c>
      <c r="H33" s="38" t="str">
        <f t="shared" si="8"/>
        <v>SCOUTING</v>
      </c>
      <c r="I33" s="34">
        <v>423</v>
      </c>
      <c r="J33" s="13" t="s">
        <v>4</v>
      </c>
      <c r="K33" s="13" t="s">
        <v>62</v>
      </c>
      <c r="L33" s="13" t="s">
        <v>5</v>
      </c>
      <c r="M33" s="13" t="s">
        <v>168</v>
      </c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>E2025</v>
      </c>
      <c r="C34" s="31">
        <f t="shared" si="3"/>
        <v>25</v>
      </c>
      <c r="D34" s="32" t="s">
        <v>775</v>
      </c>
      <c r="E34" s="33">
        <v>4</v>
      </c>
      <c r="F34" s="36">
        <v>85</v>
      </c>
      <c r="G34" s="36">
        <v>66</v>
      </c>
      <c r="H34" s="38" t="str">
        <f t="shared" si="8"/>
        <v>SCOUTING</v>
      </c>
      <c r="I34" s="34">
        <v>555</v>
      </c>
      <c r="J34" s="13" t="s">
        <v>4</v>
      </c>
      <c r="K34" s="13" t="s">
        <v>63</v>
      </c>
      <c r="L34" s="13" t="s">
        <v>5</v>
      </c>
      <c r="M34" s="13" t="s">
        <v>9</v>
      </c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>E2025</v>
      </c>
      <c r="C35" s="31">
        <f t="shared" si="3"/>
        <v>25</v>
      </c>
      <c r="D35" s="32" t="s">
        <v>776</v>
      </c>
      <c r="E35" s="33">
        <v>4</v>
      </c>
      <c r="F35" s="36">
        <v>85</v>
      </c>
      <c r="G35" s="36">
        <v>69</v>
      </c>
      <c r="H35" s="38" t="str">
        <f t="shared" si="8"/>
        <v>SCOUTING</v>
      </c>
      <c r="I35" s="34">
        <v>582</v>
      </c>
      <c r="J35" s="13" t="s">
        <v>4</v>
      </c>
      <c r="K35" s="13" t="s">
        <v>63</v>
      </c>
      <c r="L35" s="13" t="s">
        <v>5</v>
      </c>
      <c r="M35" s="13" t="s">
        <v>11</v>
      </c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21" x14ac:dyDescent="0.25">
      <c r="A36" s="20"/>
      <c r="B36" s="31" t="str">
        <f t="shared" si="2"/>
        <v>E2025</v>
      </c>
      <c r="C36" s="31">
        <f t="shared" si="3"/>
        <v>25</v>
      </c>
      <c r="D36" s="32" t="s">
        <v>778</v>
      </c>
      <c r="E36" s="33">
        <v>3</v>
      </c>
      <c r="F36" s="36">
        <v>62</v>
      </c>
      <c r="G36" s="36">
        <v>51</v>
      </c>
      <c r="H36" s="38" t="str">
        <f t="shared" si="8"/>
        <v>SCOUTING</v>
      </c>
      <c r="I36" s="34">
        <v>411</v>
      </c>
      <c r="J36" s="13" t="s">
        <v>4</v>
      </c>
      <c r="K36" s="13" t="s">
        <v>63</v>
      </c>
      <c r="L36" s="13" t="s">
        <v>75</v>
      </c>
      <c r="M36" s="13" t="s">
        <v>26</v>
      </c>
      <c r="N36" s="35" t="s">
        <v>779</v>
      </c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1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>E2025</v>
      </c>
      <c r="C37" s="31">
        <f t="shared" si="3"/>
        <v>25</v>
      </c>
      <c r="D37" s="32" t="s">
        <v>780</v>
      </c>
      <c r="E37" s="33">
        <v>3</v>
      </c>
      <c r="F37" s="36">
        <v>62</v>
      </c>
      <c r="G37" s="36">
        <v>51</v>
      </c>
      <c r="H37" s="38" t="str">
        <f t="shared" si="8"/>
        <v>SCOUTING</v>
      </c>
      <c r="I37" s="34">
        <v>415</v>
      </c>
      <c r="J37" s="13" t="s">
        <v>4</v>
      </c>
      <c r="K37" s="13" t="s">
        <v>63</v>
      </c>
      <c r="L37" s="13" t="s">
        <v>75</v>
      </c>
      <c r="M37" s="13" t="s">
        <v>26</v>
      </c>
      <c r="N37" s="35" t="s">
        <v>781</v>
      </c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>E2025</v>
      </c>
      <c r="C38" s="31">
        <f t="shared" si="3"/>
        <v>25</v>
      </c>
      <c r="D38" s="32" t="s">
        <v>777</v>
      </c>
      <c r="E38" s="33">
        <v>3</v>
      </c>
      <c r="F38" s="36">
        <v>64</v>
      </c>
      <c r="G38" s="36">
        <v>51</v>
      </c>
      <c r="H38" s="38" t="str">
        <f t="shared" si="8"/>
        <v>SCOUTING</v>
      </c>
      <c r="I38" s="34">
        <v>417</v>
      </c>
      <c r="J38" s="13" t="s">
        <v>4</v>
      </c>
      <c r="K38" s="13" t="s">
        <v>62</v>
      </c>
      <c r="L38" s="13" t="s">
        <v>75</v>
      </c>
      <c r="M38" s="13" t="s">
        <v>39</v>
      </c>
      <c r="N38" s="35" t="s">
        <v>782</v>
      </c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>E2025</v>
      </c>
      <c r="C39" s="31">
        <f t="shared" si="3"/>
        <v>25</v>
      </c>
      <c r="D39" s="32" t="s">
        <v>777</v>
      </c>
      <c r="E39" s="33">
        <v>3</v>
      </c>
      <c r="F39" s="36">
        <v>64</v>
      </c>
      <c r="G39" s="36">
        <v>51</v>
      </c>
      <c r="H39" s="38" t="str">
        <f t="shared" si="8"/>
        <v>SCOUTING</v>
      </c>
      <c r="I39" s="34">
        <v>419</v>
      </c>
      <c r="J39" s="13" t="s">
        <v>4</v>
      </c>
      <c r="K39" s="13" t="s">
        <v>63</v>
      </c>
      <c r="L39" s="13" t="s">
        <v>75</v>
      </c>
      <c r="M39" s="13" t="s">
        <v>36</v>
      </c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1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4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1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2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REPORT_E2025025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"E2025025"</v>
      </c>
      <c r="F3" s="45" t="str">
        <f t="shared" ref="F3:F16" si="0">""""&amp;B3&amp;"""" &amp; " : " &amp;C3&amp;","</f>
        <v>"name" : "E2025025",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"E025"</v>
      </c>
      <c r="F4" s="45" t="str">
        <f t="shared" si="0"/>
        <v>"cod" : "E025",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025</v>
      </c>
      <c r="F6" s="45" t="str">
        <f t="shared" si="0"/>
        <v>"number" : 025,</v>
      </c>
    </row>
    <row r="7" spans="2:6" x14ac:dyDescent="0.25">
      <c r="B7" s="43" t="s">
        <v>116</v>
      </c>
      <c r="C7" s="43" t="str">
        <f ca="1">""""&amp;TEXT('SCOUT &amp; LOGISTICS'!B3,"dd/mm/aaaa")&amp;""""</f>
        <v>"09/10/2025"</v>
      </c>
      <c r="F7" s="45" t="str">
        <f t="shared" ca="1" si="0"/>
        <v>"date" : "09/10/2025",</v>
      </c>
    </row>
    <row r="8" spans="2:6" x14ac:dyDescent="0.25">
      <c r="B8" s="43" t="s">
        <v>125</v>
      </c>
      <c r="C8" s="43" t="str">
        <f>""""&amp;'SCOUT &amp; LOGISTICS'!D4 &amp;""""</f>
        <v>"Real Madrid"</v>
      </c>
      <c r="F8" s="45" t="str">
        <f t="shared" si="0"/>
        <v>"home_team" : "Real Madrid",</v>
      </c>
    </row>
    <row r="9" spans="2:6" x14ac:dyDescent="0.25">
      <c r="B9" s="43" t="s">
        <v>126</v>
      </c>
      <c r="C9" s="43" t="str">
        <f>""""&amp;'SCOUT &amp; LOGISTICS'!D5&amp;""""</f>
        <v>"LDLC ASVEL Villeurbanne"</v>
      </c>
      <c r="F9" s="45" t="str">
        <f t="shared" si="0"/>
        <v>"away_team" : "LDLC ASVEL Villeurbanne",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"LUIS CALLEJA"</v>
      </c>
      <c r="F10" s="45" t="str">
        <f t="shared" si="0"/>
        <v>"Data_entry" : "LUIS CALLEJA",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"PABLO KELLER"</v>
      </c>
      <c r="F11" s="45" t="str">
        <f t="shared" si="0"/>
        <v>"Caller_1" : "PABLO KELLER",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"VICTOR LAQUIDAIN"</v>
      </c>
      <c r="F12" s="45" t="str">
        <f t="shared" si="0"/>
        <v>"Caller_2" : "VICTOR LAQUIDAIN",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"MARIA RUTH TARREGA DE LA RUA"</v>
      </c>
      <c r="F13" s="45" t="str">
        <f t="shared" si="0"/>
        <v>"Timerkeeper" : "MARIA RUTH TARREGA DE LA RUA",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"ANA MARTIN"</v>
      </c>
      <c r="F14" s="45" t="str">
        <f t="shared" si="0"/>
        <v>"Shotclock" : "ANA MARTIN",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"ALVARO PENALBA"</v>
      </c>
      <c r="F15" s="45" t="str">
        <f t="shared" si="0"/>
        <v>"IRS" : "ALVARO PENALBA",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"ELOI VERGÉ"</v>
      </c>
      <c r="F16" s="45" t="str">
        <f t="shared" si="0"/>
        <v>"Live_Game_Manager" : "ELOI VERGÉ",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585</v>
      </c>
      <c r="F25" s="45" t="str">
        <f t="shared" ref="F25:F48" si="1">""""&amp;C25&amp;"""" &amp; " : " &amp;D25&amp;","</f>
        <v>"total_actions" : 585,</v>
      </c>
    </row>
    <row r="26" spans="2:6" x14ac:dyDescent="0.25">
      <c r="C26" s="43" t="s">
        <v>132</v>
      </c>
      <c r="D26" s="43">
        <f>'SCOUT &amp; LOGISTICS'!F3</f>
        <v>23</v>
      </c>
      <c r="F26" s="45" t="str">
        <f t="shared" si="1"/>
        <v>"total_correcions" : 23,</v>
      </c>
    </row>
    <row r="27" spans="2:6" x14ac:dyDescent="0.25">
      <c r="C27" s="43" t="s">
        <v>133</v>
      </c>
      <c r="D27" s="43" t="str">
        <f>""""&amp;IF(OR(D25="",D25=0),"",TEXT(D26/D25,"0,0%"))&amp;""""</f>
        <v>"3,9%"</v>
      </c>
      <c r="F27" s="45" t="str">
        <f t="shared" si="1"/>
        <v>"%_corrections" : "3,9%",</v>
      </c>
    </row>
    <row r="28" spans="2:6" x14ac:dyDescent="0.25">
      <c r="C28" s="43" t="s">
        <v>125</v>
      </c>
      <c r="D28" s="43">
        <f>IF('SCOUT &amp; LOGISTICS'!AA17="","",'SCOUT &amp; LOGISTICS'!AA17)</f>
        <v>13</v>
      </c>
      <c r="F28" s="45" t="str">
        <f t="shared" si="1"/>
        <v>"home_team" : 13,</v>
      </c>
    </row>
    <row r="29" spans="2:6" x14ac:dyDescent="0.25">
      <c r="C29" s="43" t="s">
        <v>134</v>
      </c>
      <c r="D29" s="43">
        <f>IF('SCOUT &amp; LOGISTICS'!AA18="","",'SCOUT &amp; LOGISTICS'!AA18)</f>
        <v>9</v>
      </c>
      <c r="F29" s="45" t="str">
        <f t="shared" si="1"/>
        <v>"no_team" : 9,</v>
      </c>
    </row>
    <row r="30" spans="2:6" x14ac:dyDescent="0.25">
      <c r="C30" s="43" t="s">
        <v>126</v>
      </c>
      <c r="D30" s="43">
        <f>IF('SCOUT &amp; LOGISTICS'!AA19="","",'SCOUT &amp; LOGISTICS'!AA19)</f>
        <v>1</v>
      </c>
      <c r="F30" s="45" t="str">
        <f t="shared" si="1"/>
        <v>"away_team" : 1,</v>
      </c>
    </row>
    <row r="31" spans="2:6" x14ac:dyDescent="0.25">
      <c r="C31" s="43" t="s">
        <v>135</v>
      </c>
      <c r="D31" s="43">
        <f>'SCOUT &amp; LOGISTICS'!AG17</f>
        <v>6</v>
      </c>
      <c r="F31" s="45" t="str">
        <f t="shared" si="1"/>
        <v>"q1" : 6,</v>
      </c>
    </row>
    <row r="32" spans="2:6" x14ac:dyDescent="0.25">
      <c r="C32" s="43" t="s">
        <v>136</v>
      </c>
      <c r="D32" s="43">
        <f>'SCOUT &amp; LOGISTICS'!AG18</f>
        <v>8</v>
      </c>
      <c r="F32" s="45" t="str">
        <f t="shared" si="1"/>
        <v>"q2" : 8,</v>
      </c>
    </row>
    <row r="33" spans="3:6" x14ac:dyDescent="0.25">
      <c r="C33" s="43" t="s">
        <v>137</v>
      </c>
      <c r="D33" s="43">
        <f>'SCOUT &amp; LOGISTICS'!AG19</f>
        <v>7</v>
      </c>
      <c r="F33" s="45" t="str">
        <f t="shared" si="1"/>
        <v>"q3" : 7,</v>
      </c>
    </row>
    <row r="34" spans="3:6" x14ac:dyDescent="0.25">
      <c r="C34" s="43" t="s">
        <v>138</v>
      </c>
      <c r="D34" s="43">
        <f>'SCOUT &amp; LOGISTICS'!AG20</f>
        <v>2</v>
      </c>
      <c r="F34" s="45" t="str">
        <f t="shared" si="1"/>
        <v>"q4" : 2,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23</v>
      </c>
      <c r="F37" s="45" t="str">
        <f t="shared" si="1"/>
        <v>"scoresheet_corrections" : 23,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6</v>
      </c>
      <c r="F39" s="45" t="str">
        <f t="shared" si="1"/>
        <v>"missidentity" : 6,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1</v>
      </c>
      <c r="F42" s="45" t="str">
        <f t="shared" si="1"/>
        <v>"substitution" : 1,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4</v>
      </c>
      <c r="F46" s="45" t="str">
        <f t="shared" si="1"/>
        <v>"part_of_a_sequence" : 4,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"Some corrections, such as those related to criteria or timing, are understandable given the context of a live game. However, I strongly recommend paying closer attention to complex game situations and prioritizing the avoidance of missed actions over potential errors in criteria or timing."</v>
      </c>
      <c r="F51" s="45" t="str">
        <f>""""&amp;B51&amp;"""" &amp; " : " &amp;C51&amp;","</f>
        <v>"comments" : "Some corrections, such as those related to criteria or timing, are understandable given the context of a live game. However, I strongly recommend paying closer attention to complex game situations and prioritizing the avoidance of missed actions over potential errors in criteria or timing.",</v>
      </c>
    </row>
    <row r="52" spans="2:6" x14ac:dyDescent="0.25">
      <c r="B52" s="43" t="s">
        <v>153</v>
      </c>
      <c r="C52" s="43" t="str">
        <f>TEXT('SCOUT &amp; LOGISTICS'!F1,"0,0")</f>
        <v>03_025_MAD_ASV_E2025</v>
      </c>
      <c r="F52" s="45" t="str">
        <f>""""&amp;B52&amp;"""" &amp; " : " &amp;C52</f>
        <v>"result" : 03_025_MAD_ASV_E2025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5">
      <c r="A3" s="48"/>
      <c r="B3" s="208" t="str">
        <f>"GAME: "&amp; LEFT('SCOUT &amp; LOGISTICS'!B2,1) &amp; TEXT('SCOUT &amp; LOGISTICS'!C2,"000") &amp; " " &amp; IF(LEFT('SCOUT &amp; LOGISTICS'!B2,1)="U","(EUROCUP)","(EUROLEAGUE)")</f>
        <v>GAME: E025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5">
      <c r="A4" s="48"/>
      <c r="B4" s="194" t="str">
        <f ca="1">"DATE: " &amp; TEXT('SCOUT &amp; LOGISTICS'!B3,"dd/mm")</f>
        <v>DATE: 09/10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5">
      <c r="A6" s="48"/>
      <c r="B6" s="212" t="str">
        <f>PROPER('SCOUT &amp; LOGISTICS'!D4)</f>
        <v>Real Madrid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Ldlc Asvel Villeurbanne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5">
      <c r="A8" s="48"/>
      <c r="B8" s="206" t="str">
        <f>IF('SCOUT &amp; LOGISTICS'!D6="","",'SCOUT &amp; LOGISTICS'!D6)</f>
        <v>LUIS CALLEJA</v>
      </c>
      <c r="C8" s="206"/>
      <c r="D8" s="206"/>
      <c r="E8" s="206"/>
      <c r="F8" s="206"/>
      <c r="G8" s="206" t="str">
        <f>IF('SCOUT &amp; LOGISTICS'!D7="","",'SCOUT &amp; LOGISTICS'!D7)</f>
        <v>PABLO KELLER</v>
      </c>
      <c r="H8" s="206"/>
      <c r="I8" s="206"/>
      <c r="J8" s="206"/>
      <c r="K8" s="206"/>
      <c r="L8" s="206" t="str">
        <f>IF('SCOUT &amp; LOGISTICS'!D8="","",'SCOUT &amp; LOGISTICS'!D8)</f>
        <v>VICTOR LAQUIDAIN</v>
      </c>
      <c r="M8" s="206"/>
      <c r="N8" s="206"/>
      <c r="O8" s="206"/>
      <c r="P8" s="206"/>
      <c r="Q8" s="206" t="str">
        <f>IF('SCOUT &amp; LOGISTICS'!D9="","",'SCOUT &amp; LOGISTICS'!D9)</f>
        <v>MARIA RUTH TARREGA DE LA RUA</v>
      </c>
      <c r="R8" s="206"/>
      <c r="S8" s="206"/>
      <c r="T8" s="206"/>
      <c r="U8" s="206"/>
      <c r="V8" s="206" t="str">
        <f>IF('SCOUT &amp; LOGISTICS'!D10="","",'SCOUT &amp; LOGISTICS'!D10)</f>
        <v>ANA MARTIN</v>
      </c>
      <c r="W8" s="206"/>
      <c r="X8" s="206"/>
      <c r="Y8" s="206"/>
      <c r="Z8" s="206"/>
      <c r="AA8" s="206" t="str">
        <f>IF('SCOUT &amp; LOGISTICS'!D11="","",'SCOUT &amp; LOGISTICS'!D11)</f>
        <v>ALVARO PENALBA</v>
      </c>
      <c r="AB8" s="206"/>
      <c r="AC8" s="206"/>
      <c r="AD8" s="206"/>
      <c r="AE8" s="206"/>
      <c r="AF8" s="48"/>
    </row>
    <row r="9" spans="1:33" ht="16" thickBot="1" x14ac:dyDescent="0.5">
      <c r="A9" s="48"/>
      <c r="B9" s="200" t="str">
        <f>IF(OR('SCOUT &amp; LOGISTICS'!D14="",'SCOUT &amp; LOGISTICS'!D14=0),"",'SCOUT &amp; LOGISTICS'!B14 &amp; ": " &amp; 'SCOUT &amp; LOGISTICS'!D14) &amp; "     "</f>
        <v xml:space="preserve">L G M: : ELOI VERGÉ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6" thickBot="1" x14ac:dyDescent="0.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6" thickBot="1" x14ac:dyDescent="0.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4">
        <f>'SCOUT &amp; LOGISTICS'!D3</f>
        <v>585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23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3.9316239316239315E-2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6" thickBot="1" x14ac:dyDescent="0.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7">
        <f>IF('SCOUT &amp; LOGISTICS'!AA17="","",'SCOUT &amp; LOGISTICS'!AA17)</f>
        <v>13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9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1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7">
        <f>'SCOUT &amp; LOGISTICS'!AG17</f>
        <v>6</v>
      </c>
      <c r="C22" s="197"/>
      <c r="D22" s="197"/>
      <c r="E22" s="197"/>
      <c r="F22" s="197"/>
      <c r="G22" s="197"/>
      <c r="H22" s="197">
        <f>'SCOUT &amp; LOGISTICS'!AG18</f>
        <v>8</v>
      </c>
      <c r="I22" s="197"/>
      <c r="J22" s="197"/>
      <c r="K22" s="197"/>
      <c r="L22" s="197"/>
      <c r="M22" s="197"/>
      <c r="N22" s="197">
        <f>'SCOUT &amp; LOGISTICS'!AG19</f>
        <v>7</v>
      </c>
      <c r="O22" s="197"/>
      <c r="P22" s="197"/>
      <c r="Q22" s="197"/>
      <c r="R22" s="197"/>
      <c r="S22" s="197"/>
      <c r="T22" s="197">
        <f>'SCOUT &amp; LOGISTICS'!AG20</f>
        <v>2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6" thickBot="1" x14ac:dyDescent="0.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7">
        <f>'SCOUT &amp; LOGISTICS'!Y17</f>
        <v>23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7">
        <f>'SCOUT &amp; LOGISTICS'!AC18</f>
        <v>6</v>
      </c>
      <c r="C27" s="197"/>
      <c r="D27" s="197"/>
      <c r="E27" s="197"/>
      <c r="F27" s="197"/>
      <c r="G27" s="197">
        <f>'SCOUT &amp; LOGISTICS'!AC22</f>
        <v>2</v>
      </c>
      <c r="H27" s="197"/>
      <c r="I27" s="197"/>
      <c r="J27" s="197"/>
      <c r="K27" s="197"/>
      <c r="L27" s="197">
        <f>'SCOUT &amp; LOGISTICS'!AC23</f>
        <v>4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7">
        <f>'SCOUT &amp; LOGISTICS'!AC25</f>
        <v>3</v>
      </c>
      <c r="C29" s="197"/>
      <c r="D29" s="197"/>
      <c r="E29" s="197"/>
      <c r="F29" s="197"/>
      <c r="G29" s="197">
        <f>'SCOUT &amp; LOGISTICS'!AC24</f>
        <v>3</v>
      </c>
      <c r="H29" s="197"/>
      <c r="I29" s="197"/>
      <c r="J29" s="197"/>
      <c r="K29" s="197"/>
      <c r="L29" s="197">
        <f>'SCOUT &amp; LOGISTICS'!$AC$29</f>
        <v>5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6" thickBot="1" x14ac:dyDescent="0.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5">
      <c r="A32" s="48"/>
      <c r="B32" s="195" t="str">
        <f>IF('SCOUT &amp; LOGISTICS'!M4="","",'SCOUT &amp; LOGISTICS'!M4)</f>
        <v>Some corrections, such as those related to criteria or timing, are understandable given the context of a live game. However, I strongly recommend paying closer attention to complex game situations and prioritizing the avoidance of missed actions over potential errors in criteria or timing.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196">
        <f>'SCOUT &amp; LOGISTICS'!M7</f>
        <v>32.931623931623932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2914998-5C46-40F1-B474-A73FDFF1E6B0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2025-10-09T17:11:09Z</cp:lastPrinted>
  <dcterms:created xsi:type="dcterms:W3CDTF">2023-09-19T19:50:35Z</dcterms:created>
  <dcterms:modified xsi:type="dcterms:W3CDTF">2025-10-10T15:28:13Z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