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54" documentId="8_{59154435-0CEF-4376-8121-A1272B710735}" xr6:coauthVersionLast="47" xr6:coauthVersionMax="47" xr10:uidLastSave="{C49D6F1A-12EA-465F-947C-4329CDF47585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<sst xmlns="http://schemas.openxmlformats.org/spreadsheetml/2006/main" count="3319" uniqueCount="772">
  <si>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</si>
  <si>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</si>
  <si>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</si>
  <si>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</si>
  <si>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</si>
  <si>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</si>
  <si>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</si>
  <si>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</si>
  <si>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</si>
  <si>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</si>
  <si>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</si>
  <si>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</si>
  <si>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</si>
  <si>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</si>
  <si>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</si>
  <si>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</si>
  <si>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</si>
  <si>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</si>
  <si>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</si>
  <si>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</si>
  <si>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</si>
  <si>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</si>
  <si>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</si>
  <si>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</si>
  <si>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</si>
  <si>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</si>
  <si>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</si>
  <si>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</si>
  <si>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</si>
  <si>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</si>
  <si>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</si>
  <si>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</si>
  <si>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</si>
  <si>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</si>
  <si>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</si>
  <si>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</si>
  <si>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</si>
  <si>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</si>
  <si>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</si>
  <si>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</si>
  <si>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</si>
  <si>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</si>
  <si>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</si>
  <si>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</si>
  <si>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</si>
  <si>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</si>
  <si>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</si>
  <si>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</si>
  <si>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</si>
  <si>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</si>
  <si>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</si>
  <si>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</si>
  <si>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</si>
  <si>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</si>
  <si>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</si>
  <si>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</si>
  <si>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</si>
  <si>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</si>
  <si>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</si>
  <si>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</si>
  <si>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</si>
  <si>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</si>
  <si>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</si>
  <si>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</si>
  <si>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</si>
  <si>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</si>
  <si>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</si>
  <si>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</si>
  <si>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</si>
  <si>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</si>
  <si>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</si>
  <si>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</si>
  <si>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</si>
  <si>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</si>
  <si>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</si>
  <si>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</si>
  <si>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</si>
  <si>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</si>
  <si>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</si>
  <si>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</si>
  <si>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</si>
  <si>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</si>
  <si>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</si>
  <si>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</si>
  <si>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</si>
  <si>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</si>
  <si>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</si>
  <si>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</si>
  <si>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</si>
  <si>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</si>
  <si>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</si>
  <si>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</si>
  <si>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</si>
  <si>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</si>
  <si>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</si>
  <si>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</si>
  <si>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</si>
  <si>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</si>
  <si>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</si>
  <si>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</si>
  <si>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</si>
  <si>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</si>
  <si>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</si>
  <si>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</si>
  <si>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</si>
  <si>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</si>
  <si>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</si>
  <si>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</si>
  <si>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</si>
  <si>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</si>
  <si>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</si>
  <si>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</si>
  <si>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</si>
  <si>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</si>
  <si>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</si>
  <si>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</si>
  <si>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</si>
  <si>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</si>
  <si>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</si>
  <si>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</si>
  <si>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</si>
  <si>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</si>
  <si>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</si>
  <si>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</si>
  <si>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</si>
  <si>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</si>
  <si>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</si>
  <si>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</si>
  <si>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</si>
  <si>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</si>
  <si>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</si>
  <si>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</si>
  <si>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</si>
  <si>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</si>
  <si>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</si>
  <si>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</si>
  <si>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</si>
  <si>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</si>
  <si>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</si>
  <si>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</si>
  <si>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</si>
  <si>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</si>
  <si>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</si>
  <si>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</si>
  <si>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</si>
  <si>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</si>
  <si>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</si>
  <si>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</si>
  <si>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</si>
  <si>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</si>
  <si>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</si>
  <si>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</si>
  <si>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</si>
  <si>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</si>
  <si>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</si>
  <si>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</si>
  <si>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</si>
  <si>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</si>
  <si>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</si>
  <si>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</si>
  <si>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</si>
  <si>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</si>
  <si>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</si>
  <si>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</si>
  <si>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</si>
  <si>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</si>
  <si>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</si>
  <si>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</si>
  <si>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</si>
  <si>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</si>
  <si>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</si>
  <si>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</si>
  <si>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</si>
  <si>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</si>
  <si>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</si>
  <si>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</si>
  <si>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</si>
  <si>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</si>
  <si>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</si>
  <si>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</si>
  <si>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</si>
  <si>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</si>
  <si>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</si>
  <si>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</si>
  <si>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</si>
  <si>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</si>
  <si>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</si>
  <si>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</si>
  <si>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</si>
  <si>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</si>
  <si>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</si>
  <si>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</si>
  <si>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</si>
  <si>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</si>
  <si>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</si>
  <si>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</si>
  <si>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</si>
  <si>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</si>
  <si>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</si>
  <si>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</si>
  <si>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</si>
  <si>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</si>
  <si>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</si>
  <si>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</si>
  <si>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</si>
  <si>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</si>
  <si>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</si>
  <si>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</si>
  <si>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</si>
  <si>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</si>
  <si>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</si>
  <si>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</si>
  <si>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</si>
  <si>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</si>
  <si>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</si>
  <si>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</si>
  <si>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</si>
  <si>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</si>
  <si>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</si>
  <si>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</si>
  <si>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</si>
  <si>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</si>
  <si>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</si>
  <si>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</si>
  <si>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</si>
  <si>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</si>
  <si>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</si>
  <si>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</si>
  <si>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</si>
  <si>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</si>
  <si>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</si>
  <si>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</si>
  <si>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</si>
  <si>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</si>
  <si>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</si>
  <si>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</si>
  <si>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</si>
  <si>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</si>
  <si>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</si>
  <si>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</si>
  <si>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</si>
  <si>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</si>
  <si>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</si>
  <si>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</si>
  <si>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</si>
  <si>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</si>
  <si>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</si>
  <si>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</si>
  <si>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</si>
  <si>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</si>
  <si>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</si>
  <si>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</si>
  <si>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</si>
  <si>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</si>
  <si>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</si>
  <si>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</si>
  <si>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</si>
  <si>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</si>
  <si>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</si>
  <si>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</si>
  <si>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</si>
  <si>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</si>
  <si>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</si>
  <si>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</si>
  <si>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</si>
  <si>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</si>
  <si>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</si>
  <si>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</si>
  <si>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</si>
  <si>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</si>
  <si>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</si>
  <si>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</si>
  <si>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</si>
  <si>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</si>
  <si>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</si>
  <si>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</si>
  <si>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</si>
  <si>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</si>
  <si>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</si>
  <si>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</si>
  <si>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</si>
  <si>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</si>
  <si>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</si>
  <si>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</si>
  <si>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</si>
  <si>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</si>
  <si>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</si>
  <si>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</si>
  <si>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</si>
  <si>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</si>
  <si>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</si>
  <si>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</si>
  <si>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</si>
  <si>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</si>
  <si>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</si>
  <si>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</si>
  <si>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</si>
  <si>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</si>
  <si>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</si>
  <si>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</si>
  <si>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</si>
  <si>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</si>
  <si>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</si>
  <si>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</si>
  <si>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</si>
  <si>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</si>
  <si>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</si>
  <si>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</si>
  <si>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</si>
  <si>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</si>
  <si>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</si>
  <si>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</si>
  <si>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</si>
  <si>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</si>
  <si>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</si>
  <si>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</si>
  <si>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</si>
  <si>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</si>
  <si>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</si>
  <si>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</si>
  <si>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</si>
  <si>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</si>
  <si>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</si>
  <si>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</si>
  <si>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</si>
  <si>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</si>
  <si>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</si>
  <si>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</si>
  <si>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</si>
  <si>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</si>
  <si>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</si>
  <si>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</si>
  <si>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</si>
  <si>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</si>
  <si>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</si>
  <si>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</si>
  <si>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</si>
  <si>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</si>
  <si>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</si>
  <si>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</si>
  <si>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</si>
  <si>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</si>
  <si>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</si>
  <si>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</si>
  <si>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</si>
  <si>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</si>
  <si>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</si>
  <si>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</si>
  <si>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</si>
  <si>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</si>
  <si>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</si>
  <si>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</si>
  <si>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</si>
  <si>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</si>
  <si>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</si>
  <si>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</si>
  <si>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</si>
  <si>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</si>
  <si>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</si>
  <si>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</si>
  <si>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</si>
  <si>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</si>
  <si>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</si>
  <si>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</si>
  <si>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</si>
  <si>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</si>
  <si>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</si>
  <si>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</si>
  <si>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</si>
  <si>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</si>
  <si>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</si>
  <si>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</si>
  <si>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</si>
  <si>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</si>
  <si>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</si>
  <si>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</si>
  <si>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</si>
  <si>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</si>
  <si>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</si>
  <si>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</si>
  <si>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</si>
  <si>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</si>
  <si>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</si>
  <si>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</si>
  <si>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</si>
  <si>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</si>
  <si>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</si>
  <si>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</si>
  <si>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</si>
  <si>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</si>
  <si>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</si>
  <si>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</si>
  <si>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</si>
  <si>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</si>
  <si>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</si>
  <si>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</si>
  <si>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</si>
  <si>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</si>
  <si>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</si>
  <si>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</si>
  <si>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</si>
  <si>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</si>
  <si>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</si>
  <si>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</si>
  <si>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</si>
  <si>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</si>
  <si>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</si>
  <si>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</si>
  <si>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</si>
  <si>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</si>
  <si>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</si>
  <si>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</si>
  <si>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</si>
  <si>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</si>
  <si>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</si>
  <si>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</si>
  <si>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</si>
  <si>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</si>
  <si>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</si>
  <si>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</si>
  <si>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</si>
  <si>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</si>
  <si>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</si>
  <si>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</si>
  <si>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</si>
  <si>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</si>
  <si>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</si>
  <si>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</si>
  <si>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</si>
  <si>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</si>
  <si>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</si>
  <si>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</si>
  <si>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</si>
  <si>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</si>
  <si>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</si>
  <si>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</si>
  <si>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</si>
  <si>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</si>
  <si>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</si>
  <si>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</si>
  <si>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</si>
  <si>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</si>
  <si>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</si>
  <si>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</si>
  <si>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</si>
  <si>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</si>
  <si>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</si>
  <si>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</si>
  <si>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</si>
  <si>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</si>
  <si>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</si>
  <si>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</si>
  <si>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</si>
  <si>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</si>
  <si>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</si>
  <si>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</si>
  <si>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</si>
  <si>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</si>
  <si>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</si>
  <si>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</si>
  <si>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</si>
  <si>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</si>
  <si>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</si>
  <si>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</si>
  <si>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</si>
  <si>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</si>
  <si>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</si>
  <si>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</si>
  <si>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</si>
  <si>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</si>
  <si>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</si>
  <si>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</si>
  <si>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</si>
  <si>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</si>
  <si>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</si>
  <si>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</si>
  <si>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</si>
  <si>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</si>
  <si>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</si>
  <si>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</si>
  <si>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</si>
  <si>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</si>
  <si>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</si>
  <si>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</si>
  <si>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</si>
  <si>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</si>
  <si>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</si>
  <si>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</si>
  <si>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</si>
  <si>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</si>
  <si>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</si>
  <si>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</si>
  <si>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</si>
  <si>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</si>
  <si>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</si>
  <si>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</si>
  <si>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</si>
  <si>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</si>
  <si>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</si>
  <si>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</si>
  <si>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</si>
  <si>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</si>
  <si>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</si>
  <si>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</si>
  <si>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</si>
  <si>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</si>
  <si>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</si>
  <si>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</si>
  <si>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</si>
  <si>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</si>
  <si>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</si>
  <si>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</si>
  <si>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</si>
  <si>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</si>
  <si>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</si>
  <si>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</si>
  <si>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</si>
  <si>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</si>
  <si>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</si>
  <si>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</si>
  <si>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</si>
  <si>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</si>
  <si>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</si>
  <si>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</si>
  <si>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</si>
  <si>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</si>
  <si>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</si>
  <si>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</si>
  <si>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</si>
  <si>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</si>
  <si>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</si>
  <si>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</si>
  <si>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</si>
  <si>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</si>
  <si>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</si>
  <si>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</si>
  <si>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</si>
  <si>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</si>
  <si>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</si>
  <si>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</si>
  <si>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</si>
  <si>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</si>
  <si>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</si>
  <si>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</si>
  <si>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</si>
  <si>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</si>
  <si>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</si>
  <si>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</si>
  <si>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</si>
  <si>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</si>
  <si>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</si>
  <si>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</si>
  <si>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</si>
  <si>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</si>
  <si>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</si>
  <si>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</si>
  <si>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</si>
  <si>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</si>
  <si>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</si>
  <si>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</si>
  <si>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</si>
  <si>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</si>
  <si>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</si>
  <si>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</si>
  <si>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</si>
  <si>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</si>
  <si>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</si>
  <si>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</si>
  <si>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</si>
  <si>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</si>
  <si>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</si>
  <si>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</si>
  <si>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</si>
  <si>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</si>
  <si>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</si>
  <si>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</si>
  <si>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</si>
  <si>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</si>
  <si>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</si>
  <si>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</si>
  <si>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</si>
  <si>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</si>
  <si>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</si>
  <si>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</si>
  <si>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</si>
  <si>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</si>
  <si>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</si>
  <si>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</si>
  <si>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</si>
  <si>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</si>
  <si>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</si>
  <si>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</si>
  <si>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</si>
  <si>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</si>
  <si>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</si>
  <si>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</si>
  <si>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</si>
  <si>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</si>
  <si>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</si>
  <si>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</si>
  <si>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</si>
  <si>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</si>
  <si>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</si>
  <si>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</si>
  <si>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</si>
  <si>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</si>
  <si>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</si>
  <si>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</si>
  <si>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</si>
  <si>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</si>
  <si>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</si>
  <si>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</si>
  <si>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</si>
  <si>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</si>
  <si>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</si>
  <si>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</si>
  <si>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</si>
  <si>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</si>
  <si>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</si>
  <si>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</si>
  <si>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</si>
  <si>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</si>
  <si>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</si>
  <si>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</si>
  <si>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</si>
  <si>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</si>
  <si>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</si>
  <si>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</si>
  <si>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</si>
  <si>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</si>
  <si>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</si>
  <si>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</si>
  <si>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</si>
  <si>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</si>
  <si>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</si>
  <si>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</si>
  <si>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</si>
  <si>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</si>
  <si>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</si>
  <si>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</si>
  <si>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</si>
  <si>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</si>
  <si>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</si>
  <si>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</si>
  <si>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</si>
  <si>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</si>
  <si>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</si>
  <si>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</si>
  <si>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</si>
  <si>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</si>
  <si>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</si>
  <si>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</si>
  <si>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</si>
  <si>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</si>
  <si>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</si>
  <si>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</si>
  <si>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</si>
  <si>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</si>
  <si>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</si>
  <si>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</si>
  <si>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</si>
  <si>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</si>
  <si>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</si>
  <si>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</si>
  <si>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</si>
  <si>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</si>
  <si>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</si>
  <si>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</si>
  <si>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</si>
  <si>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</si>
  <si>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</si>
  <si>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</si>
  <si>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</si>
  <si>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</si>
  <si>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</si>
  <si>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</si>
  <si>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</si>
  <si>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</si>
  <si>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</si>
  <si>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</si>
  <si>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</si>
  <si>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</si>
  <si>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</si>
  <si>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</si>
  <si>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</si>
  <si>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</si>
  <si>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</si>
  <si>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</si>
  <si>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</si>
  <si>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</si>
  <si>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</si>
  <si>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</si>
  <si>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</si>
  <si>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</si>
  <si>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</si>
  <si>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</si>
  <si>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</si>
  <si>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</si>
  <si>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</si>
  <si>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</si>
  <si>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</si>
  <si>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</si>
  <si>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</si>
  <si>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</si>
  <si>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</si>
  <si>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</si>
  <si>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</si>
  <si>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</si>
  <si>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</si>
  <si>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</si>
  <si>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</si>
  <si>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</si>
  <si>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</si>
  <si>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</si>
  <si>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</si>
  <si>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</si>
  <si>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</si>
  <si>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</si>
  <si>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</si>
  <si>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</si>
  <si>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</si>
  <si>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</si>
  <si>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</si>
  <si>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</si>
  <si>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</si>
  <si>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</si>
  <si>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</si>
  <si>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</si>
  <si>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</si>
  <si>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</si>
  <si>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</si>
  <si>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</si>
  <si>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</si>
  <si>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</si>
  <si>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</si>
  <si>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</si>
  <si>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</si>
  <si>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</si>
  <si>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</si>
  <si>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</si>
  <si>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</si>
  <si>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</si>
  <si>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</si>
  <si>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</si>
  <si>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</si>
  <si>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</si>
  <si>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</si>
  <si>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</si>
  <si>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</si>
  <si>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C:\Users\hector.guillen\EUROLEAGUE\EB STATS - Documents\General\SEASON 2025-26\Reports\Eurocup\PDF</t>
  </si>
  <si>
    <t>C:\Users\hector.guillen\EUROLEAGUE\EB STATS - Documents\General\SEASON 2025-26\Reports\Eurocup</t>
  </si>
  <si>
    <t>ADRIA RUBIROLA</t>
  </si>
  <si>
    <t>VERONICA NAVARRO</t>
  </si>
  <si>
    <t>FRANCISCO CAMPANA</t>
  </si>
  <si>
    <t>GERARD CAROD</t>
  </si>
  <si>
    <t>ALBERTO MORALES</t>
  </si>
  <si>
    <t>HECTOR GUILLEN</t>
  </si>
  <si>
    <t>7:18</t>
  </si>
  <si>
    <t>7:10</t>
  </si>
  <si>
    <t>6:58</t>
  </si>
  <si>
    <t>6:55</t>
  </si>
  <si>
    <t>5:36</t>
  </si>
  <si>
    <t>7:03</t>
  </si>
  <si>
    <t>5:52</t>
  </si>
  <si>
    <t>7:40</t>
  </si>
  <si>
    <t>5:35</t>
  </si>
  <si>
    <t>7:26</t>
  </si>
  <si>
    <t>4:31</t>
  </si>
  <si>
    <t>1:20</t>
  </si>
  <si>
    <t>1:49</t>
  </si>
  <si>
    <t>1:52</t>
  </si>
  <si>
    <t>I recommend reviewing the steal/turnover and assist criteria. Aside from that, good game!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</si>
</sst>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03_025_MAN_JER_U2025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25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45945.864583333336</v>
      </c>
      <c r="C3" s="178"/>
      <c r="D3" s="39">
        <v>702</v>
      </c>
      <c r="E3" s="29"/>
      <c r="F3" s="26">
        <f>SUBTOTAL(3,I17:I106)</f>
        <v>15</v>
      </c>
      <c r="G3" s="27">
        <f>IF(OR(D3="",D3=0),"",F3/D3)</f>
        <v>2.1367521367521368E-2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BAXI Manresa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MAN</v>
      </c>
      <c r="I4" s="5"/>
      <c r="J4" s="119" t="s">
        <v>714</v>
      </c>
      <c r="K4" s="54" t="s">
        <v>742</v>
      </c>
      <c r="L4" s="5"/>
      <c r="M4" s="185" t="s">
        <v>771</v>
      </c>
      <c r="N4" s="186"/>
      <c r="O4" s="2"/>
      <c r="P4" s="2"/>
      <c r="Q4" s="84" t="s">
        <v>175</v>
      </c>
      <c r="R4" s="94">
        <f>(IF(G3="",0,G3))</f>
        <v>2.1367521367521368E-2</v>
      </c>
      <c r="S4" s="61">
        <f>SUM(I13:M13)</f>
        <v>0</v>
      </c>
      <c r="T4" s="78"/>
      <c r="U4" s="61">
        <f>AC18</f>
        <v>8</v>
      </c>
      <c r="V4" s="61">
        <f>+AC22</f>
        <v>7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Bank Yahav Jerusalem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JER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2.1367521367521367</v>
      </c>
      <c r="S5" s="70">
        <f t="shared" ref="S5" si="0">S4*S3</f>
        <v>0</v>
      </c>
      <c r="T5" s="92"/>
      <c r="U5" s="70">
        <f t="shared" ref="U5:AG5" si="1">U4*U3</f>
        <v>4</v>
      </c>
      <c r="V5" s="70">
        <f t="shared" si="1"/>
        <v>7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13.136752136752136</v>
      </c>
      <c r="N7" s="58"/>
      <c r="O7" s="2"/>
      <c r="P7" s="2"/>
      <c r="Q7" s="86">
        <f>SUM(R5,S5,AC16)</f>
        <v>13.136752136752136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13.136752136752136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25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15</v>
      </c>
      <c r="J15" s="24">
        <f>SUBTOTAL(3,J17:J106)</f>
        <v>15</v>
      </c>
      <c r="K15" s="24">
        <f>SUBTOTAL(3,K17:K106)</f>
        <v>15</v>
      </c>
      <c r="L15" s="24">
        <f>SUBTOTAL(3,L17:L106)</f>
        <v>15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15</v>
      </c>
      <c r="Z16" s="90" t="s">
        <v>110</v>
      </c>
      <c r="AA16" s="75">
        <f>SUM(AA17:AA24)</f>
        <v>15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11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25</v>
      </c>
      <c r="D17" s="32" t="s">
        <v>757</v>
      </c>
      <c r="E17" s="33">
        <v>1</v>
      </c>
      <c r="F17" s="36">
        <v>9</v>
      </c>
      <c r="G17" s="36">
        <v>7</v>
      </c>
      <c r="H17" s="38" t="str">
        <f>IF(I17="","",$I$14)</f>
        <v>SCOUTING</v>
      </c>
      <c r="I17" s="34">
        <v>26</v>
      </c>
      <c r="J17" s="13" t="s">
        <v>4</v>
      </c>
      <c r="K17" s="13" t="s">
        <v>62</v>
      </c>
      <c r="L17" s="13" t="s">
        <v>6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15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5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25</v>
      </c>
      <c r="D18" s="32" t="s">
        <v>758</v>
      </c>
      <c r="E18" s="33">
        <v>1</v>
      </c>
      <c r="F18" s="36">
        <v>9</v>
      </c>
      <c r="G18" s="36">
        <v>9</v>
      </c>
      <c r="H18" s="38" t="str">
        <f t="shared" ref="H18:H81" si="8">IF(I18="","",$I$14)</f>
        <v>SCOUTING</v>
      </c>
      <c r="I18" s="34">
        <v>30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11</v>
      </c>
      <c r="AB18" s="66" t="s">
        <v>5</v>
      </c>
      <c r="AC18" s="61">
        <f t="shared" si="5"/>
        <v>8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25</v>
      </c>
      <c r="D19" s="32" t="s">
        <v>759</v>
      </c>
      <c r="E19" s="33">
        <v>1</v>
      </c>
      <c r="F19" s="36">
        <v>9</v>
      </c>
      <c r="G19" s="36">
        <v>9</v>
      </c>
      <c r="H19" s="38" t="str">
        <f t="shared" si="8"/>
        <v>SCOUTING</v>
      </c>
      <c r="I19" s="34">
        <v>33</v>
      </c>
      <c r="J19" s="13" t="s">
        <v>4</v>
      </c>
      <c r="K19" s="13" t="s">
        <v>62</v>
      </c>
      <c r="L19" s="13" t="s">
        <v>6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6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25</v>
      </c>
      <c r="D20" s="32" t="s">
        <v>760</v>
      </c>
      <c r="E20" s="33">
        <v>1</v>
      </c>
      <c r="F20" s="36">
        <v>9</v>
      </c>
      <c r="G20" s="36">
        <v>9</v>
      </c>
      <c r="H20" s="38" t="str">
        <f t="shared" si="8"/>
        <v>SCOUTING</v>
      </c>
      <c r="I20" s="34">
        <v>34</v>
      </c>
      <c r="J20" s="13" t="s">
        <v>4</v>
      </c>
      <c r="K20" s="13" t="s">
        <v>62</v>
      </c>
      <c r="L20" s="13" t="s">
        <v>6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25</v>
      </c>
      <c r="D21" s="32" t="s">
        <v>761</v>
      </c>
      <c r="E21" s="33">
        <v>1</v>
      </c>
      <c r="F21" s="36">
        <v>12</v>
      </c>
      <c r="G21" s="36">
        <v>11</v>
      </c>
      <c r="H21" s="38" t="str">
        <f t="shared" si="8"/>
        <v>SCOUTING</v>
      </c>
      <c r="I21" s="34">
        <v>59</v>
      </c>
      <c r="J21" s="13" t="s">
        <v>4</v>
      </c>
      <c r="K21" s="13" t="s">
        <v>63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25</v>
      </c>
      <c r="D22" s="32" t="s">
        <v>762</v>
      </c>
      <c r="E22" s="33">
        <v>2</v>
      </c>
      <c r="F22" s="36">
        <v>24</v>
      </c>
      <c r="G22" s="36">
        <v>33</v>
      </c>
      <c r="H22" s="38" t="str">
        <f t="shared" si="8"/>
        <v>SCOUTING</v>
      </c>
      <c r="I22" s="34">
        <v>215</v>
      </c>
      <c r="J22" s="13" t="s">
        <v>4</v>
      </c>
      <c r="K22" s="13" t="s">
        <v>62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7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25</v>
      </c>
      <c r="D23" s="32" t="s">
        <v>763</v>
      </c>
      <c r="E23" s="33">
        <v>2</v>
      </c>
      <c r="F23" s="36">
        <v>26</v>
      </c>
      <c r="G23" s="36">
        <v>36</v>
      </c>
      <c r="H23" s="38" t="str">
        <f t="shared" si="8"/>
        <v>SCOUTING</v>
      </c>
      <c r="I23" s="34">
        <v>231</v>
      </c>
      <c r="J23" s="13" t="s">
        <v>4</v>
      </c>
      <c r="K23" s="13" t="s">
        <v>62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25</v>
      </c>
      <c r="D24" s="32" t="s">
        <v>764</v>
      </c>
      <c r="E24" s="33">
        <v>3</v>
      </c>
      <c r="F24" s="36">
        <v>48</v>
      </c>
      <c r="G24" s="36">
        <v>61</v>
      </c>
      <c r="H24" s="38" t="str">
        <f t="shared" si="8"/>
        <v>SCOUTING</v>
      </c>
      <c r="I24" s="34">
        <v>380</v>
      </c>
      <c r="J24" s="13" t="s">
        <v>4</v>
      </c>
      <c r="K24" s="13" t="s">
        <v>63</v>
      </c>
      <c r="L24" s="13" t="s">
        <v>5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25</v>
      </c>
      <c r="D25" s="32" t="s">
        <v>765</v>
      </c>
      <c r="E25" s="33">
        <v>3</v>
      </c>
      <c r="F25" s="36">
        <v>57</v>
      </c>
      <c r="G25" s="36">
        <v>63</v>
      </c>
      <c r="H25" s="38" t="str">
        <f t="shared" si="8"/>
        <v>SCOUTING</v>
      </c>
      <c r="I25" s="34">
        <v>407</v>
      </c>
      <c r="J25" s="13" t="s">
        <v>4</v>
      </c>
      <c r="K25" s="13" t="s">
        <v>62</v>
      </c>
      <c r="L25" s="13" t="s">
        <v>6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25</v>
      </c>
      <c r="D26" s="32" t="s">
        <v>765</v>
      </c>
      <c r="E26" s="33">
        <v>3</v>
      </c>
      <c r="F26" s="36">
        <v>59</v>
      </c>
      <c r="G26" s="36">
        <v>63</v>
      </c>
      <c r="H26" s="38" t="str">
        <f t="shared" si="8"/>
        <v>SCOUTING</v>
      </c>
      <c r="I26" s="34">
        <v>408</v>
      </c>
      <c r="J26" s="13" t="s">
        <v>4</v>
      </c>
      <c r="K26" s="13" t="s">
        <v>62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25</v>
      </c>
      <c r="D27" s="32" t="s">
        <v>766</v>
      </c>
      <c r="E27" s="33">
        <v>3</v>
      </c>
      <c r="F27" s="36">
        <v>51</v>
      </c>
      <c r="G27" s="36">
        <v>63</v>
      </c>
      <c r="H27" s="38" t="str">
        <f t="shared" si="8"/>
        <v>SCOUTING</v>
      </c>
      <c r="I27" s="34">
        <v>389</v>
      </c>
      <c r="J27" s="13" t="s">
        <v>4</v>
      </c>
      <c r="K27" s="13" t="s">
        <v>62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25</v>
      </c>
      <c r="D28" s="32" t="s">
        <v>767</v>
      </c>
      <c r="E28" s="33">
        <v>3</v>
      </c>
      <c r="F28" s="36">
        <v>60</v>
      </c>
      <c r="G28" s="36">
        <v>67</v>
      </c>
      <c r="H28" s="38" t="str">
        <f t="shared" si="8"/>
        <v>SCOUTING</v>
      </c>
      <c r="I28" s="34">
        <v>424</v>
      </c>
      <c r="J28" s="13" t="s">
        <v>4</v>
      </c>
      <c r="K28" s="13" t="s">
        <v>62</v>
      </c>
      <c r="L28" s="13" t="s">
        <v>5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25</v>
      </c>
      <c r="D29" s="32" t="s">
        <v>768</v>
      </c>
      <c r="E29" s="33">
        <v>3</v>
      </c>
      <c r="F29" s="36">
        <v>66</v>
      </c>
      <c r="G29" s="36">
        <v>69</v>
      </c>
      <c r="H29" s="38" t="str">
        <f t="shared" si="8"/>
        <v>SCOUTING</v>
      </c>
      <c r="I29" s="34">
        <v>478</v>
      </c>
      <c r="J29" s="13" t="s">
        <v>4</v>
      </c>
      <c r="K29" s="13" t="s">
        <v>62</v>
      </c>
      <c r="L29" s="13" t="s">
        <v>6</v>
      </c>
      <c r="M29" s="13" t="s">
        <v>168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25</v>
      </c>
      <c r="D30" s="32" t="s">
        <v>769</v>
      </c>
      <c r="E30" s="33">
        <v>4</v>
      </c>
      <c r="F30" s="36">
        <v>93</v>
      </c>
      <c r="G30" s="36">
        <v>89</v>
      </c>
      <c r="H30" s="38" t="str">
        <f t="shared" si="8"/>
        <v>SCOUTING</v>
      </c>
      <c r="I30" s="34">
        <v>648</v>
      </c>
      <c r="J30" s="13" t="s">
        <v>4</v>
      </c>
      <c r="K30" s="13" t="s">
        <v>62</v>
      </c>
      <c r="L30" s="13" t="s">
        <v>6</v>
      </c>
      <c r="M30" s="13" t="s">
        <v>26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U2025</v>
      </c>
      <c r="C31" s="31">
        <f t="shared" si="3"/>
        <v>25</v>
      </c>
      <c r="D31" s="32" t="s">
        <v>770</v>
      </c>
      <c r="E31" s="33">
        <v>4</v>
      </c>
      <c r="F31" s="36">
        <v>93</v>
      </c>
      <c r="G31" s="36">
        <v>89</v>
      </c>
      <c r="H31" s="38" t="str">
        <f t="shared" si="8"/>
        <v>SCOUTING</v>
      </c>
      <c r="I31" s="34">
        <v>646</v>
      </c>
      <c r="J31" s="13" t="s">
        <v>4</v>
      </c>
      <c r="K31" s="13" t="s">
        <v>63</v>
      </c>
      <c r="L31" s="13" t="s">
        <v>5</v>
      </c>
      <c r="M31" s="13" t="s">
        <v>10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5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REPORT_U2025025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"U2025025"</v>
      </c>
      <c r="F3" s="45" t="str">
        <f t="shared" ref="F3:F16" si="0">""""&amp;B3&amp;"""" &amp; " : " &amp;C3&amp;","</f>
        <v>"name" : "U2025025",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"U025"</v>
      </c>
      <c r="F4" s="45" t="str">
        <f t="shared" si="0"/>
        <v>"cod" : "U025",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025</v>
      </c>
      <c r="F6" s="45" t="str">
        <f t="shared" si="0"/>
        <v>"number" : 025,</v>
      </c>
    </row>
    <row r="7" spans="2:6" x14ac:dyDescent="0.25">
      <c r="B7" s="43" t="s">
        <v>116</v>
      </c>
      <c r="C7" s="43" t="str">
        <f ca="1">""""&amp;TEXT('SCOUT &amp; LOGISTICS'!B3,"dd/mm/aaaa")&amp;""""</f>
        <v>"15/10/Wednesday"</v>
      </c>
      <c r="F7" s="45" t="str">
        <f t="shared" ca="1" si="0"/>
        <v>"date" : "15/10/Wednesday",</v>
      </c>
    </row>
    <row r="8" spans="2:6" x14ac:dyDescent="0.25">
      <c r="B8" s="43" t="s">
        <v>125</v>
      </c>
      <c r="C8" s="43" t="str">
        <f>""""&amp;'SCOUT &amp; LOGISTICS'!D4 &amp;""""</f>
        <v>"BAXI Manresa"</v>
      </c>
      <c r="F8" s="45" t="str">
        <f t="shared" si="0"/>
        <v>"home_team" : "BAXI Manresa",</v>
      </c>
    </row>
    <row r="9" spans="2:6" x14ac:dyDescent="0.25">
      <c r="B9" s="43" t="s">
        <v>126</v>
      </c>
      <c r="C9" s="43" t="str">
        <f>""""&amp;'SCOUT &amp; LOGISTICS'!D5&amp;""""</f>
        <v>"Hapoel Bank Yahav Jerusalem"</v>
      </c>
      <c r="F9" s="45" t="str">
        <f t="shared" si="0"/>
        <v>"away_team" : "Hapoel Bank Yahav Jerusalem",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"ADRIA RUBIROLA"</v>
      </c>
      <c r="F10" s="45" t="str">
        <f t="shared" si="0"/>
        <v>"Data_entry" : "ADRIA RUBIROLA",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"VERONICA NAVARRO"</v>
      </c>
      <c r="F11" s="45" t="str">
        <f t="shared" si="0"/>
        <v>"Caller_1" : "VERONICA NAVARRO",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"FRANCISCO CAMPANA"</v>
      </c>
      <c r="F12" s="45" t="str">
        <f t="shared" si="0"/>
        <v>"Caller_2" : "FRANCISCO CAMPANA",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"GERARD CAROD"</v>
      </c>
      <c r="F13" s="45" t="str">
        <f t="shared" si="0"/>
        <v>"Timerkeeper" : "GERARD CAROD",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"ALBERTO MORALES"</v>
      </c>
      <c r="F14" s="45" t="str">
        <f t="shared" si="0"/>
        <v>"Shotclock" : "ALBERTO MORALES",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702</v>
      </c>
      <c r="F25" s="45" t="str">
        <f t="shared" ref="F25:F48" si="1">""""&amp;C25&amp;"""" &amp; " : " &amp;D25&amp;","</f>
        <v>"total_actions" : 702,</v>
      </c>
    </row>
    <row r="26" spans="2:6" x14ac:dyDescent="0.25">
      <c r="C26" s="43" t="s">
        <v>132</v>
      </c>
      <c r="D26" s="43">
        <f>'SCOUT &amp; LOGISTICS'!F3</f>
        <v>15</v>
      </c>
      <c r="F26" s="45" t="str">
        <f t="shared" si="1"/>
        <v>"total_correcions" : 15,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11</v>
      </c>
      <c r="F29" s="45" t="str">
        <f t="shared" si="1"/>
        <v>"no_team" : 11,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5</v>
      </c>
      <c r="F31" s="45" t="str">
        <f t="shared" si="1"/>
        <v>"q1" : 5,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6</v>
      </c>
      <c r="F33" s="45" t="str">
        <f t="shared" si="1"/>
        <v>"q3" : 6,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15</v>
      </c>
      <c r="F37" s="45" t="str">
        <f t="shared" si="1"/>
        <v>"scoresheet_corrections" : 15,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8</v>
      </c>
      <c r="F39" s="45" t="str">
        <f t="shared" si="1"/>
        <v>"missidentity" : 8,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recommend reviewing the steal/turnover and assist criteria. Aside from that, good game!"</v>
      </c>
      <c r="F51" s="45" t="str">
        <f>""""&amp;B51&amp;"""" &amp; " : " &amp;C51&amp;","</f>
        <v>"comments" : "I recommend reviewing the steal/turnover and assist criteria. Aside from that, good game!",</v>
      </c>
    </row>
    <row r="52" spans="2:6" x14ac:dyDescent="0.25">
      <c r="B52" s="43" t="s">
        <v>153</v>
      </c>
      <c r="C52" s="43" t="str">
        <f>TEXT('SCOUT &amp; LOGISTICS'!F1,"0,0")</f>
        <v>03_025_MAN_JER_U2025</v>
      </c>
      <c r="F52" s="45" t="str">
        <f>""""&amp;B52&amp;"""" &amp; " : " &amp;C52</f>
        <v>"result" : 03_025_MAN_JER_U2025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U025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15/10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Baxi Manresa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Bank Yahav Jerusalem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ADRIA RUBIROLA</v>
      </c>
      <c r="C8" s="201"/>
      <c r="D8" s="201"/>
      <c r="E8" s="201"/>
      <c r="F8" s="201"/>
      <c r="G8" s="201" t="str">
        <f>IF('SCOUT &amp; LOGISTICS'!D7="","",'SCOUT &amp; LOGISTICS'!D7)</f>
        <v>VERONICA NAVARRO</v>
      </c>
      <c r="H8" s="201"/>
      <c r="I8" s="201"/>
      <c r="J8" s="201"/>
      <c r="K8" s="201"/>
      <c r="L8" s="201" t="str">
        <f>IF('SCOUT &amp; LOGISTICS'!D8="","",'SCOUT &amp; LOGISTICS'!D8)</f>
        <v>FRANCISCO CAMPANA</v>
      </c>
      <c r="M8" s="201"/>
      <c r="N8" s="201"/>
      <c r="O8" s="201"/>
      <c r="P8" s="201"/>
      <c r="Q8" s="201" t="str">
        <f>IF('SCOUT &amp; LOGISTICS'!D9="","",'SCOUT &amp; LOGISTICS'!D9)</f>
        <v>GERARD CAROD</v>
      </c>
      <c r="R8" s="201"/>
      <c r="S8" s="201"/>
      <c r="T8" s="201"/>
      <c r="U8" s="201"/>
      <c r="V8" s="201" t="str">
        <f>IF('SCOUT &amp; LOGISTICS'!D10="","",'SCOUT &amp; LOGISTICS'!D10)</f>
        <v>ALBERTO MORALES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702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2.1367521367521368E-2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5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6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8</v>
      </c>
      <c r="C27" s="199"/>
      <c r="D27" s="199"/>
      <c r="E27" s="199"/>
      <c r="F27" s="199"/>
      <c r="G27" s="199">
        <f>'SCOUT &amp; LOGISTICS'!AC22</f>
        <v>7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I recommend reviewing the steal/turnover and assist criteria. Aside from that, good game!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13.136752136752136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62416F7-DC0C-4A4D-90AE-17728D8CC7DF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2025-10-17T18:19:41Z</cp:lastPrinted>
  <dcterms:created xsi:type="dcterms:W3CDTF">2023-09-19T19:50:35Z</dcterms:created>
  <dcterms:modified xsi:type="dcterms:W3CDTF">2025-10-17T18:19:45Z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