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7" documentId="8_{B0F909B1-4580-4BB1-89F1-9BEE9B8699E7}" xr6:coauthVersionLast="47" xr6:coauthVersionMax="47" xr10:uidLastSave="{21DDD766-F653-496F-862A-D96F067ABAFB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<sst xmlns="http://schemas.openxmlformats.org/spreadsheetml/2006/main" count="3264" uniqueCount="762">
  <si>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</si>
  <si>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</si>
  <si>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</si>
  <si>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</si>
  <si>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</si>
  <si>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</si>
  <si>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</si>
  <si>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</si>
  <si>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</si>
  <si>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</si>
  <si>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</si>
  <si>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</si>
  <si>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</si>
  <si>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</si>
  <si>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</si>
  <si>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</si>
  <si>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</si>
  <si>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</si>
  <si>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</si>
  <si>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</si>
  <si>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</si>
  <si>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</si>
  <si>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</si>
  <si>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</si>
  <si>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</si>
  <si>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</si>
  <si>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</si>
  <si>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</si>
  <si>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</si>
  <si>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</si>
  <si>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</si>
  <si>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</si>
  <si>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</si>
  <si>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</si>
  <si>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</si>
  <si>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</si>
  <si>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</si>
  <si>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</si>
  <si>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</si>
  <si>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</si>
  <si>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</si>
  <si>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</si>
  <si>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</si>
  <si>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</si>
  <si>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</si>
  <si>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</si>
  <si>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</si>
  <si>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</si>
  <si>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</si>
  <si>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</si>
  <si>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</si>
  <si>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</si>
  <si>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</si>
  <si>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</si>
  <si>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</si>
  <si>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</si>
  <si>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</si>
  <si>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</si>
  <si>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</si>
  <si>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</si>
  <si>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</si>
  <si>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</si>
  <si>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</si>
  <si>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</si>
  <si>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</si>
  <si>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</si>
  <si>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</si>
  <si>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</si>
  <si>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</si>
  <si>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</si>
  <si>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</si>
  <si>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</si>
  <si>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</si>
  <si>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</si>
  <si>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</si>
  <si>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</si>
  <si>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</si>
  <si>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</si>
  <si>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</si>
  <si>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</si>
  <si>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</si>
  <si>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</si>
  <si>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</si>
  <si>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</si>
  <si>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</si>
  <si>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</si>
  <si>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</si>
  <si>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</si>
  <si>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</si>
  <si>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</si>
  <si>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</si>
  <si>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</si>
  <si>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</si>
  <si>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</si>
  <si>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</si>
  <si>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</si>
  <si>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</si>
  <si>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</si>
  <si>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</si>
  <si>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</si>
  <si>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</si>
  <si>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</si>
  <si>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</si>
  <si>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</si>
  <si>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</si>
  <si>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</si>
  <si>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</si>
  <si>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</si>
  <si>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</si>
  <si>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</si>
  <si>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</si>
  <si>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</si>
  <si>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</si>
  <si>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</si>
  <si>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</si>
  <si>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</si>
  <si>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</si>
  <si>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</si>
  <si>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</si>
  <si>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</si>
  <si>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</si>
  <si>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</si>
  <si>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</si>
  <si>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</si>
  <si>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</si>
  <si>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</si>
  <si>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</si>
  <si>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</si>
  <si>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</si>
  <si>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</si>
  <si>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</si>
  <si>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</si>
  <si>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</si>
  <si>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</si>
  <si>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</si>
  <si>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</si>
  <si>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</si>
  <si>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</si>
  <si>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</si>
  <si>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</si>
  <si>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</si>
  <si>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</si>
  <si>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</si>
  <si>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</si>
  <si>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</si>
  <si>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</si>
  <si>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</si>
  <si>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</si>
  <si>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</si>
  <si>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</si>
  <si>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</si>
  <si>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</si>
  <si>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</si>
  <si>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</si>
  <si>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</si>
  <si>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</si>
  <si>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</si>
  <si>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</si>
  <si>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</si>
  <si>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</si>
  <si>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</si>
  <si>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</si>
  <si>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</si>
  <si>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</si>
  <si>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</si>
  <si>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</si>
  <si>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</si>
  <si>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</si>
  <si>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</si>
  <si>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</si>
  <si>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</si>
  <si>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</si>
  <si>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</si>
  <si>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</si>
  <si>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</si>
  <si>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</si>
  <si>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</si>
  <si>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</si>
  <si>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</si>
  <si>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</si>
  <si>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</si>
  <si>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</si>
  <si>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</si>
  <si>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</si>
  <si>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</si>
  <si>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</si>
  <si>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</si>
  <si>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</si>
  <si>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</si>
  <si>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</si>
  <si>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</si>
  <si>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</si>
  <si>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</si>
  <si>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</si>
  <si>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</si>
  <si>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</si>
  <si>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</si>
  <si>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</si>
  <si>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</si>
  <si>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</si>
  <si>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</si>
  <si>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</si>
  <si>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</si>
  <si>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</si>
  <si>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</si>
  <si>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</si>
  <si>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</si>
  <si>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</si>
  <si>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</si>
  <si>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</si>
  <si>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</si>
  <si>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</si>
  <si>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</si>
  <si>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</si>
  <si>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</si>
  <si>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</si>
  <si>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</si>
  <si>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</si>
  <si>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</si>
  <si>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</si>
  <si>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</si>
  <si>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</si>
  <si>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</si>
  <si>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</si>
  <si>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</si>
  <si>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</si>
  <si>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</si>
  <si>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</si>
  <si>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</si>
  <si>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</si>
  <si>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</si>
  <si>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</si>
  <si>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</si>
  <si>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</si>
  <si>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</si>
  <si>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</si>
  <si>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</si>
  <si>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</si>
  <si>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</si>
  <si>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</si>
  <si>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</si>
  <si>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</si>
  <si>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</si>
  <si>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</si>
  <si>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</si>
  <si>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</si>
  <si>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</si>
  <si>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</si>
  <si>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</si>
  <si>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</si>
  <si>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</si>
  <si>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</si>
  <si>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</si>
  <si>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</si>
  <si>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</si>
  <si>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</si>
  <si>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</si>
  <si>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</si>
  <si>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</si>
  <si>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</si>
  <si>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</si>
  <si>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</si>
  <si>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</si>
  <si>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</si>
  <si>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</si>
  <si>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</si>
  <si>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</si>
  <si>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</si>
  <si>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</si>
  <si>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</si>
  <si>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</si>
  <si>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</si>
  <si>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</si>
  <si>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</si>
  <si>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</si>
  <si>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</si>
  <si>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</si>
  <si>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</si>
  <si>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</si>
  <si>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</si>
  <si>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</si>
  <si>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</si>
  <si>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</si>
  <si>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</si>
  <si>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</si>
  <si>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</si>
  <si>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</si>
  <si>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</si>
  <si>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</si>
  <si>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</si>
  <si>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</si>
  <si>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</si>
  <si>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</si>
  <si>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</si>
  <si>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</si>
  <si>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</si>
  <si>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</si>
  <si>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</si>
  <si>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</si>
  <si>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</si>
  <si>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</si>
  <si>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</si>
  <si>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</si>
  <si>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</si>
  <si>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</si>
  <si>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</si>
  <si>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</si>
  <si>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</si>
  <si>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</si>
  <si>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</si>
  <si>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</si>
  <si>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</si>
  <si>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</si>
  <si>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</si>
  <si>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</si>
  <si>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</si>
  <si>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</si>
  <si>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</si>
  <si>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</si>
  <si>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</si>
  <si>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</si>
  <si>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</si>
  <si>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</si>
  <si>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</si>
  <si>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</si>
  <si>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</si>
  <si>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</si>
  <si>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</si>
  <si>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</si>
  <si>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</si>
  <si>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</si>
  <si>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</si>
  <si>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</si>
  <si>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</si>
  <si>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</si>
  <si>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</si>
  <si>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</si>
  <si>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</si>
  <si>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</si>
  <si>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</si>
  <si>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</si>
  <si>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</si>
  <si>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</si>
  <si>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</si>
  <si>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</si>
  <si>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</si>
  <si>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</si>
  <si>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</si>
  <si>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</si>
  <si>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</si>
  <si>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</si>
  <si>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</si>
  <si>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</si>
  <si>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</si>
  <si>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</si>
  <si>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</si>
  <si>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</si>
  <si>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</si>
  <si>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</si>
  <si>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</si>
  <si>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</si>
  <si>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</si>
  <si>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</si>
  <si>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</si>
  <si>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</si>
  <si>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</si>
  <si>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</si>
  <si>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</si>
  <si>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</si>
  <si>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</si>
  <si>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</si>
  <si>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</si>
  <si>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</si>
  <si>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</si>
  <si>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</si>
  <si>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</si>
  <si>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</si>
  <si>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</si>
  <si>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</si>
  <si>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</si>
  <si>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</si>
  <si>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</si>
  <si>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</si>
  <si>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</si>
  <si>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</si>
  <si>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</si>
  <si>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</si>
  <si>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</si>
  <si>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</si>
  <si>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</si>
  <si>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</si>
  <si>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</si>
  <si>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</si>
  <si>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</si>
  <si>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</si>
  <si>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</si>
  <si>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</si>
  <si>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</si>
  <si>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</si>
  <si>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</si>
  <si>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</si>
  <si>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</si>
  <si>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</si>
  <si>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</si>
  <si>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</si>
  <si>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</si>
  <si>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</si>
  <si>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</si>
  <si>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</si>
  <si>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</si>
  <si>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</si>
  <si>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</si>
  <si>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</si>
  <si>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</si>
  <si>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</si>
  <si>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</si>
  <si>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</si>
  <si>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</si>
  <si>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</si>
  <si>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</si>
  <si>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</si>
  <si>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</si>
  <si>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</si>
  <si>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</si>
  <si>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</si>
  <si>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</si>
  <si>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</si>
  <si>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</si>
  <si>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</si>
  <si>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</si>
  <si>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</si>
  <si>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</si>
  <si>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</si>
  <si>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</si>
  <si>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</si>
  <si>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</si>
  <si>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</si>
  <si>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</si>
  <si>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</si>
  <si>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</si>
  <si>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</si>
  <si>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</si>
  <si>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</si>
  <si>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</si>
  <si>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</si>
  <si>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</si>
  <si>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</si>
  <si>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</si>
  <si>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</si>
  <si>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</si>
  <si>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</si>
  <si>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</si>
  <si>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</si>
  <si>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</si>
  <si>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</si>
  <si>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</si>
  <si>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</si>
  <si>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</si>
  <si>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</si>
  <si>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</si>
  <si>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</si>
  <si>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</si>
  <si>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</si>
  <si>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</si>
  <si>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</si>
  <si>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</si>
  <si>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</si>
  <si>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</si>
  <si>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</si>
  <si>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</si>
  <si>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</si>
  <si>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</si>
  <si>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</si>
  <si>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</si>
  <si>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</si>
  <si>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</si>
  <si>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</si>
  <si>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</si>
  <si>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</si>
  <si>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</si>
  <si>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</si>
  <si>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</si>
  <si>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</si>
  <si>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</si>
  <si>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</si>
  <si>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</si>
  <si>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</si>
  <si>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</si>
  <si>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</si>
  <si>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</si>
  <si>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</si>
  <si>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</si>
  <si>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</si>
  <si>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</si>
  <si>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</si>
  <si>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</si>
  <si>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</si>
  <si>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</si>
  <si>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</si>
  <si>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</si>
  <si>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</si>
  <si>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</si>
  <si>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</si>
  <si>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</si>
  <si>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</si>
  <si>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</si>
  <si>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</si>
  <si>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</si>
  <si>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</si>
  <si>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</si>
  <si>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</si>
  <si>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</si>
  <si>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</si>
  <si>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</si>
  <si>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</si>
  <si>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</si>
  <si>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</si>
  <si>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</si>
  <si>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</si>
  <si>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</si>
  <si>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</si>
  <si>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</si>
  <si>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</si>
  <si>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</si>
  <si>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</si>
  <si>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</si>
  <si>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</si>
  <si>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</si>
  <si>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</si>
  <si>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</si>
  <si>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</si>
  <si>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</si>
  <si>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</si>
  <si>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</si>
  <si>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</si>
  <si>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</si>
  <si>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</si>
  <si>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</si>
  <si>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</si>
  <si>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</si>
  <si>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</si>
  <si>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</si>
  <si>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</si>
  <si>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</si>
  <si>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</si>
  <si>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</si>
  <si>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</si>
  <si>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</si>
  <si>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</si>
  <si>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</si>
  <si>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</si>
  <si>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</si>
  <si>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</si>
  <si>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</si>
  <si>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</si>
  <si>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</si>
  <si>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</si>
  <si>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</si>
  <si>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</si>
  <si>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</si>
  <si>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</si>
  <si>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</si>
  <si>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</si>
  <si>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</si>
  <si>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</si>
  <si>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</si>
  <si>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</si>
  <si>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</si>
  <si>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</si>
  <si>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</si>
  <si>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</si>
  <si>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</si>
  <si>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</si>
  <si>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</si>
  <si>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</si>
  <si>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</si>
  <si>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</si>
  <si>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</si>
  <si>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</si>
  <si>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</si>
  <si>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</si>
  <si>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</si>
  <si>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</si>
  <si>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</si>
  <si>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</si>
  <si>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</si>
  <si>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</si>
  <si>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</si>
  <si>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</si>
  <si>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</si>
  <si>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</si>
  <si>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</si>
  <si>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</si>
  <si>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</si>
  <si>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</si>
  <si>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</si>
  <si>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</si>
  <si>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</si>
  <si>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</si>
  <si>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</si>
  <si>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</si>
  <si>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</si>
  <si>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</si>
  <si>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</si>
  <si>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</si>
  <si>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</si>
  <si>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</si>
  <si>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</si>
  <si>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</si>
  <si>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</si>
  <si>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</si>
  <si>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</si>
  <si>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</si>
  <si>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</si>
  <si>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</si>
  <si>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</si>
  <si>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</si>
  <si>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</si>
  <si>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</si>
  <si>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</si>
  <si>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</si>
  <si>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</si>
  <si>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</si>
  <si>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</si>
  <si>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</si>
  <si>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</si>
  <si>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</si>
  <si>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</si>
  <si>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</si>
  <si>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</si>
  <si>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</si>
  <si>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</si>
  <si>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</si>
  <si>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</si>
  <si>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</si>
  <si>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</si>
  <si>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</si>
  <si>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</si>
  <si>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</si>
  <si>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</si>
  <si>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</si>
  <si>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</si>
  <si>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</si>
  <si>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</si>
  <si>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</si>
  <si>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</si>
  <si>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</si>
  <si>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</si>
  <si>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</si>
  <si>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</si>
  <si>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</si>
  <si>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</si>
  <si>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</si>
  <si>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</si>
  <si>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</si>
  <si>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</si>
  <si>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</si>
  <si>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</si>
  <si>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</si>
  <si>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</si>
  <si>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</si>
  <si>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</si>
  <si>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</si>
  <si>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</si>
  <si>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</si>
  <si>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</si>
  <si>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</si>
  <si>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</si>
  <si>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</si>
  <si>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</si>
  <si>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</si>
  <si>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</si>
  <si>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</si>
  <si>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</si>
  <si>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</si>
  <si>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</si>
  <si>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</si>
  <si>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</si>
  <si>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</si>
  <si>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</si>
  <si>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</si>
  <si>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</si>
  <si>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</si>
  <si>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</si>
  <si>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</si>
  <si>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</si>
  <si>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</si>
  <si>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</si>
  <si>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</si>
  <si>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</si>
  <si>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</si>
  <si>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</si>
  <si>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</si>
  <si>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</si>
  <si>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</si>
  <si>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</si>
  <si>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</si>
  <si>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</si>
  <si>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</si>
  <si>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</si>
  <si>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</si>
  <si>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</si>
  <si>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</si>
  <si>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</si>
  <si>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</si>
  <si>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</si>
  <si>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</si>
  <si>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</si>
  <si>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</si>
  <si>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</si>
  <si>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</si>
  <si>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</si>
  <si>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</si>
  <si>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</si>
  <si>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</si>
  <si>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</si>
  <si>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</si>
  <si>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</si>
  <si>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</si>
  <si>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</si>
  <si>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</si>
  <si>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</si>
  <si>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</si>
  <si>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</si>
  <si>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</si>
  <si>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</si>
  <si>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</si>
  <si>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</si>
  <si>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</si>
  <si>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</si>
  <si>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</si>
  <si>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</si>
  <si>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</si>
  <si>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</si>
  <si>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</si>
  <si>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</si>
  <si>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</si>
  <si>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</si>
  <si>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</si>
  <si>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</si>
  <si>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</si>
  <si>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</si>
  <si>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</si>
  <si>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</si>
  <si>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</si>
  <si>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</si>
  <si>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</si>
  <si>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</si>
  <si>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</si>
  <si>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HECOR GUILLEN</t>
  </si>
  <si>
    <t>SHAUN WILLIAMS</t>
  </si>
  <si>
    <t>TONY SHOREY</t>
  </si>
  <si>
    <t>MICHAEL HANSON-MORRIS</t>
  </si>
  <si>
    <t>HAZEL GRAY</t>
  </si>
  <si>
    <t>MATT WALTON</t>
  </si>
  <si>
    <t>C:\Users\hector.guillen\EUROLEAGUE\EB STATS - Documents\General\SEASON 2025-26\Reports\Eurocup</t>
  </si>
  <si>
    <t>C:\Users\hector.guillen\EUROLEAGUE\EB STATS - Documents\General\SEASON 2025-26\Reports\Eurocup\PDF</t>
  </si>
  <si>
    <t>9:34</t>
  </si>
  <si>
    <t>8:49</t>
  </si>
  <si>
    <t>8:41</t>
  </si>
  <si>
    <t>2:12</t>
  </si>
  <si>
    <t>Very good job!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</si>
</sst>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03_026_LLI_TRN_U2025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45946.8125</v>
      </c>
      <c r="C3" s="178"/>
      <c r="D3" s="39">
        <v>597</v>
      </c>
      <c r="E3" s="29"/>
      <c r="F3" s="26">
        <f>SUBTOTAL(3,I17:I106)</f>
        <v>4</v>
      </c>
      <c r="G3" s="27">
        <f>IF(OR(D3="",D3=0),"",F3/D3)</f>
        <v>6.7001675041876048E-3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742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6.7001675041876048E-3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Dolomiti Energia Trento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0.67001675041876052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3.1700167504187604</v>
      </c>
      <c r="N7" s="58"/>
      <c r="O7" s="2"/>
      <c r="P7" s="2"/>
      <c r="Q7" s="86">
        <f>SUM(R5,S5,AC16)</f>
        <v>3.1700167504187604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3.1700167504187604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26</v>
      </c>
      <c r="D17" s="32" t="s">
        <v>757</v>
      </c>
      <c r="E17" s="33">
        <v>3</v>
      </c>
      <c r="F17" s="36">
        <v>57</v>
      </c>
      <c r="G17" s="36">
        <v>24</v>
      </c>
      <c r="H17" s="38" t="str">
        <f>IF(I17="","",$I$14)</f>
        <v>SCOUTING</v>
      </c>
      <c r="I17" s="34">
        <v>306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26</v>
      </c>
      <c r="D18" s="32" t="s">
        <v>758</v>
      </c>
      <c r="E18" s="33">
        <v>3</v>
      </c>
      <c r="F18" s="36">
        <v>57</v>
      </c>
      <c r="G18" s="36">
        <v>24</v>
      </c>
      <c r="H18" s="38" t="str">
        <f t="shared" ref="H18:H81" si="8">IF(I18="","",$I$14)</f>
        <v>SCOUTING</v>
      </c>
      <c r="I18" s="34">
        <v>315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26</v>
      </c>
      <c r="D19" s="32" t="s">
        <v>759</v>
      </c>
      <c r="E19" s="33">
        <v>3</v>
      </c>
      <c r="F19" s="36">
        <v>59</v>
      </c>
      <c r="G19" s="36">
        <v>24</v>
      </c>
      <c r="H19" s="38" t="str">
        <f t="shared" si="8"/>
        <v>SCOUTING</v>
      </c>
      <c r="I19" s="34">
        <v>318</v>
      </c>
      <c r="J19" s="13" t="s">
        <v>4</v>
      </c>
      <c r="K19" s="13" t="s">
        <v>63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26</v>
      </c>
      <c r="D20" s="32" t="s">
        <v>760</v>
      </c>
      <c r="E20" s="33">
        <v>3</v>
      </c>
      <c r="F20" s="36">
        <v>68</v>
      </c>
      <c r="G20" s="36">
        <v>41</v>
      </c>
      <c r="H20" s="38" t="str">
        <f t="shared" si="8"/>
        <v>SCOUTING</v>
      </c>
      <c r="I20" s="34">
        <v>415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"U2025026"</v>
      </c>
      <c r="F3" s="45" t="str">
        <f t="shared" ref="F3:F16" si="0">""""&amp;B3&amp;"""" &amp; " : " &amp;C3&amp;","</f>
        <v>"name" : "U2025026",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"U026"</v>
      </c>
      <c r="F4" s="45" t="str">
        <f t="shared" si="0"/>
        <v>"cod" : "U026",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026</v>
      </c>
      <c r="F6" s="45" t="str">
        <f t="shared" si="0"/>
        <v>"number" : 026,</v>
      </c>
    </row>
    <row r="7" spans="2:6" x14ac:dyDescent="0.25">
      <c r="B7" s="43" t="s">
        <v>116</v>
      </c>
      <c r="C7" s="43" t="str">
        <f ca="1">""""&amp;TEXT('SCOUT &amp; LOGISTICS'!B3,"dd/mm/aaaa")&amp;""""</f>
        <v>"16/10/Thursday"</v>
      </c>
      <c r="F7" s="45" t="str">
        <f t="shared" ca="1" si="0"/>
        <v>"date" : "16/10/Thursday",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"SHAUN WILLIAMS"</v>
      </c>
      <c r="F10" s="45" t="str">
        <f t="shared" si="0"/>
        <v>"Data_entry" : "SHAUN WILLIAMS",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"TONY SHOREY"</v>
      </c>
      <c r="F11" s="45" t="str">
        <f t="shared" si="0"/>
        <v>"Caller_1" : "TONY SHOREY",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"MICHAEL HANSON-MORRIS"</v>
      </c>
      <c r="F12" s="45" t="str">
        <f t="shared" si="0"/>
        <v>"Caller_2" : "MICHAEL HANSON-MORRIS",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"HAZEL GRAY"</v>
      </c>
      <c r="F13" s="45" t="str">
        <f t="shared" si="0"/>
        <v>"Timerkeeper" : "HAZEL GRAY",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"MATT WALTON"</v>
      </c>
      <c r="F14" s="45" t="str">
        <f t="shared" si="0"/>
        <v>"Shotclock" : "MATT WALTON",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"HECOR GUILLEN"</v>
      </c>
      <c r="F16" s="45" t="str">
        <f t="shared" si="0"/>
        <v>"Live_Game_Manager" : "HECOR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597</v>
      </c>
      <c r="F25" s="45" t="str">
        <f t="shared" ref="F25:F48" si="1">""""&amp;C25&amp;"""" &amp; " : " &amp;D25&amp;","</f>
        <v>"total_actions" : 597,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03_026_LLI_TRN_U2025</v>
      </c>
      <c r="F52" s="45" t="str">
        <f>""""&amp;B52&amp;"""" &amp; " : " &amp;C52</f>
        <v>"result" : 03_026_LLI_TRN_U2025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U026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16/10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Dolomiti Energia Trento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SHAUN WILLIAMS</v>
      </c>
      <c r="C8" s="201"/>
      <c r="D8" s="201"/>
      <c r="E8" s="201"/>
      <c r="F8" s="201"/>
      <c r="G8" s="201" t="str">
        <f>IF('SCOUT &amp; LOGISTICS'!D7="","",'SCOUT &amp; LOGISTICS'!D7)</f>
        <v>TONY SHOREY</v>
      </c>
      <c r="H8" s="201"/>
      <c r="I8" s="201"/>
      <c r="J8" s="201"/>
      <c r="K8" s="201"/>
      <c r="L8" s="201" t="str">
        <f>IF('SCOUT &amp; LOGISTICS'!D8="","",'SCOUT &amp; LOGISTICS'!D8)</f>
        <v>MICHAEL HANSON-MORRIS</v>
      </c>
      <c r="M8" s="201"/>
      <c r="N8" s="201"/>
      <c r="O8" s="201"/>
      <c r="P8" s="201"/>
      <c r="Q8" s="201" t="str">
        <f>IF('SCOUT &amp; LOGISTICS'!D9="","",'SCOUT &amp; LOGISTICS'!D9)</f>
        <v>HAZEL GRAY</v>
      </c>
      <c r="R8" s="201"/>
      <c r="S8" s="201"/>
      <c r="T8" s="201"/>
      <c r="U8" s="201"/>
      <c r="V8" s="201" t="str">
        <f>IF('SCOUT &amp; LOGISTICS'!D10="","",'SCOUT &amp; LOGISTICS'!D10)</f>
        <v>MATT WALTON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597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6.7001675041876048E-3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 Keep it up!!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3.1700167504187604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E4B8A7F-A911-411B-93D3-2B609349280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2025-10-17T18:23:14Z</cp:lastPrinted>
  <dcterms:created xsi:type="dcterms:W3CDTF">2023-09-19T19:50:35Z</dcterms:created>
  <dcterms:modified xsi:type="dcterms:W3CDTF">2025-10-17T18:23:18Z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