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D8BF67B5-20E0-41F1-80E3-D039CC4A75B8}" xr6:coauthVersionLast="47" xr6:coauthVersionMax="47" xr10:uidLastSave="{154BF434-AC13-434E-8C78-5ABFA3472FD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<sst xmlns="http://schemas.openxmlformats.org/spreadsheetml/2006/main" count="3263" uniqueCount="761">
  <si>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</si>
  <si>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</si>
  <si>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</si>
  <si>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</si>
  <si>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</si>
  <si>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</si>
  <si>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</si>
  <si>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</si>
  <si>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</si>
  <si>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</si>
  <si>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</si>
  <si>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</si>
  <si>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</si>
  <si>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</si>
  <si>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</si>
  <si>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</si>
  <si>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</si>
  <si>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</si>
  <si>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</si>
  <si>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</si>
  <si>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</si>
  <si>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</si>
  <si>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</si>
  <si>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</si>
  <si>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</si>
  <si>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</si>
  <si>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</si>
  <si>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</si>
  <si>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</si>
  <si>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</si>
  <si>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</si>
  <si>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</si>
  <si>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</si>
  <si>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</si>
  <si>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</si>
  <si>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</si>
  <si>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</si>
  <si>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</si>
  <si>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</si>
  <si>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</si>
  <si>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</si>
  <si>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</si>
  <si>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</si>
  <si>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</si>
  <si>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</si>
  <si>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</si>
  <si>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</si>
  <si>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</si>
  <si>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</si>
  <si>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</si>
  <si>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</si>
  <si>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</si>
  <si>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</si>
  <si>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</si>
  <si>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</si>
  <si>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</si>
  <si>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</si>
  <si>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</si>
  <si>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</si>
  <si>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</si>
  <si>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</si>
  <si>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</si>
  <si>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</si>
  <si>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</si>
  <si>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</si>
  <si>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</si>
  <si>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</si>
  <si>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</si>
  <si>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</si>
  <si>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</si>
  <si>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</si>
  <si>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</si>
  <si>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</si>
  <si>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</si>
  <si>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</si>
  <si>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</si>
  <si>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</si>
  <si>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</si>
  <si>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</si>
  <si>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</si>
  <si>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</si>
  <si>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</si>
  <si>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</si>
  <si>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</si>
  <si>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</si>
  <si>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</si>
  <si>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</si>
  <si>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</si>
  <si>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</si>
  <si>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</si>
  <si>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</si>
  <si>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</si>
  <si>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</si>
  <si>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</si>
  <si>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</si>
  <si>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</si>
  <si>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</si>
  <si>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</si>
  <si>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</si>
  <si>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</si>
  <si>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</si>
  <si>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</si>
  <si>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</si>
  <si>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</si>
  <si>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</si>
  <si>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</si>
  <si>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</si>
  <si>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</si>
  <si>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</si>
  <si>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</si>
  <si>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</si>
  <si>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</si>
  <si>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</si>
  <si>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</si>
  <si>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</si>
  <si>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</si>
  <si>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</si>
  <si>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</si>
  <si>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</si>
  <si>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</si>
  <si>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</si>
  <si>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</si>
  <si>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</si>
  <si>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</si>
  <si>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</si>
  <si>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</si>
  <si>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</si>
  <si>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</si>
  <si>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</si>
  <si>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</si>
  <si>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</si>
  <si>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</si>
  <si>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</si>
  <si>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</si>
  <si>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</si>
  <si>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</si>
  <si>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</si>
  <si>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</si>
  <si>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</si>
  <si>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</si>
  <si>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</si>
  <si>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</si>
  <si>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</si>
  <si>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</si>
  <si>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</si>
  <si>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</si>
  <si>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</si>
  <si>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</si>
  <si>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</si>
  <si>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</si>
  <si>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</si>
  <si>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</si>
  <si>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</si>
  <si>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</si>
  <si>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</si>
  <si>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</si>
  <si>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</si>
  <si>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</si>
  <si>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</si>
  <si>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</si>
  <si>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</si>
  <si>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</si>
  <si>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</si>
  <si>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</si>
  <si>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</si>
  <si>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</si>
  <si>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</si>
  <si>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</si>
  <si>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</si>
  <si>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</si>
  <si>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</si>
  <si>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</si>
  <si>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</si>
  <si>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</si>
  <si>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</si>
  <si>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</si>
  <si>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</si>
  <si>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</si>
  <si>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</si>
  <si>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</si>
  <si>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</si>
  <si>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</si>
  <si>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</si>
  <si>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</si>
  <si>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</si>
  <si>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</si>
  <si>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</si>
  <si>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</si>
  <si>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</si>
  <si>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</si>
  <si>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</si>
  <si>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</si>
  <si>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</si>
  <si>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</si>
  <si>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</si>
  <si>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</si>
  <si>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</si>
  <si>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</si>
  <si>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</si>
  <si>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</si>
  <si>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</si>
  <si>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</si>
  <si>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</si>
  <si>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</si>
  <si>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</si>
  <si>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</si>
  <si>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</si>
  <si>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</si>
  <si>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</si>
  <si>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</si>
  <si>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</si>
  <si>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</si>
  <si>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</si>
  <si>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</si>
  <si>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</si>
  <si>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</si>
  <si>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</si>
  <si>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</si>
  <si>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</si>
  <si>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</si>
  <si>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</si>
  <si>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</si>
  <si>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</si>
  <si>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</si>
  <si>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</si>
  <si>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</si>
  <si>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</si>
  <si>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</si>
  <si>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</si>
  <si>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</si>
  <si>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</si>
  <si>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</si>
  <si>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</si>
  <si>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</si>
  <si>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</si>
  <si>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</si>
  <si>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</si>
  <si>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</si>
  <si>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</si>
  <si>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</si>
  <si>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</si>
  <si>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</si>
  <si>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</si>
  <si>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</si>
  <si>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</si>
  <si>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</si>
  <si>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</si>
  <si>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</si>
  <si>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</si>
  <si>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</si>
  <si>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</si>
  <si>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</si>
  <si>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</si>
  <si>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</si>
  <si>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</si>
  <si>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</si>
  <si>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</si>
  <si>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</si>
  <si>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</si>
  <si>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</si>
  <si>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</si>
  <si>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</si>
  <si>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</si>
  <si>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</si>
  <si>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</si>
  <si>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</si>
  <si>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</si>
  <si>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</si>
  <si>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</si>
  <si>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</si>
  <si>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</si>
  <si>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</si>
  <si>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</si>
  <si>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</si>
  <si>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</si>
  <si>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</si>
  <si>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</si>
  <si>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</si>
  <si>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</si>
  <si>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</si>
  <si>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</si>
  <si>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</si>
  <si>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</si>
  <si>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</si>
  <si>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</si>
  <si>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</si>
  <si>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</si>
  <si>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</si>
  <si>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</si>
  <si>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</si>
  <si>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</si>
  <si>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</si>
  <si>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</si>
  <si>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</si>
  <si>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</si>
  <si>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</si>
  <si>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</si>
  <si>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</si>
  <si>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</si>
  <si>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</si>
  <si>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</si>
  <si>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</si>
  <si>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</si>
  <si>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</si>
  <si>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</si>
  <si>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</si>
  <si>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</si>
  <si>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</si>
  <si>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</si>
  <si>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</si>
  <si>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</si>
  <si>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</si>
  <si>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</si>
  <si>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</si>
  <si>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</si>
  <si>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</si>
  <si>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</si>
  <si>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</si>
  <si>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</si>
  <si>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</si>
  <si>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</si>
  <si>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</si>
  <si>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</si>
  <si>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</si>
  <si>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</si>
  <si>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</si>
  <si>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</si>
  <si>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</si>
  <si>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</si>
  <si>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</si>
  <si>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</si>
  <si>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</si>
  <si>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</si>
  <si>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</si>
  <si>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</si>
  <si>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</si>
  <si>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</si>
  <si>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</si>
  <si>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</si>
  <si>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</si>
  <si>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</si>
  <si>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</si>
  <si>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</si>
  <si>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</si>
  <si>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</si>
  <si>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</si>
  <si>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</si>
  <si>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</si>
  <si>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</si>
  <si>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</si>
  <si>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</si>
  <si>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</si>
  <si>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</si>
  <si>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</si>
  <si>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</si>
  <si>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</si>
  <si>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</si>
  <si>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</si>
  <si>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</si>
  <si>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</si>
  <si>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</si>
  <si>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</si>
  <si>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</si>
  <si>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</si>
  <si>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</si>
  <si>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</si>
  <si>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</si>
  <si>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</si>
  <si>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</si>
  <si>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</si>
  <si>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</si>
  <si>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</si>
  <si>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</si>
  <si>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</si>
  <si>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</si>
  <si>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</si>
  <si>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</si>
  <si>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</si>
  <si>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</si>
  <si>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</si>
  <si>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</si>
  <si>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</si>
  <si>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</si>
  <si>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</si>
  <si>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</si>
  <si>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</si>
  <si>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</si>
  <si>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</si>
  <si>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</si>
  <si>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</si>
  <si>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</si>
  <si>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</si>
  <si>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</si>
  <si>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</si>
  <si>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</si>
  <si>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</si>
  <si>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</si>
  <si>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</si>
  <si>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</si>
  <si>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</si>
  <si>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</si>
  <si>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</si>
  <si>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</si>
  <si>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</si>
  <si>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</si>
  <si>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</si>
  <si>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</si>
  <si>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</si>
  <si>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</si>
  <si>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</si>
  <si>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</si>
  <si>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</si>
  <si>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</si>
  <si>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</si>
  <si>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</si>
  <si>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</si>
  <si>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</si>
  <si>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</si>
  <si>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</si>
  <si>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</si>
  <si>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</si>
  <si>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</si>
  <si>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</si>
  <si>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</si>
  <si>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</si>
  <si>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</si>
  <si>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</si>
  <si>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</si>
  <si>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</si>
  <si>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</si>
  <si>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</si>
  <si>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</si>
  <si>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</si>
  <si>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</si>
  <si>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</si>
  <si>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</si>
  <si>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</si>
  <si>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</si>
  <si>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</si>
  <si>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</si>
  <si>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</si>
  <si>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</si>
  <si>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</si>
  <si>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</si>
  <si>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</si>
  <si>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</si>
  <si>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</si>
  <si>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</si>
  <si>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</si>
  <si>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</si>
  <si>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</si>
  <si>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</si>
  <si>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</si>
  <si>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</si>
  <si>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</si>
  <si>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</si>
  <si>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</si>
  <si>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</si>
  <si>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</si>
  <si>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</si>
  <si>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</si>
  <si>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</si>
  <si>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</si>
  <si>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</si>
  <si>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</si>
  <si>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</si>
  <si>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</si>
  <si>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</si>
  <si>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</si>
  <si>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</si>
  <si>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</si>
  <si>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</si>
  <si>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</si>
  <si>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</si>
  <si>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</si>
  <si>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</si>
  <si>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</si>
  <si>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</si>
  <si>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</si>
  <si>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</si>
  <si>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</si>
  <si>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</si>
  <si>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</si>
  <si>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</si>
  <si>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</si>
  <si>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</si>
  <si>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</si>
  <si>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</si>
  <si>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</si>
  <si>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</si>
  <si>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</si>
  <si>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</si>
  <si>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</si>
  <si>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</si>
  <si>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</si>
  <si>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</si>
  <si>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</si>
  <si>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</si>
  <si>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</si>
  <si>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</si>
  <si>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</si>
  <si>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</si>
  <si>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</si>
  <si>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</si>
  <si>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</si>
  <si>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</si>
  <si>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</si>
  <si>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</si>
  <si>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</si>
  <si>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</si>
  <si>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</si>
  <si>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</si>
  <si>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</si>
  <si>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</si>
  <si>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</si>
  <si>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</si>
  <si>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</si>
  <si>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</si>
  <si>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</si>
  <si>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</si>
  <si>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</si>
  <si>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</si>
  <si>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</si>
  <si>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</si>
  <si>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</si>
  <si>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</si>
  <si>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</si>
  <si>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</si>
  <si>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</si>
  <si>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</si>
  <si>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</si>
  <si>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</si>
  <si>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</si>
  <si>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</si>
  <si>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</si>
  <si>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</si>
  <si>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</si>
  <si>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</si>
  <si>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</si>
  <si>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</si>
  <si>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</si>
  <si>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</si>
  <si>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</si>
  <si>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</si>
  <si>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</si>
  <si>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</si>
  <si>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</si>
  <si>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</si>
  <si>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</si>
  <si>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</si>
  <si>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</si>
  <si>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</si>
  <si>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</si>
  <si>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</si>
  <si>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</si>
  <si>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</si>
  <si>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</si>
  <si>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</si>
  <si>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</si>
  <si>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</si>
  <si>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</si>
  <si>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</si>
  <si>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</si>
  <si>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</si>
  <si>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</si>
  <si>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</si>
  <si>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</si>
  <si>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</si>
  <si>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</si>
  <si>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</si>
  <si>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</si>
  <si>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</si>
  <si>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</si>
  <si>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</si>
  <si>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</si>
  <si>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</si>
  <si>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</si>
  <si>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</si>
  <si>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</si>
  <si>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</si>
  <si>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</si>
  <si>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</si>
  <si>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</si>
  <si>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</si>
  <si>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</si>
  <si>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</si>
  <si>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</si>
  <si>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</si>
  <si>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</si>
  <si>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</si>
  <si>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</si>
  <si>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</si>
  <si>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</si>
  <si>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</si>
  <si>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</si>
  <si>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</si>
  <si>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</si>
  <si>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</si>
  <si>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</si>
  <si>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</si>
  <si>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</si>
  <si>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</si>
  <si>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</si>
  <si>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</si>
  <si>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</si>
  <si>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</si>
  <si>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</si>
  <si>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</si>
  <si>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</si>
  <si>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</si>
  <si>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</si>
  <si>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</si>
  <si>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</si>
  <si>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</si>
  <si>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</si>
  <si>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</si>
  <si>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</si>
  <si>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</si>
  <si>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</si>
  <si>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</si>
  <si>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</si>
  <si>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</si>
  <si>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</si>
  <si>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</si>
  <si>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</si>
  <si>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</si>
  <si>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</si>
  <si>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</si>
  <si>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</si>
  <si>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</si>
  <si>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</si>
  <si>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</si>
  <si>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</si>
  <si>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</si>
  <si>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</si>
  <si>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</si>
  <si>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</si>
  <si>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</si>
  <si>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</si>
  <si>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</si>
  <si>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</si>
  <si>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</si>
  <si>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</si>
  <si>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</si>
  <si>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</si>
  <si>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</si>
  <si>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</si>
  <si>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</si>
  <si>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</si>
  <si>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</si>
  <si>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</si>
  <si>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</si>
  <si>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</si>
  <si>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</si>
  <si>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</si>
  <si>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</si>
  <si>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</si>
  <si>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</si>
  <si>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</si>
  <si>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</si>
  <si>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</si>
  <si>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</si>
  <si>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</si>
  <si>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</si>
  <si>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</si>
  <si>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</si>
  <si>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</si>
  <si>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</si>
  <si>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</si>
  <si>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</si>
  <si>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</si>
  <si>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</si>
  <si>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</si>
  <si>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</si>
  <si>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</si>
  <si>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</si>
  <si>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</si>
  <si>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</si>
  <si>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</si>
  <si>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</si>
  <si>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</si>
  <si>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</si>
  <si>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</si>
  <si>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</si>
  <si>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</si>
  <si>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</si>
  <si>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</si>
  <si>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</si>
  <si>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</si>
  <si>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</si>
  <si>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</si>
  <si>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</si>
  <si>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</si>
  <si>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</si>
  <si>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</si>
  <si>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</si>
  <si>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</si>
  <si>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</si>
  <si>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</si>
  <si>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</si>
  <si>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</si>
  <si>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</si>
  <si>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</si>
  <si>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</si>
  <si>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</si>
  <si>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</si>
  <si>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</si>
  <si>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</si>
  <si>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</si>
  <si>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</si>
  <si>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</si>
  <si>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</si>
  <si>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</si>
  <si>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</si>
  <si>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</si>
  <si>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</si>
  <si>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</si>
  <si>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</si>
  <si>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</si>
  <si>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</si>
  <si>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</si>
  <si>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</si>
  <si>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</si>
  <si>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</si>
  <si>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</si>
  <si>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</si>
  <si>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</si>
  <si>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</si>
  <si>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</si>
  <si>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</si>
  <si>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</si>
  <si>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</si>
  <si>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</si>
  <si>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</si>
  <si>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</si>
  <si>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</si>
  <si>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</si>
  <si>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</si>
  <si>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</si>
  <si>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</si>
  <si>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</si>
  <si>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</si>
  <si>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</si>
  <si>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</si>
  <si>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</si>
  <si>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</si>
  <si>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</si>
  <si>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</si>
  <si>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</si>
  <si>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</si>
  <si>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ANA ANDREJIC</t>
  </si>
  <si>
    <t>OGNJEN MARINOVIC</t>
  </si>
  <si>
    <t>SONJA STANKOVIC</t>
  </si>
  <si>
    <t>IVANA PRPA</t>
  </si>
  <si>
    <t>BILJANA KOSTRES</t>
  </si>
  <si>
    <t>XAVI MATEU</t>
  </si>
  <si>
    <t>02:58</t>
  </si>
  <si>
    <t>03:58</t>
  </si>
  <si>
    <t>09:18</t>
  </si>
  <si>
    <t>Excellent job! There are plays where a player receives the ball with no defender, makes a small fake, the defender arrives late, and the player drives to the basket. If he scores, we should award an assist on these plays. It's a different case if the defender manages to establish good defensive position.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</si>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</sst>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03_026_PAR_IST_E2025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45939.854166666664</v>
      </c>
      <c r="C3" s="157"/>
      <c r="D3" s="39">
        <v>558</v>
      </c>
      <c r="E3" s="29"/>
      <c r="F3" s="26">
        <f>SUBTOTAL(3,I17:I106)</f>
        <v>4</v>
      </c>
      <c r="G3" s="27">
        <f>IF(OR(D3="",D3=0),"",F3/D3)</f>
        <v>7.1684587813620072E-3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7.1684587813620072E-3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1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0.71684587813620071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10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12.216845878136201</v>
      </c>
      <c r="N7" s="58"/>
      <c r="O7" s="2"/>
      <c r="P7" s="2"/>
      <c r="Q7" s="86">
        <f>SUM(R5,S5,AC16)</f>
        <v>12.216845878136201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12.216845878136201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</v>
      </c>
      <c r="D17" s="32" t="s">
        <v>756</v>
      </c>
      <c r="E17" s="33">
        <v>1</v>
      </c>
      <c r="F17" s="36">
        <v>21</v>
      </c>
      <c r="G17" s="36">
        <v>16</v>
      </c>
      <c r="H17" s="38" t="str">
        <f>IF(I17="","",$I$14)</f>
        <v>SCOUTING</v>
      </c>
      <c r="I17" s="34">
        <v>85</v>
      </c>
      <c r="J17" s="13" t="s">
        <v>3</v>
      </c>
      <c r="K17" s="13" t="s">
        <v>62</v>
      </c>
      <c r="L17" s="13" t="s">
        <v>36</v>
      </c>
      <c r="M17" s="13" t="s">
        <v>36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</v>
      </c>
      <c r="D18" s="32" t="s">
        <v>757</v>
      </c>
      <c r="E18" s="33">
        <v>2</v>
      </c>
      <c r="F18" s="36">
        <v>49</v>
      </c>
      <c r="G18" s="36">
        <v>36</v>
      </c>
      <c r="H18" s="38" t="str">
        <f t="shared" ref="H18:H81" si="8">IF(I18="","",$I$14)</f>
        <v>SCOUTING</v>
      </c>
      <c r="I18" s="34">
        <v>239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</v>
      </c>
      <c r="D19" s="32" t="s">
        <v>758</v>
      </c>
      <c r="E19" s="33">
        <v>4</v>
      </c>
      <c r="F19" s="36">
        <v>73</v>
      </c>
      <c r="G19" s="36">
        <v>70</v>
      </c>
      <c r="H19" s="38" t="str">
        <f t="shared" si="8"/>
        <v>SCOUTING</v>
      </c>
      <c r="I19" s="34">
        <v>441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26</v>
      </c>
      <c r="D20" s="32"/>
      <c r="E20" s="33"/>
      <c r="F20" s="36"/>
      <c r="G20" s="36"/>
      <c r="H20" s="38" t="str">
        <f t="shared" si="8"/>
        <v>SCOUTING</v>
      </c>
      <c r="I20" s="34">
        <v>492</v>
      </c>
      <c r="J20" s="13" t="s">
        <v>4</v>
      </c>
      <c r="K20" s="13" t="s">
        <v>63</v>
      </c>
      <c r="L20" s="13" t="s">
        <v>5</v>
      </c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1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"E2025026"</v>
      </c>
      <c r="F3" s="45" t="str">
        <f t="shared" ref="F3:F16" si="0">""""&amp;B3&amp;"""" &amp; " : " &amp;C3&amp;","</f>
        <v>"name" : "E2025026",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"E026"</v>
      </c>
      <c r="F4" s="45" t="str">
        <f t="shared" si="0"/>
        <v>"cod" : "E026",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026</v>
      </c>
      <c r="F6" s="45" t="str">
        <f t="shared" si="0"/>
        <v>"number" : 026,</v>
      </c>
    </row>
    <row r="7" spans="2:6" x14ac:dyDescent="0.25">
      <c r="B7" s="43" t="s">
        <v>116</v>
      </c>
      <c r="C7" s="43" t="str">
        <f ca="1">""""&amp;TEXT('SCOUT &amp; LOGISTICS'!B3,"dd/mm/aaaa")&amp;""""</f>
        <v>"09/10/Thursday"</v>
      </c>
      <c r="F7" s="45" t="str">
        <f t="shared" ca="1" si="0"/>
        <v>"date" : "09/10/Thursday",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"OGNJEN MARINOVIC"</v>
      </c>
      <c r="F12" s="45" t="str">
        <f t="shared" si="0"/>
        <v>"Caller_2" : "OGNJEN MARINOVIC",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558</v>
      </c>
      <c r="F25" s="45" t="str">
        <f t="shared" ref="F25:F48" si="1">""""&amp;C25&amp;"""" &amp; " : " &amp;D25&amp;","</f>
        <v>"total_actions" : 558,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There are plays where a player receives the ball with no defender, makes a small fake, the defender arrives late, and the player drives to the basket. If he scores, we should award an assist on these plays. It's a different case if the defender manages to establish good defensive position."</v>
      </c>
      <c r="F51" s="45" t="str">
        <f>""""&amp;B51&amp;"""" &amp; " : " &amp;C51&amp;","</f>
        <v>"comments" : "Excellent job! There are plays where a player receives the ball with no defender, makes a small fake, the defender arrives late, and the player drives to the basket. If he scores, we should award an assist on these plays. It's a different case if the defender manages to establish good defensive position.",</v>
      </c>
    </row>
    <row r="52" spans="2:6" x14ac:dyDescent="0.25">
      <c r="B52" s="43" t="s">
        <v>153</v>
      </c>
      <c r="C52" s="43" t="str">
        <f>TEXT('SCOUT &amp; LOGISTICS'!F1,"0,0")</f>
        <v>03_026_PAR_IST_E2025</v>
      </c>
      <c r="F52" s="45" t="str">
        <f>""""&amp;B52&amp;"""" &amp; " : " &amp;C52</f>
        <v>"result" : 03_026_PAR_IST_E2025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E026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OGNJEN MARINOVIC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7.1684587813620072E-3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1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There are plays where a player receives the ball with no defender, makes a small fake, the defender arrives late, and the player drives to the basket. If he scores, we should award an assist on these plays. It's a different case if the defender manages to establish good defensive position.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12.216845878136201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B1AB29-A817-4B9A-AB9C-895B849AE88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2025-10-10T14:56:20Z</cp:lastPrinted>
  <dcterms:created xsi:type="dcterms:W3CDTF">2023-09-19T19:50:35Z</dcterms:created>
  <dcterms:modified xsi:type="dcterms:W3CDTF">2025-10-10T14:58:27Z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