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2" documentId="8_{AFF1F8F8-4833-4C42-88FA-6F2098147D3D}" xr6:coauthVersionLast="47" xr6:coauthVersionMax="47" xr10:uidLastSave="{13476558-7121-44A7-A908-1C5B717E333A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<sst xmlns="http://schemas.openxmlformats.org/spreadsheetml/2006/main" count="3276" uniqueCount="765">
  <si>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</si>
  <si>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</si>
  <si>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</si>
  <si>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</si>
  <si>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</si>
  <si>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</si>
  <si>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</si>
  <si>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</si>
  <si>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</si>
  <si>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</si>
  <si>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</si>
  <si>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</si>
  <si>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</si>
  <si>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</si>
  <si>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</si>
  <si>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</si>
  <si>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</si>
  <si>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</si>
  <si>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</si>
  <si>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</si>
  <si>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</si>
  <si>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</si>
  <si>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</si>
  <si>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</si>
  <si>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</si>
  <si>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</si>
  <si>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</si>
  <si>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</si>
  <si>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</si>
  <si>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</si>
  <si>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</si>
  <si>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</si>
  <si>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</si>
  <si>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</si>
  <si>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</si>
  <si>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</si>
  <si>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</si>
  <si>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</si>
  <si>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</si>
  <si>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</si>
  <si>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</si>
  <si>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</si>
  <si>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</si>
  <si>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</si>
  <si>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</si>
  <si>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</si>
  <si>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</si>
  <si>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</si>
  <si>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</si>
  <si>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</si>
  <si>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</si>
  <si>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</si>
  <si>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</si>
  <si>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</si>
  <si>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</si>
  <si>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</si>
  <si>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</si>
  <si>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</si>
  <si>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</si>
  <si>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</si>
  <si>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</si>
  <si>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</si>
  <si>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</si>
  <si>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</si>
  <si>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</si>
  <si>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</si>
  <si>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</si>
  <si>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</si>
  <si>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</si>
  <si>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</si>
  <si>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</si>
  <si>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</si>
  <si>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</si>
  <si>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</si>
  <si>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</si>
  <si>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</si>
  <si>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</si>
  <si>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</si>
  <si>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</si>
  <si>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</si>
  <si>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</si>
  <si>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</si>
  <si>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</si>
  <si>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</si>
  <si>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</si>
  <si>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</si>
  <si>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</si>
  <si>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</si>
  <si>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</si>
  <si>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</si>
  <si>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</si>
  <si>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</si>
  <si>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</si>
  <si>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</si>
  <si>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</si>
  <si>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</si>
  <si>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</si>
  <si>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</si>
  <si>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</si>
  <si>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</si>
  <si>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</si>
  <si>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</si>
  <si>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</si>
  <si>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</si>
  <si>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</si>
  <si>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</si>
  <si>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</si>
  <si>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</si>
  <si>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</si>
  <si>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</si>
  <si>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</si>
  <si>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</si>
  <si>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</si>
  <si>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</si>
  <si>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</si>
  <si>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</si>
  <si>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</si>
  <si>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</si>
  <si>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</si>
  <si>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</si>
  <si>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</si>
  <si>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</si>
  <si>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</si>
  <si>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</si>
  <si>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</si>
  <si>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</si>
  <si>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</si>
  <si>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</si>
  <si>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</si>
  <si>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</si>
  <si>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</si>
  <si>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</si>
  <si>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</si>
  <si>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</si>
  <si>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</si>
  <si>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</si>
  <si>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</si>
  <si>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</si>
  <si>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</si>
  <si>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</si>
  <si>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</si>
  <si>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</si>
  <si>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</si>
  <si>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</si>
  <si>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</si>
  <si>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</si>
  <si>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</si>
  <si>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</si>
  <si>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</si>
  <si>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</si>
  <si>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</si>
  <si>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</si>
  <si>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</si>
  <si>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</si>
  <si>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</si>
  <si>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</si>
  <si>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</si>
  <si>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</si>
  <si>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</si>
  <si>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</si>
  <si>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</si>
  <si>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</si>
  <si>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</si>
  <si>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</si>
  <si>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</si>
  <si>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</si>
  <si>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</si>
  <si>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</si>
  <si>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</si>
  <si>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</si>
  <si>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</si>
  <si>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</si>
  <si>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</si>
  <si>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</si>
  <si>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</si>
  <si>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</si>
  <si>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</si>
  <si>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</si>
  <si>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</si>
  <si>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</si>
  <si>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</si>
  <si>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</si>
  <si>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</si>
  <si>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</si>
  <si>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</si>
  <si>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</si>
  <si>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</si>
  <si>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</si>
  <si>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</si>
  <si>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</si>
  <si>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</si>
  <si>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</si>
  <si>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</si>
  <si>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</si>
  <si>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</si>
  <si>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</si>
  <si>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</si>
  <si>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</si>
  <si>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</si>
  <si>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</si>
  <si>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</si>
  <si>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</si>
  <si>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</si>
  <si>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</si>
  <si>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</si>
  <si>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</si>
  <si>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</si>
  <si>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</si>
  <si>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</si>
  <si>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</si>
  <si>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</si>
  <si>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</si>
  <si>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</si>
  <si>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</si>
  <si>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</si>
  <si>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</si>
  <si>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</si>
  <si>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</si>
  <si>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</si>
  <si>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</si>
  <si>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</si>
  <si>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</si>
  <si>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</si>
  <si>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</si>
  <si>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</si>
  <si>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</si>
  <si>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</si>
  <si>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</si>
  <si>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</si>
  <si>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</si>
  <si>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</si>
  <si>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</si>
  <si>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</si>
  <si>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</si>
  <si>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</si>
  <si>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</si>
  <si>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</si>
  <si>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</si>
  <si>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</si>
  <si>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</si>
  <si>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</si>
  <si>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</si>
  <si>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</si>
  <si>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</si>
  <si>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</si>
  <si>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</si>
  <si>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</si>
  <si>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</si>
  <si>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</si>
  <si>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</si>
  <si>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</si>
  <si>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</si>
  <si>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</si>
  <si>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</si>
  <si>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</si>
  <si>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</si>
  <si>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</si>
  <si>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</si>
  <si>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</si>
  <si>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</si>
  <si>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</si>
  <si>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</si>
  <si>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</si>
  <si>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</si>
  <si>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</si>
  <si>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</si>
  <si>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</si>
  <si>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</si>
  <si>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</si>
  <si>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</si>
  <si>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</si>
  <si>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</si>
  <si>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</si>
  <si>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</si>
  <si>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</si>
  <si>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</si>
  <si>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</si>
  <si>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</si>
  <si>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</si>
  <si>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</si>
  <si>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</si>
  <si>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</si>
  <si>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</si>
  <si>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</si>
  <si>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</si>
  <si>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</si>
  <si>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</si>
  <si>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</si>
  <si>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</si>
  <si>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</si>
  <si>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</si>
  <si>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</si>
  <si>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</si>
  <si>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</si>
  <si>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</si>
  <si>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</si>
  <si>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</si>
  <si>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</si>
  <si>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</si>
  <si>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</si>
  <si>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</si>
  <si>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</si>
  <si>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</si>
  <si>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</si>
  <si>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</si>
  <si>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</si>
  <si>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</si>
  <si>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</si>
  <si>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</si>
  <si>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</si>
  <si>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</si>
  <si>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</si>
  <si>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</si>
  <si>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</si>
  <si>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</si>
  <si>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</si>
  <si>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</si>
  <si>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</si>
  <si>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</si>
  <si>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</si>
  <si>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</si>
  <si>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</si>
  <si>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</si>
  <si>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</si>
  <si>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</si>
  <si>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</si>
  <si>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</si>
  <si>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</si>
  <si>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</si>
  <si>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</si>
  <si>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</si>
  <si>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</si>
  <si>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</si>
  <si>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</si>
  <si>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</si>
  <si>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</si>
  <si>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</si>
  <si>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</si>
  <si>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</si>
  <si>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</si>
  <si>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</si>
  <si>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</si>
  <si>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</si>
  <si>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</si>
  <si>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</si>
  <si>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</si>
  <si>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</si>
  <si>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</si>
  <si>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</si>
  <si>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</si>
  <si>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</si>
  <si>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</si>
  <si>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</si>
  <si>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</si>
  <si>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</si>
  <si>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</si>
  <si>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</si>
  <si>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</si>
  <si>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</si>
  <si>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</si>
  <si>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</si>
  <si>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</si>
  <si>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</si>
  <si>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</si>
  <si>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</si>
  <si>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</si>
  <si>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</si>
  <si>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</si>
  <si>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</si>
  <si>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</si>
  <si>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</si>
  <si>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</si>
  <si>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</si>
  <si>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</si>
  <si>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</si>
  <si>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</si>
  <si>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</si>
  <si>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</si>
  <si>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</si>
  <si>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</si>
  <si>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</si>
  <si>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</si>
  <si>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</si>
  <si>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</si>
  <si>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</si>
  <si>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</si>
  <si>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</si>
  <si>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</si>
  <si>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</si>
  <si>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</si>
  <si>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</si>
  <si>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</si>
  <si>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</si>
  <si>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</si>
  <si>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</si>
  <si>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</si>
  <si>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</si>
  <si>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</si>
  <si>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</si>
  <si>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</si>
  <si>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</si>
  <si>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</si>
  <si>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</si>
  <si>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</si>
  <si>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</si>
  <si>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</si>
  <si>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</si>
  <si>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</si>
  <si>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</si>
  <si>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</si>
  <si>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</si>
  <si>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</si>
  <si>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</si>
  <si>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</si>
  <si>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</si>
  <si>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</si>
  <si>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</si>
  <si>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</si>
  <si>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</si>
  <si>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</si>
  <si>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</si>
  <si>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</si>
  <si>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</si>
  <si>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</si>
  <si>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</si>
  <si>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</si>
  <si>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</si>
  <si>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</si>
  <si>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</si>
  <si>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</si>
  <si>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</si>
  <si>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</si>
  <si>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</si>
  <si>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</si>
  <si>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</si>
  <si>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</si>
  <si>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</si>
  <si>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</si>
  <si>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</si>
  <si>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</si>
  <si>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</si>
  <si>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</si>
  <si>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</si>
  <si>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</si>
  <si>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</si>
  <si>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</si>
  <si>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</si>
  <si>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</si>
  <si>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</si>
  <si>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</si>
  <si>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</si>
  <si>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</si>
  <si>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</si>
  <si>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</si>
  <si>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</si>
  <si>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</si>
  <si>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</si>
  <si>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</si>
  <si>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</si>
  <si>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</si>
  <si>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</si>
  <si>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</si>
  <si>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</si>
  <si>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</si>
  <si>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</si>
  <si>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</si>
  <si>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</si>
  <si>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</si>
  <si>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</si>
  <si>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</si>
  <si>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</si>
  <si>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</si>
  <si>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</si>
  <si>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</si>
  <si>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</si>
  <si>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</si>
  <si>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</si>
  <si>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</si>
  <si>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</si>
  <si>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</si>
  <si>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</si>
  <si>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</si>
  <si>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</si>
  <si>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</si>
  <si>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</si>
  <si>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</si>
  <si>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</si>
  <si>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</si>
  <si>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</si>
  <si>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</si>
  <si>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</si>
  <si>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</si>
  <si>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</si>
  <si>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</si>
  <si>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</si>
  <si>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</si>
  <si>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</si>
  <si>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</si>
  <si>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</si>
  <si>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</si>
  <si>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</si>
  <si>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</si>
  <si>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</si>
  <si>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</si>
  <si>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</si>
  <si>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</si>
  <si>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</si>
  <si>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</si>
  <si>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</si>
  <si>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</si>
  <si>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</si>
  <si>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</si>
  <si>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</si>
  <si>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</si>
  <si>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</si>
  <si>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</si>
  <si>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</si>
  <si>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</si>
  <si>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</si>
  <si>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</si>
  <si>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</si>
  <si>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</si>
  <si>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</si>
  <si>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</si>
  <si>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</si>
  <si>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</si>
  <si>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</si>
  <si>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</si>
  <si>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</si>
  <si>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</si>
  <si>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</si>
  <si>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</si>
  <si>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</si>
  <si>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</si>
  <si>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</si>
  <si>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</si>
  <si>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</si>
  <si>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</si>
  <si>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</si>
  <si>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</si>
  <si>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</si>
  <si>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</si>
  <si>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</si>
  <si>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</si>
  <si>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</si>
  <si>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</si>
  <si>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</si>
  <si>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</si>
  <si>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</si>
  <si>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</si>
  <si>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</si>
  <si>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</si>
  <si>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</si>
  <si>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</si>
  <si>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</si>
  <si>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</si>
  <si>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</si>
  <si>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</si>
  <si>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</si>
  <si>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</si>
  <si>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</si>
  <si>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</si>
  <si>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</si>
  <si>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</si>
  <si>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</si>
  <si>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</si>
  <si>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</si>
  <si>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</si>
  <si>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</si>
  <si>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</si>
  <si>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</si>
  <si>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</si>
  <si>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</si>
  <si>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</si>
  <si>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</si>
  <si>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</si>
  <si>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</si>
  <si>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</si>
  <si>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</si>
  <si>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</si>
  <si>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</si>
  <si>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</si>
  <si>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</si>
  <si>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</si>
  <si>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</si>
  <si>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</si>
  <si>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</si>
  <si>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</si>
  <si>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</si>
  <si>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</si>
  <si>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</si>
  <si>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</si>
  <si>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</si>
  <si>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</si>
  <si>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</si>
  <si>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</si>
  <si>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</si>
  <si>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</si>
  <si>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</si>
  <si>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</si>
  <si>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</si>
  <si>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</si>
  <si>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</si>
  <si>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</si>
  <si>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</si>
  <si>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</si>
  <si>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</si>
  <si>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</si>
  <si>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</si>
  <si>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</si>
  <si>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</si>
  <si>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</si>
  <si>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</si>
  <si>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</si>
  <si>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</si>
  <si>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</si>
  <si>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</si>
  <si>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</si>
  <si>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</si>
  <si>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</si>
  <si>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</si>
  <si>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</si>
  <si>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</si>
  <si>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</si>
  <si>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</si>
  <si>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</si>
  <si>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</si>
  <si>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</si>
  <si>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</si>
  <si>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</si>
  <si>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</si>
  <si>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</si>
  <si>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</si>
  <si>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</si>
  <si>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</si>
  <si>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</si>
  <si>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</si>
  <si>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</si>
  <si>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</si>
  <si>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</si>
  <si>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</si>
  <si>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</si>
  <si>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</si>
  <si>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</si>
  <si>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</si>
  <si>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</si>
  <si>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</si>
  <si>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</si>
  <si>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</si>
  <si>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</si>
  <si>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</si>
  <si>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</si>
  <si>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</si>
  <si>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</si>
  <si>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</si>
  <si>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</si>
  <si>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</si>
  <si>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</si>
  <si>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</si>
  <si>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</si>
  <si>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</si>
  <si>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</si>
  <si>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</si>
  <si>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</si>
  <si>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</si>
  <si>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</si>
  <si>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</si>
  <si>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</si>
  <si>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</si>
  <si>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</si>
  <si>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</si>
  <si>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</si>
  <si>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</si>
  <si>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</si>
  <si>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</si>
  <si>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</si>
  <si>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</si>
  <si>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</si>
  <si>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</si>
  <si>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</si>
  <si>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</si>
  <si>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</si>
  <si>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</si>
  <si>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</si>
  <si>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</si>
  <si>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</si>
  <si>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</si>
  <si>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</si>
  <si>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</si>
  <si>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</si>
  <si>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</si>
  <si>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</si>
  <si>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</si>
  <si>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</si>
  <si>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</si>
  <si>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</si>
  <si>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</si>
  <si>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</si>
  <si>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</si>
  <si>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</si>
  <si>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</si>
  <si>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</si>
  <si>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</si>
  <si>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</si>
  <si>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</si>
  <si>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</si>
  <si>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</si>
  <si>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</si>
  <si>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</si>
  <si>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</si>
  <si>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</si>
  <si>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</si>
  <si>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</si>
  <si>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</si>
  <si>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</si>
  <si>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</si>
  <si>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</si>
  <si>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</si>
  <si>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</si>
  <si>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</si>
  <si>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</si>
  <si>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</si>
  <si>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</si>
  <si>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</si>
  <si>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</si>
  <si>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</si>
  <si>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</si>
  <si>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</si>
  <si>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</si>
  <si>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</si>
  <si>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</si>
  <si>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</si>
  <si>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</si>
  <si>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</si>
  <si>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</si>
  <si>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</si>
  <si>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</si>
  <si>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</si>
  <si>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</si>
  <si>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</si>
  <si>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</si>
  <si>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</si>
  <si>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</si>
  <si>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</si>
  <si>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</si>
  <si>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</si>
  <si>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</si>
  <si>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</si>
  <si>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</si>
  <si>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</si>
  <si>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ATHINA KAROUMPALOU</t>
  </si>
  <si>
    <t>IOANNIS TRIANTAFYLLOU</t>
  </si>
  <si>
    <t>EVGENIA MALLOUCHOU</t>
  </si>
  <si>
    <t>VASILEIOS KARAGKIOULES</t>
  </si>
  <si>
    <t>ANASTASIS KALESIORIS</t>
  </si>
  <si>
    <t>ELOI VERGÉ</t>
  </si>
  <si>
    <t>C:\Users\eloi.verge\OneDrive - EUROLEAGUE\Desktop\GAME REPORTS\25-26</t>
  </si>
  <si>
    <t>05:34</t>
  </si>
  <si>
    <t>01:57</t>
  </si>
  <si>
    <t>00:22</t>
  </si>
  <si>
    <t>01:36</t>
  </si>
  <si>
    <t>Was a Def Rebound + TOV</t>
  </si>
  <si>
    <t>00:36</t>
  </si>
  <si>
    <t>04:26</t>
  </si>
  <si>
    <t>Really good job as always!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</si>
</sst>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03_027_OLY_DUB_E2025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45940.885416666664</v>
      </c>
      <c r="C3" s="157"/>
      <c r="D3" s="39">
        <v>556</v>
      </c>
      <c r="E3" s="29"/>
      <c r="F3" s="26">
        <f>SUBTOTAL(3,I17:I106)</f>
        <v>6</v>
      </c>
      <c r="G3" s="27">
        <f>IF(OR(D3="",D3=0),"",F3/D3)</f>
        <v>1.0791366906474821E-2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742</v>
      </c>
      <c r="L4" s="5"/>
      <c r="M4" s="167" t="s">
        <v>764</v>
      </c>
      <c r="N4" s="168"/>
      <c r="O4" s="2"/>
      <c r="P4" s="2"/>
      <c r="Q4" s="84" t="s">
        <v>175</v>
      </c>
      <c r="R4" s="94">
        <f>(IF(G3="",0,G3))</f>
        <v>1.0791366906474821E-2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1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1.079136690647482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1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6.5791366906474824</v>
      </c>
      <c r="N7" s="58"/>
      <c r="O7" s="2"/>
      <c r="P7" s="2"/>
      <c r="Q7" s="86">
        <f>SUM(R5,S5,AC16)</f>
        <v>6.5791366906474824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6.5791366906474824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27</v>
      </c>
      <c r="D17" s="32" t="s">
        <v>757</v>
      </c>
      <c r="E17" s="33">
        <v>1</v>
      </c>
      <c r="F17" s="36">
        <v>10</v>
      </c>
      <c r="G17" s="36">
        <v>9</v>
      </c>
      <c r="H17" s="38" t="str">
        <f>IF(I17="","",$I$14)</f>
        <v>SCOUTING</v>
      </c>
      <c r="I17" s="34">
        <v>43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27</v>
      </c>
      <c r="D18" s="32" t="s">
        <v>758</v>
      </c>
      <c r="E18" s="33">
        <v>1</v>
      </c>
      <c r="F18" s="36">
        <v>20</v>
      </c>
      <c r="G18" s="36">
        <v>15</v>
      </c>
      <c r="H18" s="38" t="str">
        <f t="shared" ref="H18:H81" si="8">IF(I18="","",$I$14)</f>
        <v>SCOUTING</v>
      </c>
      <c r="I18" s="34">
        <v>91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27</v>
      </c>
      <c r="D19" s="32" t="s">
        <v>759</v>
      </c>
      <c r="E19" s="33">
        <v>1</v>
      </c>
      <c r="F19" s="36">
        <v>22</v>
      </c>
      <c r="G19" s="36">
        <v>16</v>
      </c>
      <c r="H19" s="38" t="str">
        <f t="shared" si="8"/>
        <v>SCOUTING</v>
      </c>
      <c r="I19" s="34">
        <v>107</v>
      </c>
      <c r="J19" s="13" t="s">
        <v>4</v>
      </c>
      <c r="K19" s="13" t="s">
        <v>62</v>
      </c>
      <c r="L19" s="13" t="s">
        <v>75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27</v>
      </c>
      <c r="D20" s="32" t="s">
        <v>760</v>
      </c>
      <c r="E20" s="33">
        <v>3</v>
      </c>
      <c r="F20" s="36">
        <v>66</v>
      </c>
      <c r="G20" s="36">
        <v>52</v>
      </c>
      <c r="H20" s="38" t="str">
        <f t="shared" si="8"/>
        <v>SCOUTING</v>
      </c>
      <c r="I20" s="34">
        <v>379</v>
      </c>
      <c r="J20" s="13" t="s">
        <v>4</v>
      </c>
      <c r="K20" s="13" t="s">
        <v>63</v>
      </c>
      <c r="L20" s="13" t="s">
        <v>48</v>
      </c>
      <c r="M20" s="13" t="s">
        <v>28</v>
      </c>
      <c r="N20" s="35" t="s">
        <v>761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27</v>
      </c>
      <c r="D21" s="32" t="s">
        <v>762</v>
      </c>
      <c r="E21" s="33">
        <v>3</v>
      </c>
      <c r="F21" s="36">
        <v>68</v>
      </c>
      <c r="G21" s="36">
        <v>52</v>
      </c>
      <c r="H21" s="38" t="str">
        <f t="shared" si="8"/>
        <v>SCOUTING</v>
      </c>
      <c r="I21" s="34">
        <v>409</v>
      </c>
      <c r="J21" s="13" t="s">
        <v>4</v>
      </c>
      <c r="K21" s="13" t="s">
        <v>62</v>
      </c>
      <c r="L21" s="13" t="s">
        <v>6</v>
      </c>
      <c r="M21" s="13" t="s">
        <v>26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27</v>
      </c>
      <c r="D22" s="32" t="s">
        <v>763</v>
      </c>
      <c r="E22" s="33">
        <v>4</v>
      </c>
      <c r="F22" s="36">
        <v>79</v>
      </c>
      <c r="G22" s="36">
        <v>60</v>
      </c>
      <c r="H22" s="38" t="str">
        <f t="shared" si="8"/>
        <v>SCOUTING</v>
      </c>
      <c r="I22" s="34">
        <v>501</v>
      </c>
      <c r="J22" s="13" t="s">
        <v>4</v>
      </c>
      <c r="K22" s="13" t="s">
        <v>62</v>
      </c>
      <c r="L22" s="13" t="s">
        <v>5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REPORT_E2025027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"E2025027"</v>
      </c>
      <c r="F3" s="45" t="str">
        <f t="shared" ref="F3:F16" si="0">""""&amp;B3&amp;"""" &amp; " : " &amp;C3&amp;","</f>
        <v>"name" : "E2025027",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"E027"</v>
      </c>
      <c r="F4" s="45" t="str">
        <f t="shared" si="0"/>
        <v>"cod" : "E027",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027</v>
      </c>
      <c r="F6" s="45" t="str">
        <f t="shared" si="0"/>
        <v>"number" : 027,</v>
      </c>
    </row>
    <row r="7" spans="2:6" x14ac:dyDescent="0.25">
      <c r="B7" s="43" t="s">
        <v>116</v>
      </c>
      <c r="C7" s="43" t="str">
        <f ca="1">""""&amp;TEXT('SCOUT &amp; LOGISTICS'!B3,"dd/mm/aaaa")&amp;""""</f>
        <v>"10/10/2025"</v>
      </c>
      <c r="F7" s="45" t="str">
        <f t="shared" ca="1" si="0"/>
        <v>"date" : "10/10/2025",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"ATHINA KAROUMPALOU"</v>
      </c>
      <c r="F11" s="45" t="str">
        <f t="shared" si="0"/>
        <v>"Caller_1" : "ATHINA KAROUMPALOU",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"IOANNIS TRIANTAFYLLOU"</v>
      </c>
      <c r="F12" s="45" t="str">
        <f t="shared" si="0"/>
        <v>"Caller_2" : "IOANNIS TRIANTAFYLLOU",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"EVGENIA MALLOUCHOU"</v>
      </c>
      <c r="F13" s="45" t="str">
        <f t="shared" si="0"/>
        <v>"Timerkeeper" : "EVGENIA MALLOUCHOU",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"ANASTASIS KALESIORIS"</v>
      </c>
      <c r="F15" s="45" t="str">
        <f t="shared" si="0"/>
        <v>"IRS" : "ANASTASIS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556</v>
      </c>
      <c r="F25" s="45" t="str">
        <f t="shared" ref="F25:F48" si="1">""""&amp;C25&amp;"""" &amp; " : " &amp;D25&amp;","</f>
        <v>"total_actions" : 556,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"1,1%"</v>
      </c>
      <c r="F27" s="45" t="str">
        <f t="shared" si="1"/>
        <v>"%_corrections" : "1,1%",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 as always! Keep it up!"</v>
      </c>
      <c r="F51" s="45" t="str">
        <f>""""&amp;B51&amp;"""" &amp; " : " &amp;C51&amp;","</f>
        <v>"comments" : "Really good job as always! Keep it up!",</v>
      </c>
    </row>
    <row r="52" spans="2:6" x14ac:dyDescent="0.25">
      <c r="B52" s="43" t="s">
        <v>153</v>
      </c>
      <c r="C52" s="43" t="str">
        <f>TEXT('SCOUT &amp; LOGISTICS'!F1,"0,0")</f>
        <v>03_027_OLY_DUB_E2025</v>
      </c>
      <c r="F52" s="45" t="str">
        <f>""""&amp;B52&amp;"""" &amp; " : " &amp;C52</f>
        <v>"result" : 03_027_OLY_DUB_E2025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E027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10/10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ATHINA KAROUMPALOU</v>
      </c>
      <c r="H8" s="206"/>
      <c r="I8" s="206"/>
      <c r="J8" s="206"/>
      <c r="K8" s="206"/>
      <c r="L8" s="206" t="str">
        <f>IF('SCOUT &amp; LOGISTICS'!D8="","",'SCOUT &amp; LOGISTICS'!D8)</f>
        <v>IOANNIS TRIANTAFYLLOU</v>
      </c>
      <c r="M8" s="206"/>
      <c r="N8" s="206"/>
      <c r="O8" s="206"/>
      <c r="P8" s="206"/>
      <c r="Q8" s="206" t="str">
        <f>IF('SCOUT &amp; LOGISTICS'!D9="","",'SCOUT &amp; LOGISTICS'!D9)</f>
        <v>EVGENIA MALLOUCHOU</v>
      </c>
      <c r="R8" s="206"/>
      <c r="S8" s="206"/>
      <c r="T8" s="206"/>
      <c r="U8" s="206"/>
      <c r="V8" s="206" t="str">
        <f>IF('SCOUT &amp; LOGISTICS'!D10="","",'SCOUT &amp; LOGISTICS'!D10)</f>
        <v>VASILEIOS KARAGKIOULES</v>
      </c>
      <c r="W8" s="206"/>
      <c r="X8" s="206"/>
      <c r="Y8" s="206"/>
      <c r="Z8" s="206"/>
      <c r="AA8" s="206" t="str">
        <f>IF('SCOUT &amp; LOGISTICS'!D11="","",'SCOUT &amp; LOGISTICS'!D11)</f>
        <v>ANASTASIS KALESIORIS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556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1.0791366906474821E-2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Really good job as always!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6.5791366906474824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265D0F6-E0D0-442B-994E-8CDA2C4E001E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2025-10-10T20:33:10Z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