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3" documentId="8_{2FF201D1-7583-4067-92E0-A341450EE735}" xr6:coauthVersionLast="47" xr6:coauthVersionMax="47" xr10:uidLastSave="{78456EE7-8AB9-47C0-A454-38A87A2C1507}"/>
  <bookViews>
    <workbookView xWindow="0" yWindow="1400" windowWidth="19240" windowHeight="106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<sst xmlns="http://schemas.openxmlformats.org/spreadsheetml/2006/main" count="3270" uniqueCount="763">
  <si>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</si>
  <si>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</si>
  <si>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</si>
  <si>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</si>
  <si>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</si>
  <si>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</si>
  <si>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</si>
  <si>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</si>
  <si>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</si>
  <si>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</si>
  <si>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</si>
  <si>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</si>
  <si>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</si>
  <si>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</si>
  <si>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</si>
  <si>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</si>
  <si>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</si>
  <si>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</si>
  <si>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</si>
  <si>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</si>
  <si>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</si>
  <si>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</si>
  <si>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</si>
  <si>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</si>
  <si>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</si>
  <si>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</si>
  <si>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</si>
  <si>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</si>
  <si>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</si>
  <si>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</si>
  <si>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</si>
  <si>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</si>
  <si>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</si>
  <si>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</si>
  <si>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</si>
  <si>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</si>
  <si>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</si>
  <si>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</si>
  <si>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</si>
  <si>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</si>
  <si>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</si>
  <si>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</si>
  <si>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</si>
  <si>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</si>
  <si>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</si>
  <si>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</si>
  <si>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</si>
  <si>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</si>
  <si>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</si>
  <si>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</si>
  <si>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</si>
  <si>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</si>
  <si>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</si>
  <si>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</si>
  <si>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</si>
  <si>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</si>
  <si>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</si>
  <si>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</si>
  <si>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</si>
  <si>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</si>
  <si>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</si>
  <si>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</si>
  <si>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</si>
  <si>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</si>
  <si>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</si>
  <si>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</si>
  <si>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</si>
  <si>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</si>
  <si>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</si>
  <si>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</si>
  <si>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</si>
  <si>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</si>
  <si>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</si>
  <si>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</si>
  <si>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</si>
  <si>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</si>
  <si>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</si>
  <si>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</si>
  <si>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</si>
  <si>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</si>
  <si>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</si>
  <si>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</si>
  <si>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</si>
  <si>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</si>
  <si>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</si>
  <si>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</si>
  <si>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</si>
  <si>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</si>
  <si>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</si>
  <si>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</si>
  <si>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</si>
  <si>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</si>
  <si>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</si>
  <si>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</si>
  <si>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</si>
  <si>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</si>
  <si>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</si>
  <si>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</si>
  <si>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</si>
  <si>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</si>
  <si>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</si>
  <si>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</si>
  <si>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</si>
  <si>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</si>
  <si>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</si>
  <si>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</si>
  <si>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</si>
  <si>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</si>
  <si>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</si>
  <si>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</si>
  <si>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</si>
  <si>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</si>
  <si>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</si>
  <si>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</si>
  <si>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</si>
  <si>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</si>
  <si>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</si>
  <si>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</si>
  <si>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</si>
  <si>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</si>
  <si>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</si>
  <si>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</si>
  <si>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</si>
  <si>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</si>
  <si>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</si>
  <si>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</si>
  <si>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</si>
  <si>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</si>
  <si>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</si>
  <si>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</si>
  <si>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</si>
  <si>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</si>
  <si>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</si>
  <si>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</si>
  <si>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</si>
  <si>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</si>
  <si>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</si>
  <si>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</si>
  <si>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</si>
  <si>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</si>
  <si>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</si>
  <si>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</si>
  <si>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</si>
  <si>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</si>
  <si>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</si>
  <si>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</si>
  <si>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</si>
  <si>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</si>
  <si>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</si>
  <si>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</si>
  <si>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</si>
  <si>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</si>
  <si>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</si>
  <si>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</si>
  <si>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</si>
  <si>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</si>
  <si>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</si>
  <si>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</si>
  <si>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</si>
  <si>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</si>
  <si>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</si>
  <si>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</si>
  <si>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</si>
  <si>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</si>
  <si>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</si>
  <si>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</si>
  <si>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</si>
  <si>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</si>
  <si>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</si>
  <si>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</si>
  <si>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</si>
  <si>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</si>
  <si>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</si>
  <si>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</si>
  <si>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</si>
  <si>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</si>
  <si>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</si>
  <si>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</si>
  <si>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</si>
  <si>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</si>
  <si>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</si>
  <si>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</si>
  <si>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</si>
  <si>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</si>
  <si>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</si>
  <si>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</si>
  <si>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</si>
  <si>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</si>
  <si>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</si>
  <si>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</si>
  <si>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</si>
  <si>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</si>
  <si>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</si>
  <si>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</si>
  <si>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</si>
  <si>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</si>
  <si>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</si>
  <si>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</si>
  <si>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</si>
  <si>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</si>
  <si>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</si>
  <si>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</si>
  <si>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</si>
  <si>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</si>
  <si>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</si>
  <si>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</si>
  <si>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</si>
  <si>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</si>
  <si>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</si>
  <si>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</si>
  <si>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</si>
  <si>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</si>
  <si>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</si>
  <si>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</si>
  <si>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</si>
  <si>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</si>
  <si>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</si>
  <si>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</si>
  <si>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</si>
  <si>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</si>
  <si>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</si>
  <si>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</si>
  <si>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</si>
  <si>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</si>
  <si>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</si>
  <si>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</si>
  <si>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</si>
  <si>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</si>
  <si>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</si>
  <si>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</si>
  <si>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</si>
  <si>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</si>
  <si>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</si>
  <si>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</si>
  <si>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</si>
  <si>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</si>
  <si>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</si>
  <si>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</si>
  <si>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</si>
  <si>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</si>
  <si>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</si>
  <si>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</si>
  <si>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</si>
  <si>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</si>
  <si>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</si>
  <si>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</si>
  <si>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</si>
  <si>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</si>
  <si>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</si>
  <si>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</si>
  <si>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</si>
  <si>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</si>
  <si>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</si>
  <si>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</si>
  <si>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</si>
  <si>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</si>
  <si>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</si>
  <si>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</si>
  <si>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</si>
  <si>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</si>
  <si>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</si>
  <si>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</si>
  <si>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</si>
  <si>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</si>
  <si>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</si>
  <si>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</si>
  <si>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</si>
  <si>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</si>
  <si>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</si>
  <si>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</si>
  <si>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</si>
  <si>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</si>
  <si>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</si>
  <si>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</si>
  <si>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</si>
  <si>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</si>
  <si>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</si>
  <si>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</si>
  <si>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</si>
  <si>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</si>
  <si>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</si>
  <si>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</si>
  <si>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</si>
  <si>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</si>
  <si>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</si>
  <si>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</si>
  <si>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</si>
  <si>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</si>
  <si>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</si>
  <si>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</si>
  <si>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</si>
  <si>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</si>
  <si>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</si>
  <si>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</si>
  <si>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</si>
  <si>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</si>
  <si>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</si>
  <si>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</si>
  <si>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</si>
  <si>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</si>
  <si>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</si>
  <si>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</si>
  <si>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</si>
  <si>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</si>
  <si>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</si>
  <si>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</si>
  <si>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</si>
  <si>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</si>
  <si>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</si>
  <si>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</si>
  <si>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</si>
  <si>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</si>
  <si>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</si>
  <si>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</si>
  <si>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</si>
  <si>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</si>
  <si>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</si>
  <si>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</si>
  <si>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</si>
  <si>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</si>
  <si>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</si>
  <si>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</si>
  <si>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</si>
  <si>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</si>
  <si>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</si>
  <si>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</si>
  <si>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</si>
  <si>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</si>
  <si>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</si>
  <si>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</si>
  <si>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</si>
  <si>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</si>
  <si>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</si>
  <si>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</si>
  <si>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</si>
  <si>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</si>
  <si>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</si>
  <si>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</si>
  <si>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</si>
  <si>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</si>
  <si>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</si>
  <si>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</si>
  <si>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</si>
  <si>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</si>
  <si>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</si>
  <si>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</si>
  <si>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</si>
  <si>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</si>
  <si>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</si>
  <si>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</si>
  <si>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</si>
  <si>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</si>
  <si>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</si>
  <si>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</si>
  <si>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</si>
  <si>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</si>
  <si>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</si>
  <si>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</si>
  <si>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</si>
  <si>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</si>
  <si>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</si>
  <si>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</si>
  <si>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</si>
  <si>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</si>
  <si>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</si>
  <si>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</si>
  <si>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</si>
  <si>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</si>
  <si>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</si>
  <si>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</si>
  <si>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</si>
  <si>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</si>
  <si>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</si>
  <si>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</si>
  <si>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</si>
  <si>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</si>
  <si>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</si>
  <si>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</si>
  <si>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</si>
  <si>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</si>
  <si>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</si>
  <si>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</si>
  <si>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</si>
  <si>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</si>
  <si>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</si>
  <si>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</si>
  <si>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</si>
  <si>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</si>
  <si>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</si>
  <si>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</si>
  <si>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</si>
  <si>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</si>
  <si>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</si>
  <si>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</si>
  <si>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</si>
  <si>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</si>
  <si>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</si>
  <si>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</si>
  <si>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</si>
  <si>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</si>
  <si>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</si>
  <si>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</si>
  <si>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</si>
  <si>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</si>
  <si>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</si>
  <si>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</si>
  <si>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</si>
  <si>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</si>
  <si>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</si>
  <si>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</si>
  <si>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</si>
  <si>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</si>
  <si>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</si>
  <si>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</si>
  <si>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</si>
  <si>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</si>
  <si>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</si>
  <si>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</si>
  <si>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</si>
  <si>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</si>
  <si>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</si>
  <si>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</si>
  <si>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</si>
  <si>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</si>
  <si>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</si>
  <si>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</si>
  <si>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</si>
  <si>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</si>
  <si>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</si>
  <si>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</si>
  <si>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</si>
  <si>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</si>
  <si>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</si>
  <si>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</si>
  <si>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</si>
  <si>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</si>
  <si>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</si>
  <si>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</si>
  <si>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</si>
  <si>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</si>
  <si>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</si>
  <si>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</si>
  <si>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</si>
  <si>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</si>
  <si>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</si>
  <si>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</si>
  <si>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</si>
  <si>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</si>
  <si>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</si>
  <si>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</si>
  <si>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</si>
  <si>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</si>
  <si>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</si>
  <si>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</si>
  <si>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</si>
  <si>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</si>
  <si>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</si>
  <si>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</si>
  <si>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</si>
  <si>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</si>
  <si>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</si>
  <si>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</si>
  <si>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</si>
  <si>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</si>
  <si>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</si>
  <si>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</si>
  <si>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</si>
  <si>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</si>
  <si>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</si>
  <si>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</si>
  <si>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</si>
  <si>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</si>
  <si>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</si>
  <si>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</si>
  <si>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</si>
  <si>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</si>
  <si>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</si>
  <si>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</si>
  <si>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</si>
  <si>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</si>
  <si>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</si>
  <si>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</si>
  <si>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</si>
  <si>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</si>
  <si>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</si>
  <si>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</si>
  <si>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</si>
  <si>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</si>
  <si>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</si>
  <si>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</si>
  <si>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</si>
  <si>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</si>
  <si>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</si>
  <si>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</si>
  <si>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</si>
  <si>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</si>
  <si>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</si>
  <si>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</si>
  <si>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</si>
  <si>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</si>
  <si>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</si>
  <si>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</si>
  <si>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</si>
  <si>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</si>
  <si>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</si>
  <si>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</si>
  <si>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</si>
  <si>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</si>
  <si>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</si>
  <si>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</si>
  <si>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</si>
  <si>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</si>
  <si>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</si>
  <si>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</si>
  <si>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</si>
  <si>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</si>
  <si>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</si>
  <si>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</si>
  <si>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</si>
  <si>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</si>
  <si>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</si>
  <si>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</si>
  <si>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</si>
  <si>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</si>
  <si>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</si>
  <si>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</si>
  <si>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</si>
  <si>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</si>
  <si>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</si>
  <si>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</si>
  <si>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</si>
  <si>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</si>
  <si>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</si>
  <si>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</si>
  <si>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</si>
  <si>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</si>
  <si>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</si>
  <si>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</si>
  <si>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</si>
  <si>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</si>
  <si>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</si>
  <si>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</si>
  <si>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</si>
  <si>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</si>
  <si>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</si>
  <si>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</si>
  <si>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</si>
  <si>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</si>
  <si>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</si>
  <si>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</si>
  <si>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</si>
  <si>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</si>
  <si>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</si>
  <si>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</si>
  <si>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</si>
  <si>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</si>
  <si>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</si>
  <si>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</si>
  <si>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</si>
  <si>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</si>
  <si>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</si>
  <si>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</si>
  <si>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</si>
  <si>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</si>
  <si>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</si>
  <si>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</si>
  <si>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</si>
  <si>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</si>
  <si>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</si>
  <si>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</si>
  <si>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</si>
  <si>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</si>
  <si>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</si>
  <si>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</si>
  <si>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</si>
  <si>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</si>
  <si>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</si>
  <si>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</si>
  <si>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</si>
  <si>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</si>
  <si>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</si>
  <si>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</si>
  <si>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</si>
  <si>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</si>
  <si>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</si>
  <si>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</si>
  <si>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</si>
  <si>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</si>
  <si>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</si>
  <si>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</si>
  <si>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</si>
  <si>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</si>
  <si>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</si>
  <si>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</si>
  <si>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</si>
  <si>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</si>
  <si>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</si>
  <si>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</si>
  <si>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</si>
  <si>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</si>
  <si>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</si>
  <si>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</si>
  <si>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</si>
  <si>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</si>
  <si>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</si>
  <si>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</si>
  <si>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</si>
  <si>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</si>
  <si>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</si>
  <si>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</si>
  <si>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</si>
  <si>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</si>
  <si>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</si>
  <si>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</si>
  <si>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</si>
  <si>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</si>
  <si>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</si>
  <si>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</si>
  <si>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</si>
  <si>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</si>
  <si>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</si>
  <si>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</si>
  <si>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</si>
  <si>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</si>
  <si>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</si>
  <si>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</si>
  <si>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</si>
  <si>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</si>
  <si>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</si>
  <si>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</si>
  <si>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</si>
  <si>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</si>
  <si>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</si>
  <si>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</si>
  <si>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</si>
  <si>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</si>
  <si>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</si>
  <si>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</si>
  <si>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</si>
  <si>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</si>
  <si>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</si>
  <si>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</si>
  <si>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</si>
  <si>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</si>
  <si>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</si>
  <si>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</si>
  <si>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</si>
  <si>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</si>
  <si>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</si>
  <si>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</si>
  <si>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</si>
  <si>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</si>
  <si>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</si>
  <si>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</si>
  <si>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</si>
  <si>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</si>
  <si>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</si>
  <si>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</si>
  <si>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</si>
  <si>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</si>
  <si>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</si>
  <si>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</si>
  <si>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</si>
  <si>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</si>
  <si>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</si>
  <si>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</si>
  <si>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</si>
  <si>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</si>
  <si>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</si>
  <si>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</si>
  <si>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</si>
  <si>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</si>
  <si>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</si>
  <si>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</si>
  <si>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</si>
  <si>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</si>
  <si>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</si>
  <si>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</si>
  <si>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</si>
  <si>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</si>
  <si>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</si>
  <si>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</si>
  <si>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</si>
  <si>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</si>
  <si>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</si>
  <si>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</si>
  <si>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</si>
  <si>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</si>
  <si>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</si>
  <si>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</si>
  <si>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</si>
  <si>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</si>
  <si>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</si>
  <si>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</si>
  <si>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</si>
  <si>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</si>
  <si>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</si>
  <si>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</si>
  <si>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</si>
  <si>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</si>
  <si>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</si>
  <si>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</si>
  <si>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</si>
  <si>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</si>
  <si>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</si>
  <si>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</si>
  <si>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</si>
  <si>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</si>
  <si>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</si>
  <si>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</si>
  <si>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</si>
  <si>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</si>
  <si>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</si>
  <si>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</si>
  <si>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</si>
  <si>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</si>
  <si>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</si>
  <si>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</si>
  <si>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</si>
  <si>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</si>
  <si>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</si>
  <si>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</si>
  <si>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</si>
  <si>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</si>
  <si>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</si>
  <si>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</si>
  <si>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</si>
  <si>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</si>
  <si>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</si>
  <si>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</si>
  <si>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</si>
  <si>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</si>
  <si>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</si>
  <si>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</si>
  <si>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</si>
  <si>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</si>
  <si>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</si>
  <si>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</si>
  <si>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</si>
  <si>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</si>
  <si>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</si>
  <si>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</si>
  <si>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</si>
  <si>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</si>
  <si>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</si>
  <si>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</si>
  <si>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</si>
  <si>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</si>
  <si>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</si>
  <si>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</si>
  <si>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MERIC AKAR</t>
  </si>
  <si>
    <t>FATIH ASLAN</t>
  </si>
  <si>
    <t>ISMAIL FULSER</t>
  </si>
  <si>
    <t>ALI MURAT SUNGUR</t>
  </si>
  <si>
    <t>NEREA FRAILE</t>
  </si>
  <si>
    <t>03:01</t>
  </si>
  <si>
    <t>07:08</t>
  </si>
  <si>
    <t>The shot rejected conceted with this action hasn't happened either</t>
  </si>
  <si>
    <t>02:11</t>
  </si>
  <si>
    <t>02:09</t>
  </si>
  <si>
    <t>02:31</t>
  </si>
  <si>
    <t xml:space="preserve">Very good job team!! Good comunication too. I wish we meet again </t>
  </si>
  <si>
    <t>C:\Users\nerea.fraile\OneDrive - EUROLEAGUE\Documents\Report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</si>
</sst>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03_027_TTK_BUD_U2025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45944.791666666664</v>
      </c>
      <c r="C3" s="178"/>
      <c r="D3" s="39">
        <v>631</v>
      </c>
      <c r="E3" s="29"/>
      <c r="F3" s="26">
        <f>SUBTOTAL(3,I17:I106)</f>
        <v>5</v>
      </c>
      <c r="G3" s="27">
        <f>IF(OR(D3="",D3=0),"",F3/D3)</f>
        <v>7.9239302694136295E-3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Turk Telekom Ankara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7.9239302694136295E-3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0.79239302694136293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7.7923930269413626</v>
      </c>
      <c r="N7" s="58"/>
      <c r="O7" s="2"/>
      <c r="P7" s="2"/>
      <c r="Q7" s="86">
        <f>SUM(R5,S5,AC16)</f>
        <v>7.7923930269413626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7.7923930269413635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27</v>
      </c>
      <c r="D17" s="32" t="s">
        <v>755</v>
      </c>
      <c r="E17" s="33">
        <v>1</v>
      </c>
      <c r="F17" s="36">
        <v>20</v>
      </c>
      <c r="G17" s="36">
        <v>11</v>
      </c>
      <c r="H17" s="38" t="str">
        <f>IF(I17="","",$I$14)</f>
        <v>SCOUTING</v>
      </c>
      <c r="I17" s="34">
        <v>93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27</v>
      </c>
      <c r="D18" s="32" t="s">
        <v>756</v>
      </c>
      <c r="E18" s="33">
        <v>2</v>
      </c>
      <c r="F18" s="36">
        <v>28</v>
      </c>
      <c r="G18" s="36">
        <v>22</v>
      </c>
      <c r="H18" s="38" t="str">
        <f t="shared" ref="H18:H81" si="8">IF(I18="","",$I$14)</f>
        <v>SCOUTING</v>
      </c>
      <c r="I18" s="34">
        <v>196</v>
      </c>
      <c r="J18" s="13" t="s">
        <v>4</v>
      </c>
      <c r="K18" s="13" t="s">
        <v>62</v>
      </c>
      <c r="L18" s="13" t="s">
        <v>48</v>
      </c>
      <c r="M18" s="13" t="s">
        <v>12</v>
      </c>
      <c r="N18" s="35" t="s">
        <v>757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27</v>
      </c>
      <c r="D19" s="32" t="s">
        <v>758</v>
      </c>
      <c r="E19" s="33">
        <v>3</v>
      </c>
      <c r="F19" s="36">
        <v>54</v>
      </c>
      <c r="G19" s="36">
        <v>54</v>
      </c>
      <c r="H19" s="38" t="str">
        <f t="shared" si="8"/>
        <v>SCOUTING</v>
      </c>
      <c r="I19" s="34">
        <v>428</v>
      </c>
      <c r="J19" s="13" t="s">
        <v>4</v>
      </c>
      <c r="K19" s="13" t="s">
        <v>62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27</v>
      </c>
      <c r="D20" s="32" t="s">
        <v>759</v>
      </c>
      <c r="E20" s="33">
        <v>3</v>
      </c>
      <c r="F20" s="36">
        <v>54</v>
      </c>
      <c r="G20" s="36">
        <v>54</v>
      </c>
      <c r="H20" s="38" t="str">
        <f t="shared" si="8"/>
        <v>SCOUTING</v>
      </c>
      <c r="I20" s="34">
        <v>430</v>
      </c>
      <c r="J20" s="13" t="s">
        <v>4</v>
      </c>
      <c r="K20" s="13" t="s">
        <v>63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27</v>
      </c>
      <c r="D21" s="32" t="s">
        <v>760</v>
      </c>
      <c r="E21" s="33">
        <v>4</v>
      </c>
      <c r="F21" s="36">
        <v>71</v>
      </c>
      <c r="G21" s="36">
        <v>70</v>
      </c>
      <c r="H21" s="38" t="str">
        <f t="shared" si="8"/>
        <v>SCOUTING</v>
      </c>
      <c r="I21" s="34">
        <v>572</v>
      </c>
      <c r="J21" s="13" t="s">
        <v>4</v>
      </c>
      <c r="K21" s="13" t="s">
        <v>62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"U2025027"</v>
      </c>
      <c r="F3" s="45" t="str">
        <f t="shared" ref="F3:F16" si="0">""""&amp;B3&amp;"""" &amp; " : " &amp;C3&amp;","</f>
        <v>"name" : "U2025027",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"U027"</v>
      </c>
      <c r="F4" s="45" t="str">
        <f t="shared" si="0"/>
        <v>"cod" : "U027",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027</v>
      </c>
      <c r="F6" s="45" t="str">
        <f t="shared" si="0"/>
        <v>"number" : 027,</v>
      </c>
    </row>
    <row r="7" spans="2:6" x14ac:dyDescent="0.25">
      <c r="B7" s="43" t="s">
        <v>116</v>
      </c>
      <c r="C7" s="43" t="str">
        <f ca="1">""""&amp;TEXT('SCOUT &amp; LOGISTICS'!B3,"dd/mm/aaaa")&amp;""""</f>
        <v>"14/10/Tuesday"</v>
      </c>
      <c r="F7" s="45" t="str">
        <f t="shared" ca="1" si="0"/>
        <v>"date" : "14/10/Tuesday",</v>
      </c>
    </row>
    <row r="8" spans="2:6" x14ac:dyDescent="0.25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"MERIC AKAR"</v>
      </c>
      <c r="F11" s="45" t="str">
        <f t="shared" si="0"/>
        <v>"Caller_1" : "MERIC AKAR",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"FATIH ASLAN"</v>
      </c>
      <c r="F12" s="45" t="str">
        <f t="shared" si="0"/>
        <v>"Caller_2" : "FATIH ASLAN",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"ISMAIL FULSER"</v>
      </c>
      <c r="F13" s="45" t="str">
        <f t="shared" si="0"/>
        <v>"Timerkeeper" : "ISMAIL FULSER",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"ALI MURAT SUNGUR"</v>
      </c>
      <c r="F14" s="45" t="str">
        <f t="shared" si="0"/>
        <v>"Shotclock" : "ALI MURAT SUNGUR",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631</v>
      </c>
      <c r="F25" s="45" t="str">
        <f t="shared" ref="F25:F48" si="1">""""&amp;C25&amp;"""" &amp; " : " &amp;D25&amp;","</f>
        <v>"total_actions" : 631,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team!! Good comunication too. I wish we meet again "</v>
      </c>
      <c r="F51" s="45" t="str">
        <f>""""&amp;B51&amp;"""" &amp; " : " &amp;C51&amp;","</f>
        <v>"comments" : "Very good job team!! Good comunication too. I wish we meet again ",</v>
      </c>
    </row>
    <row r="52" spans="2:6" x14ac:dyDescent="0.25">
      <c r="B52" s="43" t="s">
        <v>153</v>
      </c>
      <c r="C52" s="43" t="str">
        <f>TEXT('SCOUT &amp; LOGISTICS'!F1,"0,0")</f>
        <v>03_027_TTK_BUD_U2025</v>
      </c>
      <c r="F52" s="45" t="str">
        <f>""""&amp;B52&amp;"""" &amp; " : " &amp;C52</f>
        <v>"result" : 03_027_TTK_BUD_U2025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U027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14/10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Turk Telekom Ankara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MERIC AKAR</v>
      </c>
      <c r="H8" s="201"/>
      <c r="I8" s="201"/>
      <c r="J8" s="201"/>
      <c r="K8" s="201"/>
      <c r="L8" s="201" t="str">
        <f>IF('SCOUT &amp; LOGISTICS'!D8="","",'SCOUT &amp; LOGISTICS'!D8)</f>
        <v>FATIH ASLAN</v>
      </c>
      <c r="M8" s="201"/>
      <c r="N8" s="201"/>
      <c r="O8" s="201"/>
      <c r="P8" s="201"/>
      <c r="Q8" s="201" t="str">
        <f>IF('SCOUT &amp; LOGISTICS'!D9="","",'SCOUT &amp; LOGISTICS'!D9)</f>
        <v>ISMAIL FULSER</v>
      </c>
      <c r="R8" s="201"/>
      <c r="S8" s="201"/>
      <c r="T8" s="201"/>
      <c r="U8" s="201"/>
      <c r="V8" s="201" t="str">
        <f>IF('SCOUT &amp; LOGISTICS'!D10="","",'SCOUT &amp; LOGISTICS'!D10)</f>
        <v>ALI MURAT SUNGUR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631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7.9239302694136295E-3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 xml:space="preserve">Very good job team!! Good comunication too. I wish we meet again 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7.7923930269413626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56BBC77-EF02-4D1C-B232-ACEDBCE9967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2025-10-14T19:26:42Z</cp:lastPrinted>
  <dcterms:created xsi:type="dcterms:W3CDTF">2023-09-19T19:50:35Z</dcterms:created>
  <dcterms:modified xsi:type="dcterms:W3CDTF">2025-10-15T15:36:57Z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