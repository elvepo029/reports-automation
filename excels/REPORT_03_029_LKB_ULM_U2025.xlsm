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26" documentId="8_{49D55E5A-032D-4E9C-9A53-17BFA8F2CC9D}" xr6:coauthVersionLast="47" xr6:coauthVersionMax="47" xr10:uidLastSave="{BE679D3C-A147-408C-8A32-D96D83B34257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<sst xmlns="http://schemas.openxmlformats.org/spreadsheetml/2006/main" count="3296" uniqueCount="767">
  <si>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</si>
  <si>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</si>
  <si>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</si>
  <si>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</si>
  <si>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</si>
  <si>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</si>
  <si>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</si>
  <si>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</si>
  <si>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</si>
  <si>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</si>
  <si>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</si>
  <si>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</si>
  <si>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</si>
  <si>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</si>
  <si>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</si>
  <si>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</si>
  <si>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</si>
  <si>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</si>
  <si>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</si>
  <si>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</si>
  <si>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</si>
  <si>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</si>
  <si>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</si>
  <si>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</si>
  <si>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</si>
  <si>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</si>
  <si>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</si>
  <si>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</si>
  <si>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</si>
  <si>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</si>
  <si>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</si>
  <si>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</si>
  <si>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</si>
  <si>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</si>
  <si>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</si>
  <si>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</si>
  <si>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</si>
  <si>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</si>
  <si>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</si>
  <si>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</si>
  <si>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</si>
  <si>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</si>
  <si>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</si>
  <si>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</si>
  <si>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</si>
  <si>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</si>
  <si>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</si>
  <si>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</si>
  <si>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</si>
  <si>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</si>
  <si>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</si>
  <si>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</si>
  <si>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</si>
  <si>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</si>
  <si>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</si>
  <si>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</si>
  <si>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</si>
  <si>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</si>
  <si>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</si>
  <si>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</si>
  <si>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</si>
  <si>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</si>
  <si>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</si>
  <si>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</si>
  <si>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</si>
  <si>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</si>
  <si>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</si>
  <si>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</si>
  <si>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</si>
  <si>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</si>
  <si>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</si>
  <si>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</si>
  <si>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</si>
  <si>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</si>
  <si>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</si>
  <si>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</si>
  <si>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</si>
  <si>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</si>
  <si>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</si>
  <si>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</si>
  <si>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</si>
  <si>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</si>
  <si>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</si>
  <si>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</si>
  <si>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</si>
  <si>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</si>
  <si>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</si>
  <si>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</si>
  <si>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</si>
  <si>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</si>
  <si>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</si>
  <si>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</si>
  <si>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</si>
  <si>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</si>
  <si>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</si>
  <si>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</si>
  <si>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</si>
  <si>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</si>
  <si>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</si>
  <si>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</si>
  <si>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</si>
  <si>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</si>
  <si>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</si>
  <si>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</si>
  <si>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</si>
  <si>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</si>
  <si>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</si>
  <si>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</si>
  <si>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</si>
  <si>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</si>
  <si>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</si>
  <si>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</si>
  <si>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</si>
  <si>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</si>
  <si>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</si>
  <si>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</si>
  <si>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</si>
  <si>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</si>
  <si>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</si>
  <si>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</si>
  <si>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</si>
  <si>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</si>
  <si>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</si>
  <si>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</si>
  <si>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</si>
  <si>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</si>
  <si>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</si>
  <si>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</si>
  <si>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</si>
  <si>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</si>
  <si>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</si>
  <si>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</si>
  <si>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</si>
  <si>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</si>
  <si>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</si>
  <si>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</si>
  <si>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</si>
  <si>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</si>
  <si>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</si>
  <si>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</si>
  <si>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</si>
  <si>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</si>
  <si>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</si>
  <si>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</si>
  <si>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</si>
  <si>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</si>
  <si>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</si>
  <si>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</si>
  <si>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</si>
  <si>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</si>
  <si>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</si>
  <si>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</si>
  <si>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</si>
  <si>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</si>
  <si>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</si>
  <si>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</si>
  <si>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</si>
  <si>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</si>
  <si>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</si>
  <si>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</si>
  <si>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</si>
  <si>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</si>
  <si>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</si>
  <si>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</si>
  <si>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</si>
  <si>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</si>
  <si>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</si>
  <si>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</si>
  <si>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</si>
  <si>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</si>
  <si>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</si>
  <si>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</si>
  <si>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</si>
  <si>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</si>
  <si>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</si>
  <si>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</si>
  <si>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</si>
  <si>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</si>
  <si>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</si>
  <si>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</si>
  <si>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</si>
  <si>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</si>
  <si>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</si>
  <si>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</si>
  <si>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</si>
  <si>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</si>
  <si>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</si>
  <si>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</si>
  <si>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</si>
  <si>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</si>
  <si>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</si>
  <si>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</si>
  <si>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</si>
  <si>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</si>
  <si>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</si>
  <si>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</si>
  <si>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</si>
  <si>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</si>
  <si>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</si>
  <si>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</si>
  <si>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</si>
  <si>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</si>
  <si>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</si>
  <si>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</si>
  <si>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</si>
  <si>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</si>
  <si>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</si>
  <si>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</si>
  <si>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</si>
  <si>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</si>
  <si>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</si>
  <si>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</si>
  <si>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</si>
  <si>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</si>
  <si>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</si>
  <si>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</si>
  <si>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</si>
  <si>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</si>
  <si>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</si>
  <si>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</si>
  <si>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</si>
  <si>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</si>
  <si>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</si>
  <si>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</si>
  <si>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</si>
  <si>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</si>
  <si>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</si>
  <si>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</si>
  <si>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</si>
  <si>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</si>
  <si>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</si>
  <si>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</si>
  <si>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</si>
  <si>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</si>
  <si>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</si>
  <si>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</si>
  <si>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</si>
  <si>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</si>
  <si>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</si>
  <si>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</si>
  <si>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</si>
  <si>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</si>
  <si>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</si>
  <si>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</si>
  <si>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</si>
  <si>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</si>
  <si>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</si>
  <si>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</si>
  <si>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</si>
  <si>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</si>
  <si>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</si>
  <si>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</si>
  <si>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</si>
  <si>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</si>
  <si>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</si>
  <si>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</si>
  <si>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</si>
  <si>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</si>
  <si>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</si>
  <si>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</si>
  <si>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</si>
  <si>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</si>
  <si>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</si>
  <si>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</si>
  <si>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</si>
  <si>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</si>
  <si>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</si>
  <si>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</si>
  <si>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</si>
  <si>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</si>
  <si>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</si>
  <si>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</si>
  <si>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</si>
  <si>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</si>
  <si>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</si>
  <si>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</si>
  <si>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</si>
  <si>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</si>
  <si>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</si>
  <si>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</si>
  <si>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</si>
  <si>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</si>
  <si>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</si>
  <si>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</si>
  <si>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</si>
  <si>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</si>
  <si>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</si>
  <si>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</si>
  <si>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</si>
  <si>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</si>
  <si>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</si>
  <si>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</si>
  <si>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</si>
  <si>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</si>
  <si>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</si>
  <si>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</si>
  <si>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</si>
  <si>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</si>
  <si>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</si>
  <si>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</si>
  <si>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</si>
  <si>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</si>
  <si>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</si>
  <si>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</si>
  <si>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</si>
  <si>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</si>
  <si>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</si>
  <si>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</si>
  <si>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</si>
  <si>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</si>
  <si>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</si>
  <si>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</si>
  <si>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</si>
  <si>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</si>
  <si>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</si>
  <si>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</si>
  <si>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</si>
  <si>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</si>
  <si>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</si>
  <si>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</si>
  <si>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</si>
  <si>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</si>
  <si>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</si>
  <si>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</si>
  <si>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</si>
  <si>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</si>
  <si>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</si>
  <si>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</si>
  <si>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</si>
  <si>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</si>
  <si>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</si>
  <si>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</si>
  <si>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</si>
  <si>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</si>
  <si>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</si>
  <si>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</si>
  <si>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</si>
  <si>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</si>
  <si>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</si>
  <si>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</si>
  <si>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</si>
  <si>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</si>
  <si>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</si>
  <si>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</si>
  <si>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</si>
  <si>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</si>
  <si>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</si>
  <si>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</si>
  <si>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</si>
  <si>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</si>
  <si>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</si>
  <si>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</si>
  <si>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</si>
  <si>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</si>
  <si>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</si>
  <si>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</si>
  <si>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</si>
  <si>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</si>
  <si>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</si>
  <si>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</si>
  <si>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</si>
  <si>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</si>
  <si>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</si>
  <si>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</si>
  <si>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</si>
  <si>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</si>
  <si>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</si>
  <si>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</si>
  <si>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</si>
  <si>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</si>
  <si>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</si>
  <si>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</si>
  <si>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</si>
  <si>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</si>
  <si>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</si>
  <si>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</si>
  <si>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</si>
  <si>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</si>
  <si>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</si>
  <si>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</si>
  <si>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</si>
  <si>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</si>
  <si>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</si>
  <si>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</si>
  <si>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</si>
  <si>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</si>
  <si>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</si>
  <si>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</si>
  <si>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</si>
  <si>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</si>
  <si>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</si>
  <si>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</si>
  <si>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</si>
  <si>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</si>
  <si>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</si>
  <si>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</si>
  <si>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</si>
  <si>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</si>
  <si>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</si>
  <si>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</si>
  <si>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</si>
  <si>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</si>
  <si>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</si>
  <si>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</si>
  <si>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</si>
  <si>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</si>
  <si>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</si>
  <si>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</si>
  <si>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</si>
  <si>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</si>
  <si>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</si>
  <si>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</si>
  <si>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</si>
  <si>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</si>
  <si>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</si>
  <si>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</si>
  <si>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</si>
  <si>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</si>
  <si>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</si>
  <si>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</si>
  <si>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</si>
  <si>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</si>
  <si>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</si>
  <si>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</si>
  <si>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</si>
  <si>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</si>
  <si>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</si>
  <si>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</si>
  <si>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</si>
  <si>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</si>
  <si>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</si>
  <si>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</si>
  <si>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</si>
  <si>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</si>
  <si>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</si>
  <si>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</si>
  <si>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</si>
  <si>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</si>
  <si>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</si>
  <si>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</si>
  <si>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</si>
  <si>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</si>
  <si>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</si>
  <si>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</si>
  <si>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</si>
  <si>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</si>
  <si>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</si>
  <si>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</si>
  <si>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</si>
  <si>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</si>
  <si>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</si>
  <si>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</si>
  <si>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</si>
  <si>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</si>
  <si>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</si>
  <si>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</si>
  <si>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</si>
  <si>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</si>
  <si>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</si>
  <si>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</si>
  <si>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</si>
  <si>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</si>
  <si>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</si>
  <si>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</si>
  <si>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</si>
  <si>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</si>
  <si>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</si>
  <si>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</si>
  <si>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</si>
  <si>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</si>
  <si>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</si>
  <si>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</si>
  <si>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</si>
  <si>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</si>
  <si>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</si>
  <si>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</si>
  <si>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</si>
  <si>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</si>
  <si>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</si>
  <si>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</si>
  <si>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</si>
  <si>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</si>
  <si>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</si>
  <si>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</si>
  <si>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</si>
  <si>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</si>
  <si>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</si>
  <si>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</si>
  <si>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</si>
  <si>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</si>
  <si>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</si>
  <si>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</si>
  <si>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</si>
  <si>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</si>
  <si>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</si>
  <si>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</si>
  <si>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</si>
  <si>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</si>
  <si>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</si>
  <si>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</si>
  <si>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</si>
  <si>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</si>
  <si>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</si>
  <si>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</si>
  <si>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</si>
  <si>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</si>
  <si>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</si>
  <si>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</si>
  <si>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</si>
  <si>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</si>
  <si>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</si>
  <si>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</si>
  <si>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</si>
  <si>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</si>
  <si>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</si>
  <si>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</si>
  <si>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</si>
  <si>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</si>
  <si>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</si>
  <si>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</si>
  <si>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</si>
  <si>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</si>
  <si>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</si>
  <si>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</si>
  <si>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</si>
  <si>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</si>
  <si>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</si>
  <si>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</si>
  <si>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</si>
  <si>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</si>
  <si>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</si>
  <si>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</si>
  <si>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</si>
  <si>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</si>
  <si>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</si>
  <si>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</si>
  <si>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</si>
  <si>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</si>
  <si>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</si>
  <si>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</si>
  <si>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</si>
  <si>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</si>
  <si>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</si>
  <si>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</si>
  <si>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</si>
  <si>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</si>
  <si>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</si>
  <si>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</si>
  <si>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</si>
  <si>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</si>
  <si>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</si>
  <si>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</si>
  <si>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</si>
  <si>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</si>
  <si>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</si>
  <si>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</si>
  <si>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</si>
  <si>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</si>
  <si>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</si>
  <si>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</si>
  <si>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</si>
  <si>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</si>
  <si>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</si>
  <si>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</si>
  <si>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</si>
  <si>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</si>
  <si>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</si>
  <si>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</si>
  <si>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</si>
  <si>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</si>
  <si>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</si>
  <si>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</si>
  <si>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</si>
  <si>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</si>
  <si>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</si>
  <si>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</si>
  <si>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</si>
  <si>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</si>
  <si>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</si>
  <si>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</si>
  <si>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</si>
  <si>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</si>
  <si>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</si>
  <si>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</si>
  <si>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</si>
  <si>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</si>
  <si>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</si>
  <si>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</si>
  <si>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</si>
  <si>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</si>
  <si>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</si>
  <si>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</si>
  <si>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</si>
  <si>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</si>
  <si>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</si>
  <si>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</si>
  <si>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</si>
  <si>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</si>
  <si>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</si>
  <si>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</si>
  <si>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</si>
  <si>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</si>
  <si>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</si>
  <si>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</si>
  <si>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</si>
  <si>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</si>
  <si>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</si>
  <si>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</si>
  <si>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</si>
  <si>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</si>
  <si>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</si>
  <si>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</si>
  <si>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</si>
  <si>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</si>
  <si>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</si>
  <si>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</si>
  <si>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</si>
  <si>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</si>
  <si>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</si>
  <si>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</si>
  <si>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</si>
  <si>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</si>
  <si>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</si>
  <si>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</si>
  <si>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</si>
  <si>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</si>
  <si>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</si>
  <si>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</si>
  <si>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</si>
  <si>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</si>
  <si>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</si>
  <si>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</si>
  <si>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</si>
  <si>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</si>
  <si>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</si>
  <si>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</si>
  <si>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</si>
  <si>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</si>
  <si>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</si>
  <si>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</si>
  <si>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</si>
  <si>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</si>
  <si>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</si>
  <si>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</si>
  <si>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</si>
  <si>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</si>
  <si>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</si>
  <si>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</si>
  <si>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</si>
  <si>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</si>
  <si>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</si>
  <si>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</si>
  <si>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</si>
  <si>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</si>
  <si>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</si>
  <si>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</si>
  <si>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</si>
  <si>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</si>
  <si>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</si>
  <si>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</si>
  <si>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</si>
  <si>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</si>
  <si>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</si>
  <si>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</si>
  <si>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</si>
  <si>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</si>
  <si>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</si>
  <si>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</si>
  <si>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</si>
  <si>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</si>
  <si>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</si>
  <si>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</si>
  <si>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</si>
  <si>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</si>
  <si>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</si>
  <si>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</si>
  <si>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</si>
  <si>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</si>
  <si>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</si>
  <si>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</si>
  <si>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</si>
  <si>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</si>
  <si>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</si>
  <si>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</si>
  <si>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</si>
  <si>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</si>
  <si>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</si>
  <si>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</si>
  <si>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</si>
  <si>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</si>
  <si>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</si>
  <si>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</si>
  <si>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</si>
  <si>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</si>
  <si>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</si>
  <si>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</si>
  <si>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</si>
  <si>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</si>
  <si>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</si>
  <si>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</si>
  <si>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</si>
  <si>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</si>
  <si>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</si>
  <si>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</si>
  <si>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</si>
  <si>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</si>
  <si>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</si>
  <si>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</si>
  <si>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</si>
  <si>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</si>
  <si>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</si>
  <si>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</si>
  <si>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</si>
  <si>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</si>
  <si>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</si>
  <si>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</si>
  <si>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</si>
  <si>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</si>
  <si>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</si>
  <si>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</si>
  <si>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</si>
  <si>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</si>
  <si>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</si>
  <si>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</si>
  <si>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</si>
  <si>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</si>
  <si>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</si>
  <si>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</si>
  <si>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</si>
  <si>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</si>
  <si>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</si>
  <si>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</si>
  <si>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</si>
  <si>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</si>
  <si>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</si>
  <si>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</si>
  <si>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</si>
  <si>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</si>
  <si>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</si>
  <si>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</si>
  <si>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</si>
  <si>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</si>
  <si>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</si>
  <si>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</si>
  <si>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</si>
  <si>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</si>
  <si>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</si>
  <si>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</si>
  <si>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</si>
  <si>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C:\Users\eloi.verge\OneDrive - EUROLEAGUE\Desktop\GAME REPORTS\25-26</t>
  </si>
  <si>
    <t>DOVILE RUSONYTE</t>
  </si>
  <si>
    <t>RASA KIZIKAITE</t>
  </si>
  <si>
    <t>AUKSE ZAKRIENE</t>
  </si>
  <si>
    <t>ODETA DULIENE</t>
  </si>
  <si>
    <t>GINTARE BUKARTAITE</t>
  </si>
  <si>
    <t>ELOI VERGÉ</t>
  </si>
  <si>
    <t>05:18</t>
  </si>
  <si>
    <t>it was an Def REB</t>
  </si>
  <si>
    <t>and the related STL</t>
  </si>
  <si>
    <t>00:42</t>
  </si>
  <si>
    <t>05:05</t>
  </si>
  <si>
    <t>00:26</t>
  </si>
  <si>
    <t>06:49</t>
  </si>
  <si>
    <t>04:36</t>
  </si>
  <si>
    <t>01:08</t>
  </si>
  <si>
    <t>00:40</t>
  </si>
  <si>
    <t>Good job in general, specially on complex situations that happened during the game. About the criteria corrections I wouldn't worry too much as they were almost impossible to see live. However, I'd encourage you to avoid "easy" missing situations.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</si>
</sst>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03_029_LKB_ULM_U2025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45945.791666666664</v>
      </c>
      <c r="C3" s="178"/>
      <c r="D3" s="39">
        <v>696</v>
      </c>
      <c r="E3" s="29"/>
      <c r="F3" s="26">
        <f>SUBTOTAL(3,I17:I106)</f>
        <v>10</v>
      </c>
      <c r="G3" s="27">
        <f>IF(OR(D3="",D3=0),"",F3/D3)</f>
        <v>1.4367816091954023E-2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Lietkabelis Panevezys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LKB</v>
      </c>
      <c r="I4" s="5"/>
      <c r="J4" s="119" t="s">
        <v>714</v>
      </c>
      <c r="K4" s="54" t="s">
        <v>742</v>
      </c>
      <c r="L4" s="5"/>
      <c r="M4" s="185" t="s">
        <v>766</v>
      </c>
      <c r="N4" s="186"/>
      <c r="O4" s="2"/>
      <c r="P4" s="2"/>
      <c r="Q4" s="84" t="s">
        <v>175</v>
      </c>
      <c r="R4" s="94">
        <f>(IF(G3="",0,G3))</f>
        <v>1.4367816091954023E-2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3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ratiopharm Ulm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1.4367816091954022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7.5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14.936781609195402</v>
      </c>
      <c r="N7" s="58"/>
      <c r="O7" s="2"/>
      <c r="P7" s="2"/>
      <c r="Q7" s="86">
        <f>SUM(R5,S5,AC16)</f>
        <v>14.936781609195402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14.936781609195403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10</v>
      </c>
      <c r="J15" s="24">
        <f>SUBTOTAL(3,J17:J106)</f>
        <v>10</v>
      </c>
      <c r="K15" s="24">
        <f>SUBTOTAL(3,K17:K106)</f>
        <v>10</v>
      </c>
      <c r="L15" s="24">
        <f>SUBTOTAL(3,L17:L106)</f>
        <v>10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1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10</v>
      </c>
      <c r="Z16" s="90" t="s">
        <v>110</v>
      </c>
      <c r="AA16" s="75">
        <f>SUM(AA17:AA24)</f>
        <v>10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13.5</v>
      </c>
      <c r="AD16" s="75">
        <f>SUM(AD17:AD24)</f>
        <v>45</v>
      </c>
      <c r="AE16" s="76" t="s">
        <v>42</v>
      </c>
      <c r="AF16" s="75">
        <f>SUM(AF17:AF24)</f>
        <v>6</v>
      </c>
      <c r="AG16" s="75">
        <f>SUM(AG17:AG21)</f>
        <v>10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29</v>
      </c>
      <c r="D17" s="32" t="s">
        <v>756</v>
      </c>
      <c r="E17" s="33">
        <v>1</v>
      </c>
      <c r="F17" s="36">
        <v>4</v>
      </c>
      <c r="G17" s="36">
        <v>8</v>
      </c>
      <c r="H17" s="38" t="str">
        <f>IF(I17="","",$I$14)</f>
        <v>SCOUTING</v>
      </c>
      <c r="I17" s="34">
        <v>65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29</v>
      </c>
      <c r="D18" s="32" t="s">
        <v>756</v>
      </c>
      <c r="E18" s="33">
        <v>1</v>
      </c>
      <c r="F18" s="36">
        <v>4</v>
      </c>
      <c r="G18" s="36">
        <v>8</v>
      </c>
      <c r="H18" s="38" t="str">
        <f t="shared" ref="H18:H81" si="8">IF(I18="","",$I$14)</f>
        <v>SCOUTING</v>
      </c>
      <c r="I18" s="34">
        <v>67</v>
      </c>
      <c r="J18" s="13" t="s">
        <v>4</v>
      </c>
      <c r="K18" s="13" t="s">
        <v>62</v>
      </c>
      <c r="L18" s="13" t="s">
        <v>48</v>
      </c>
      <c r="M18" s="13" t="s">
        <v>28</v>
      </c>
      <c r="N18" s="35" t="s">
        <v>757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29</v>
      </c>
      <c r="D19" s="32" t="s">
        <v>756</v>
      </c>
      <c r="E19" s="33">
        <v>1</v>
      </c>
      <c r="F19" s="36">
        <v>4</v>
      </c>
      <c r="G19" s="36">
        <v>8</v>
      </c>
      <c r="H19" s="38" t="str">
        <f t="shared" si="8"/>
        <v>SCOUTING</v>
      </c>
      <c r="I19" s="34">
        <v>67</v>
      </c>
      <c r="J19" s="13" t="s">
        <v>4</v>
      </c>
      <c r="K19" s="13" t="s">
        <v>62</v>
      </c>
      <c r="L19" s="13" t="s">
        <v>7</v>
      </c>
      <c r="M19" s="13" t="s">
        <v>9</v>
      </c>
      <c r="N19" s="35" t="s">
        <v>758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29</v>
      </c>
      <c r="D20" s="32" t="s">
        <v>759</v>
      </c>
      <c r="E20" s="33">
        <v>1</v>
      </c>
      <c r="F20" s="36">
        <v>15</v>
      </c>
      <c r="G20" s="36">
        <v>28</v>
      </c>
      <c r="H20" s="38" t="str">
        <f t="shared" si="8"/>
        <v>SCOUTING</v>
      </c>
      <c r="I20" s="34">
        <v>151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29</v>
      </c>
      <c r="D21" s="32" t="s">
        <v>760</v>
      </c>
      <c r="E21" s="33">
        <v>2</v>
      </c>
      <c r="F21" s="36">
        <v>29</v>
      </c>
      <c r="G21" s="36">
        <v>39</v>
      </c>
      <c r="H21" s="38" t="str">
        <f t="shared" si="8"/>
        <v>SCOUTING</v>
      </c>
      <c r="I21" s="34">
        <v>225</v>
      </c>
      <c r="J21" s="13" t="s">
        <v>4</v>
      </c>
      <c r="K21" s="13" t="s">
        <v>62</v>
      </c>
      <c r="L21" s="13" t="s">
        <v>7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1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29</v>
      </c>
      <c r="D22" s="32" t="s">
        <v>761</v>
      </c>
      <c r="E22" s="33">
        <v>2</v>
      </c>
      <c r="F22" s="36">
        <v>42</v>
      </c>
      <c r="G22" s="36">
        <v>61</v>
      </c>
      <c r="H22" s="38" t="str">
        <f t="shared" si="8"/>
        <v>SCOUTING</v>
      </c>
      <c r="I22" s="34">
        <v>320</v>
      </c>
      <c r="J22" s="13" t="s">
        <v>4</v>
      </c>
      <c r="K22" s="13" t="s">
        <v>62</v>
      </c>
      <c r="L22" s="13" t="s">
        <v>7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29</v>
      </c>
      <c r="D23" s="32" t="s">
        <v>762</v>
      </c>
      <c r="E23" s="33">
        <v>3</v>
      </c>
      <c r="F23" s="36">
        <v>51</v>
      </c>
      <c r="G23" s="36">
        <v>61</v>
      </c>
      <c r="H23" s="38" t="str">
        <f t="shared" si="8"/>
        <v>SCOUTING</v>
      </c>
      <c r="I23" s="34">
        <v>377</v>
      </c>
      <c r="J23" s="13" t="s">
        <v>4</v>
      </c>
      <c r="K23" s="13" t="s">
        <v>62</v>
      </c>
      <c r="L23" s="13" t="s">
        <v>6</v>
      </c>
      <c r="M23" s="13" t="s">
        <v>12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3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29</v>
      </c>
      <c r="D24" s="32" t="s">
        <v>763</v>
      </c>
      <c r="E24" s="33">
        <v>3</v>
      </c>
      <c r="F24" s="36">
        <v>58</v>
      </c>
      <c r="G24" s="36">
        <v>67</v>
      </c>
      <c r="H24" s="38" t="str">
        <f t="shared" si="8"/>
        <v>SCOUTING</v>
      </c>
      <c r="I24" s="34">
        <v>413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29</v>
      </c>
      <c r="D25" s="32" t="s">
        <v>764</v>
      </c>
      <c r="E25" s="33">
        <v>3</v>
      </c>
      <c r="F25" s="36">
        <v>68</v>
      </c>
      <c r="G25" s="36">
        <v>75</v>
      </c>
      <c r="H25" s="38" t="str">
        <f t="shared" si="8"/>
        <v>SCOUTING</v>
      </c>
      <c r="I25" s="34">
        <v>471</v>
      </c>
      <c r="J25" s="13" t="s">
        <v>4</v>
      </c>
      <c r="K25" s="13" t="s">
        <v>63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29</v>
      </c>
      <c r="D26" s="32" t="s">
        <v>765</v>
      </c>
      <c r="E26" s="33">
        <v>3</v>
      </c>
      <c r="F26" s="36">
        <v>70</v>
      </c>
      <c r="G26" s="36">
        <v>77</v>
      </c>
      <c r="H26" s="38" t="str">
        <f t="shared" si="8"/>
        <v>SCOUTING</v>
      </c>
      <c r="I26" s="34">
        <v>486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REPORT_U2025029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"U2025029"</v>
      </c>
      <c r="F3" s="45" t="str">
        <f t="shared" ref="F3:F16" si="0">""""&amp;B3&amp;"""" &amp; " : " &amp;C3&amp;","</f>
        <v>"name" : "U2025029",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"U029"</v>
      </c>
      <c r="F4" s="45" t="str">
        <f t="shared" si="0"/>
        <v>"cod" : "U029",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029</v>
      </c>
      <c r="F6" s="45" t="str">
        <f t="shared" si="0"/>
        <v>"number" : 029,</v>
      </c>
    </row>
    <row r="7" spans="2:6" x14ac:dyDescent="0.25">
      <c r="B7" s="43" t="s">
        <v>116</v>
      </c>
      <c r="C7" s="43" t="str">
        <f ca="1">""""&amp;TEXT('SCOUT &amp; LOGISTICS'!B3,"dd/mm/aaaa")&amp;""""</f>
        <v>"15/10/2025"</v>
      </c>
      <c r="F7" s="45" t="str">
        <f t="shared" ca="1" si="0"/>
        <v>"date" : "15/10/2025",</v>
      </c>
    </row>
    <row r="8" spans="2:6" x14ac:dyDescent="0.25">
      <c r="B8" s="43" t="s">
        <v>125</v>
      </c>
      <c r="C8" s="43" t="str">
        <f>""""&amp;'SCOUT &amp; LOGISTICS'!D4 &amp;""""</f>
        <v>"Lietkabelis Panevezys"</v>
      </c>
      <c r="F8" s="45" t="str">
        <f t="shared" si="0"/>
        <v>"home_team" : "Lietkabelis Panevezys",</v>
      </c>
    </row>
    <row r="9" spans="2:6" x14ac:dyDescent="0.25">
      <c r="B9" s="43" t="s">
        <v>126</v>
      </c>
      <c r="C9" s="43" t="str">
        <f>""""&amp;'SCOUT &amp; LOGISTICS'!D5&amp;""""</f>
        <v>"ratiopharm Ulm"</v>
      </c>
      <c r="F9" s="45" t="str">
        <f t="shared" si="0"/>
        <v>"away_team" : "ratiopharm Ulm",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"DOVILE RUSONYTE"</v>
      </c>
      <c r="F10" s="45" t="str">
        <f t="shared" si="0"/>
        <v>"Data_entry" : "DOVILE RUSONYTE",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"ODETA DULIENE"</v>
      </c>
      <c r="F13" s="45" t="str">
        <f t="shared" si="0"/>
        <v>"Timerkeeper" : "ODETA DULIENE",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"GINTARE BUKARTAITE"</v>
      </c>
      <c r="F14" s="45" t="str">
        <f t="shared" si="0"/>
        <v>"Shotclock" : "GINTARE BUKARTAITE",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696</v>
      </c>
      <c r="F25" s="45" t="str">
        <f t="shared" ref="F25:F48" si="1">""""&amp;C25&amp;"""" &amp; " : " &amp;D25&amp;","</f>
        <v>"total_actions" : 696,</v>
      </c>
    </row>
    <row r="26" spans="2:6" x14ac:dyDescent="0.25">
      <c r="C26" s="43" t="s">
        <v>132</v>
      </c>
      <c r="D26" s="43">
        <f>'SCOUT &amp; LOGISTICS'!F3</f>
        <v>10</v>
      </c>
      <c r="F26" s="45" t="str">
        <f t="shared" si="1"/>
        <v>"total_correcions" : 10,</v>
      </c>
    </row>
    <row r="27" spans="2:6" x14ac:dyDescent="0.25">
      <c r="C27" s="43" t="s">
        <v>133</v>
      </c>
      <c r="D27" s="43" t="str">
        <f>""""&amp;IF(OR(D25="",D25=0),"",TEXT(D26/D25,"0,0%"))&amp;""""</f>
        <v>"1,4%"</v>
      </c>
      <c r="F27" s="45" t="str">
        <f t="shared" si="1"/>
        <v>"%_corrections" : "1,4%",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10</v>
      </c>
      <c r="F37" s="45" t="str">
        <f t="shared" si="1"/>
        <v>"scoresheet_corrections" : 10,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3</v>
      </c>
      <c r="F46" s="45" t="str">
        <f t="shared" si="1"/>
        <v>"part_of_a_sequence" : 3,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1</v>
      </c>
      <c r="F49" s="45" t="str">
        <f>""""&amp;C49&amp;"""" &amp; " : " &amp;D49</f>
        <v>"points" : 1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job in general, specially on complex situations that happened during the game. About the criteria corrections I wouldn't worry too much as they were almost impossible to see live. However, I'd encourage you to avoid "easy" missing situations. Keep it up!"</v>
      </c>
      <c r="F51" s="45" t="str">
        <f>""""&amp;B51&amp;"""" &amp; " : " &amp;C51&amp;","</f>
        <v>"comments" : "Good job in general, specially on complex situations that happened during the game. About the criteria corrections I wouldn't worry too much as they were almost impossible to see live. However, I'd encourage you to avoid "easy" missing situations. Keep it up!",</v>
      </c>
    </row>
    <row r="52" spans="2:6" x14ac:dyDescent="0.25">
      <c r="B52" s="43" t="s">
        <v>153</v>
      </c>
      <c r="C52" s="43" t="str">
        <f>TEXT('SCOUT &amp; LOGISTICS'!F1,"0,0")</f>
        <v>03_029_LKB_ULM_U2025</v>
      </c>
      <c r="F52" s="45" t="str">
        <f>""""&amp;B52&amp;"""" &amp; " : " &amp;C52</f>
        <v>"result" : 03_029_LKB_ULM_U2025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U029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15/10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Lietkabelis Panevezys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Ratiopharm Ulm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DOVILE RUSONYTE</v>
      </c>
      <c r="C8" s="201"/>
      <c r="D8" s="201"/>
      <c r="E8" s="201"/>
      <c r="F8" s="201"/>
      <c r="G8" s="201" t="str">
        <f>IF('SCOUT &amp; LOGISTICS'!D7="","",'SCOUT &amp; LOGISTICS'!D7)</f>
        <v>RASA KIZIKAITE</v>
      </c>
      <c r="H8" s="201"/>
      <c r="I8" s="201"/>
      <c r="J8" s="201"/>
      <c r="K8" s="201"/>
      <c r="L8" s="201" t="str">
        <f>IF('SCOUT &amp; LOGISTICS'!D8="","",'SCOUT &amp; LOGISTICS'!D8)</f>
        <v>AUKSE ZAKRIENE</v>
      </c>
      <c r="M8" s="201"/>
      <c r="N8" s="201"/>
      <c r="O8" s="201"/>
      <c r="P8" s="201"/>
      <c r="Q8" s="201" t="str">
        <f>IF('SCOUT &amp; LOGISTICS'!D9="","",'SCOUT &amp; LOGISTICS'!D9)</f>
        <v>ODETA DULIENE</v>
      </c>
      <c r="R8" s="201"/>
      <c r="S8" s="201"/>
      <c r="T8" s="201"/>
      <c r="U8" s="201"/>
      <c r="V8" s="201" t="str">
        <f>IF('SCOUT &amp; LOGISTICS'!D10="","",'SCOUT &amp; LOGISTICS'!D10)</f>
        <v>GINTARE BUKARTAITE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VERGÉ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696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1.4367816091954023E-2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4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3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Good job in general, specially on complex situations that happened during the game. About the criteria corrections I wouldn't worry too much as they were almost impossible to see live. However, I'd encourage you to avoid "easy" missing situations.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14.936781609195402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F4F7DB5-EB0A-4EE9-BA66-782169566C0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2025-10-14T14:13:07Z</cp:lastPrinted>
  <dcterms:created xsi:type="dcterms:W3CDTF">2023-09-19T19:50:35Z</dcterms:created>
  <dcterms:modified xsi:type="dcterms:W3CDTF">2025-10-16T14:14:12Z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