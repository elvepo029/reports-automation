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4" documentId="8_{8FEE2B03-8706-48C3-A326-BD18DCDF8113}" xr6:coauthVersionLast="47" xr6:coauthVersionMax="47" xr10:uidLastSave="{099458A2-D6CD-4297-BC66-948F30AB5524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<sst xmlns="http://schemas.openxmlformats.org/spreadsheetml/2006/main" count="3280" uniqueCount="762">
  <si>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</si>
  <si>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</si>
  <si>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</si>
  <si>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</si>
  <si>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</si>
  <si>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</si>
  <si>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</si>
  <si>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</si>
  <si>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</si>
  <si>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</si>
  <si>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</si>
  <si>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</si>
  <si>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</si>
  <si>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</si>
  <si>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</si>
  <si>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</si>
  <si>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</si>
  <si>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</si>
  <si>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</si>
  <si>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</si>
  <si>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</si>
  <si>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</si>
  <si>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</si>
  <si>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</si>
  <si>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</si>
  <si>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</si>
  <si>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</si>
  <si>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</si>
  <si>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</si>
  <si>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</si>
  <si>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</si>
  <si>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</si>
  <si>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</si>
  <si>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</si>
  <si>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</si>
  <si>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</si>
  <si>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</si>
  <si>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</si>
  <si>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</si>
  <si>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</si>
  <si>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</si>
  <si>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</si>
  <si>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</si>
  <si>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</si>
  <si>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</si>
  <si>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</si>
  <si>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</si>
  <si>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</si>
  <si>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</si>
  <si>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</si>
  <si>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</si>
  <si>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</si>
  <si>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</si>
  <si>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</si>
  <si>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</si>
  <si>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</si>
  <si>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</si>
  <si>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</si>
  <si>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</si>
  <si>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</si>
  <si>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</si>
  <si>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</si>
  <si>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</si>
  <si>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</si>
  <si>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</si>
  <si>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</si>
  <si>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</si>
  <si>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</si>
  <si>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</si>
  <si>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</si>
  <si>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</si>
  <si>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</si>
  <si>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</si>
  <si>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</si>
  <si>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</si>
  <si>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</si>
  <si>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</si>
  <si>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</si>
  <si>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</si>
  <si>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</si>
  <si>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</si>
  <si>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</si>
  <si>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</si>
  <si>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</si>
  <si>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</si>
  <si>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</si>
  <si>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</si>
  <si>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</si>
  <si>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</si>
  <si>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</si>
  <si>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</si>
  <si>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</si>
  <si>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</si>
  <si>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</si>
  <si>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</si>
  <si>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</si>
  <si>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</si>
  <si>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</si>
  <si>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</si>
  <si>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</si>
  <si>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</si>
  <si>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</si>
  <si>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</si>
  <si>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</si>
  <si>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</si>
  <si>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</si>
  <si>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</si>
  <si>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</si>
  <si>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</si>
  <si>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</si>
  <si>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</si>
  <si>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</si>
  <si>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</si>
  <si>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</si>
  <si>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</si>
  <si>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</si>
  <si>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</si>
  <si>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</si>
  <si>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</si>
  <si>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</si>
  <si>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</si>
  <si>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</si>
  <si>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</si>
  <si>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</si>
  <si>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</si>
  <si>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</si>
  <si>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</si>
  <si>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</si>
  <si>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</si>
  <si>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</si>
  <si>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</si>
  <si>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</si>
  <si>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</si>
  <si>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</si>
  <si>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</si>
  <si>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</si>
  <si>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</si>
  <si>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</si>
  <si>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</si>
  <si>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</si>
  <si>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</si>
  <si>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</si>
  <si>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</si>
  <si>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</si>
  <si>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</si>
  <si>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</si>
  <si>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</si>
  <si>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</si>
  <si>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</si>
  <si>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</si>
  <si>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</si>
  <si>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</si>
  <si>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</si>
  <si>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</si>
  <si>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</si>
  <si>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</si>
  <si>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</si>
  <si>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</si>
  <si>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</si>
  <si>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</si>
  <si>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</si>
  <si>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</si>
  <si>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</si>
  <si>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</si>
  <si>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</si>
  <si>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</si>
  <si>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</si>
  <si>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</si>
  <si>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</si>
  <si>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</si>
  <si>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</si>
  <si>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</si>
  <si>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</si>
  <si>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</si>
  <si>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</si>
  <si>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</si>
  <si>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</si>
  <si>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</si>
  <si>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</si>
  <si>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</si>
  <si>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</si>
  <si>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</si>
  <si>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</si>
  <si>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</si>
  <si>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</si>
  <si>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</si>
  <si>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</si>
  <si>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</si>
  <si>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</si>
  <si>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</si>
  <si>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</si>
  <si>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</si>
  <si>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</si>
  <si>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</si>
  <si>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</si>
  <si>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</si>
  <si>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</si>
  <si>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</si>
  <si>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</si>
  <si>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</si>
  <si>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</si>
  <si>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</si>
  <si>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</si>
  <si>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</si>
  <si>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</si>
  <si>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</si>
  <si>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</si>
  <si>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</si>
  <si>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</si>
  <si>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</si>
  <si>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</si>
  <si>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</si>
  <si>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</si>
  <si>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</si>
  <si>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</si>
  <si>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</si>
  <si>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</si>
  <si>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</si>
  <si>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</si>
  <si>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</si>
  <si>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</si>
  <si>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</si>
  <si>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</si>
  <si>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</si>
  <si>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</si>
  <si>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</si>
  <si>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</si>
  <si>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</si>
  <si>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</si>
  <si>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</si>
  <si>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</si>
  <si>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</si>
  <si>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</si>
  <si>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</si>
  <si>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</si>
  <si>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</si>
  <si>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</si>
  <si>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</si>
  <si>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</si>
  <si>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</si>
  <si>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</si>
  <si>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</si>
  <si>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</si>
  <si>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</si>
  <si>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</si>
  <si>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</si>
  <si>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</si>
  <si>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</si>
  <si>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</si>
  <si>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</si>
  <si>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</si>
  <si>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</si>
  <si>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</si>
  <si>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</si>
  <si>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</si>
  <si>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</si>
  <si>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</si>
  <si>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</si>
  <si>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</si>
  <si>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</si>
  <si>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</si>
  <si>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</si>
  <si>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</si>
  <si>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</si>
  <si>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</si>
  <si>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</si>
  <si>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</si>
  <si>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</si>
  <si>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</si>
  <si>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</si>
  <si>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</si>
  <si>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</si>
  <si>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</si>
  <si>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</si>
  <si>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</si>
  <si>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</si>
  <si>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</si>
  <si>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</si>
  <si>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</si>
  <si>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</si>
  <si>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</si>
  <si>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</si>
  <si>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</si>
  <si>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</si>
  <si>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</si>
  <si>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</si>
  <si>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</si>
  <si>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</si>
  <si>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</si>
  <si>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</si>
  <si>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</si>
  <si>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</si>
  <si>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</si>
  <si>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</si>
  <si>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</si>
  <si>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</si>
  <si>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</si>
  <si>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</si>
  <si>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</si>
  <si>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</si>
  <si>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</si>
  <si>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</si>
  <si>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</si>
  <si>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</si>
  <si>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</si>
  <si>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</si>
  <si>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</si>
  <si>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</si>
  <si>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</si>
  <si>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</si>
  <si>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</si>
  <si>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</si>
  <si>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</si>
  <si>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</si>
  <si>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</si>
  <si>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</si>
  <si>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</si>
  <si>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</si>
  <si>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</si>
  <si>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</si>
  <si>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</si>
  <si>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</si>
  <si>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</si>
  <si>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</si>
  <si>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</si>
  <si>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</si>
  <si>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</si>
  <si>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</si>
  <si>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</si>
  <si>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</si>
  <si>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</si>
  <si>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</si>
  <si>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</si>
  <si>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</si>
  <si>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</si>
  <si>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</si>
  <si>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</si>
  <si>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</si>
  <si>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</si>
  <si>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</si>
  <si>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</si>
  <si>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</si>
  <si>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</si>
  <si>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</si>
  <si>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</si>
  <si>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</si>
  <si>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</si>
  <si>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</si>
  <si>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</si>
  <si>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</si>
  <si>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</si>
  <si>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</si>
  <si>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</si>
  <si>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</si>
  <si>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</si>
  <si>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</si>
  <si>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</si>
  <si>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</si>
  <si>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</si>
  <si>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</si>
  <si>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</si>
  <si>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</si>
  <si>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</si>
  <si>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</si>
  <si>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</si>
  <si>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</si>
  <si>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</si>
  <si>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</si>
  <si>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</si>
  <si>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</si>
  <si>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</si>
  <si>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</si>
  <si>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</si>
  <si>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</si>
  <si>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</si>
  <si>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</si>
  <si>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</si>
  <si>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</si>
  <si>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</si>
  <si>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</si>
  <si>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</si>
  <si>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</si>
  <si>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</si>
  <si>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</si>
  <si>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</si>
  <si>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</si>
  <si>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</si>
  <si>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</si>
  <si>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</si>
  <si>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</si>
  <si>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</si>
  <si>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</si>
  <si>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</si>
  <si>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</si>
  <si>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</si>
  <si>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</si>
  <si>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</si>
  <si>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</si>
  <si>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</si>
  <si>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</si>
  <si>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</si>
  <si>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</si>
  <si>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</si>
  <si>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</si>
  <si>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</si>
  <si>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</si>
  <si>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</si>
  <si>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</si>
  <si>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</si>
  <si>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</si>
  <si>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</si>
  <si>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</si>
  <si>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</si>
  <si>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</si>
  <si>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</si>
  <si>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</si>
  <si>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</si>
  <si>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</si>
  <si>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</si>
  <si>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</si>
  <si>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</si>
  <si>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</si>
  <si>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</si>
  <si>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</si>
  <si>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</si>
  <si>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</si>
  <si>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</si>
  <si>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</si>
  <si>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</si>
  <si>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</si>
  <si>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</si>
  <si>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</si>
  <si>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</si>
  <si>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</si>
  <si>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</si>
  <si>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</si>
  <si>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</si>
  <si>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</si>
  <si>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</si>
  <si>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</si>
  <si>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</si>
  <si>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</si>
  <si>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</si>
  <si>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</si>
  <si>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</si>
  <si>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</si>
  <si>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</si>
  <si>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</si>
  <si>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</si>
  <si>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</si>
  <si>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</si>
  <si>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</si>
  <si>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</si>
  <si>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</si>
  <si>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</si>
  <si>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</si>
  <si>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</si>
  <si>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</si>
  <si>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</si>
  <si>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</si>
  <si>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</si>
  <si>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</si>
  <si>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</si>
  <si>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</si>
  <si>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</si>
  <si>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</si>
  <si>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</si>
  <si>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</si>
  <si>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</si>
  <si>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</si>
  <si>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</si>
  <si>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</si>
  <si>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</si>
  <si>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</si>
  <si>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</si>
  <si>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</si>
  <si>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</si>
  <si>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</si>
  <si>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</si>
  <si>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</si>
  <si>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</si>
  <si>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</si>
  <si>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</si>
  <si>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</si>
  <si>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</si>
  <si>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</si>
  <si>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</si>
  <si>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</si>
  <si>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</si>
  <si>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</si>
  <si>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</si>
  <si>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</si>
  <si>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</si>
  <si>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</si>
  <si>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</si>
  <si>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</si>
  <si>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</si>
  <si>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</si>
  <si>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</si>
  <si>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</si>
  <si>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</si>
  <si>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</si>
  <si>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</si>
  <si>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</si>
  <si>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</si>
  <si>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</si>
  <si>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</si>
  <si>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</si>
  <si>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</si>
  <si>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</si>
  <si>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</si>
  <si>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</si>
  <si>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</si>
  <si>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</si>
  <si>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</si>
  <si>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</si>
  <si>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</si>
  <si>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</si>
  <si>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</si>
  <si>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</si>
  <si>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</si>
  <si>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</si>
  <si>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</si>
  <si>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</si>
  <si>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</si>
  <si>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</si>
  <si>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</si>
  <si>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</si>
  <si>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</si>
  <si>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</si>
  <si>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</si>
  <si>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</si>
  <si>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</si>
  <si>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</si>
  <si>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</si>
  <si>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</si>
  <si>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</si>
  <si>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</si>
  <si>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</si>
  <si>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</si>
  <si>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</si>
  <si>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</si>
  <si>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</si>
  <si>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</si>
  <si>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</si>
  <si>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</si>
  <si>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</si>
  <si>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</si>
  <si>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</si>
  <si>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</si>
  <si>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</si>
  <si>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</si>
  <si>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</si>
  <si>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</si>
  <si>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</si>
  <si>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</si>
  <si>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</si>
  <si>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</si>
  <si>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</si>
  <si>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</si>
  <si>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</si>
  <si>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</si>
  <si>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</si>
  <si>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</si>
  <si>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</si>
  <si>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</si>
  <si>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</si>
  <si>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</si>
  <si>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</si>
  <si>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</si>
  <si>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</si>
  <si>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</si>
  <si>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</si>
  <si>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</si>
  <si>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</si>
  <si>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</si>
  <si>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</si>
  <si>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</si>
  <si>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</si>
  <si>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</si>
  <si>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</si>
  <si>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</si>
  <si>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</si>
  <si>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</si>
  <si>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</si>
  <si>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</si>
  <si>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</si>
  <si>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</si>
  <si>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</si>
  <si>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</si>
  <si>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</si>
  <si>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</si>
  <si>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</si>
  <si>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</si>
  <si>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</si>
  <si>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</si>
  <si>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</si>
  <si>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</si>
  <si>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</si>
  <si>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</si>
  <si>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</si>
  <si>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</si>
  <si>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</si>
  <si>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</si>
  <si>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</si>
  <si>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</si>
  <si>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</si>
  <si>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</si>
  <si>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</si>
  <si>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</si>
  <si>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</si>
  <si>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</si>
  <si>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</si>
  <si>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</si>
  <si>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</si>
  <si>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</si>
  <si>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</si>
  <si>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</si>
  <si>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</si>
  <si>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</si>
  <si>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</si>
  <si>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</si>
  <si>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</si>
  <si>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</si>
  <si>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</si>
  <si>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</si>
  <si>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</si>
  <si>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</si>
  <si>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</si>
  <si>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</si>
  <si>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</si>
  <si>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</si>
  <si>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</si>
  <si>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</si>
  <si>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</si>
  <si>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</si>
  <si>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</si>
  <si>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</si>
  <si>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</si>
  <si>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</si>
  <si>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</si>
  <si>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</si>
  <si>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</si>
  <si>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</si>
  <si>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</si>
  <si>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</si>
  <si>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</si>
  <si>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</si>
  <si>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</si>
  <si>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</si>
  <si>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</si>
  <si>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</si>
  <si>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</si>
  <si>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</si>
  <si>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</si>
  <si>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</si>
  <si>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</si>
  <si>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</si>
  <si>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</si>
  <si>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</si>
  <si>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</si>
  <si>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</si>
  <si>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</si>
  <si>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</si>
  <si>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</si>
  <si>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</si>
  <si>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</si>
  <si>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</si>
  <si>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</si>
  <si>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</si>
  <si>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</si>
  <si>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</si>
  <si>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</si>
  <si>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</si>
  <si>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</si>
  <si>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</si>
  <si>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</si>
  <si>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</si>
  <si>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</si>
  <si>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</si>
  <si>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</si>
  <si>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</si>
  <si>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</si>
  <si>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</si>
  <si>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</si>
  <si>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</si>
  <si>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</si>
  <si>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</si>
  <si>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</si>
  <si>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</si>
  <si>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</si>
  <si>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</si>
  <si>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</si>
  <si>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</si>
  <si>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</si>
  <si>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</si>
  <si>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</si>
  <si>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</si>
  <si>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</si>
  <si>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</si>
  <si>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</si>
  <si>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</si>
  <si>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</si>
  <si>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</si>
  <si>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</si>
  <si>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</si>
  <si>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</si>
  <si>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</si>
  <si>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</si>
  <si>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</si>
  <si>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</si>
  <si>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</si>
  <si>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</si>
  <si>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</si>
  <si>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</si>
  <si>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</si>
  <si>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</si>
  <si>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</si>
  <si>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</si>
  <si>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</si>
  <si>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</si>
  <si>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</si>
  <si>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</si>
  <si>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</si>
  <si>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</si>
  <si>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</si>
  <si>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</si>
  <si>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</si>
  <si>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</si>
  <si>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</si>
  <si>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</si>
  <si>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</si>
  <si>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</si>
  <si>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</si>
  <si>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</si>
  <si>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</si>
  <si>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</si>
  <si>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</si>
  <si>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</si>
  <si>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</si>
  <si>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</si>
  <si>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</si>
  <si>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</si>
  <si>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</si>
  <si>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</si>
  <si>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</si>
  <si>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</si>
  <si>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</si>
  <si>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</si>
  <si>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</si>
  <si>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</si>
  <si>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HUBERT KRAGLER</t>
  </si>
  <si>
    <t>MARKUS IDSTEIN</t>
  </si>
  <si>
    <t>ROBERT BAYERER</t>
  </si>
  <si>
    <t>09:43</t>
  </si>
  <si>
    <t>08:46</t>
  </si>
  <si>
    <t>04:08</t>
  </si>
  <si>
    <t>01:18</t>
  </si>
  <si>
    <t>05:52</t>
  </si>
  <si>
    <t>01:29</t>
  </si>
  <si>
    <t>When evaluating an assist, check whether the player was defended or not. There was a play where a player made a small fake and took a shot, but since there was no defender, it counts as an assist. On the other hand, remember that if there's a player not on the court because you didn’t record a substitution, EBStats allows you to assign plays to bench players. The second half was almost perfect.</t>
  </si>
  <si>
    <t>C:\Users\xavi.mateu\OneDrive - EUROLEAGUE\Documents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</si>
</sst>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03_029_MUN_ZAL_E2025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45940.854166666664</v>
      </c>
      <c r="C3" s="157"/>
      <c r="D3" s="39">
        <v>577</v>
      </c>
      <c r="E3" s="29"/>
      <c r="F3" s="26">
        <f>SUBTOTAL(3,I17:I106)</f>
        <v>7</v>
      </c>
      <c r="G3" s="27">
        <f>IF(OR(D3="",D3=0),"",F3/D3)</f>
        <v>1.2131715771230503E-2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Bayern Munich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1.2131715771230503E-2</v>
      </c>
      <c r="S4" s="61">
        <f>SUM(I13:M13)</f>
        <v>0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1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1.2131715771230502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5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724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723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11.713171577123051</v>
      </c>
      <c r="N7" s="58"/>
      <c r="O7" s="2"/>
      <c r="P7" s="2"/>
      <c r="Q7" s="86">
        <f>SUM(R5,S5,AC16)</f>
        <v>11.713171577123051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11.713171577123051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728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1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29</v>
      </c>
      <c r="D17" s="32" t="s">
        <v>754</v>
      </c>
      <c r="E17" s="33">
        <v>1</v>
      </c>
      <c r="F17" s="36">
        <v>2</v>
      </c>
      <c r="G17" s="36">
        <v>0</v>
      </c>
      <c r="H17" s="38" t="str">
        <f>IF(I17="","",$I$14)</f>
        <v>SCOUTING</v>
      </c>
      <c r="I17" s="34">
        <v>4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29</v>
      </c>
      <c r="D18" s="32" t="s">
        <v>755</v>
      </c>
      <c r="E18" s="33">
        <v>1</v>
      </c>
      <c r="F18" s="36">
        <v>4</v>
      </c>
      <c r="G18" s="36">
        <v>0</v>
      </c>
      <c r="H18" s="38" t="str">
        <f t="shared" ref="H18:H81" si="8">IF(I18="","",$I$14)</f>
        <v>SCOUTING</v>
      </c>
      <c r="I18" s="34">
        <v>9</v>
      </c>
      <c r="J18" s="13" t="s">
        <v>4</v>
      </c>
      <c r="K18" s="13" t="s">
        <v>63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29</v>
      </c>
      <c r="D19" s="32" t="s">
        <v>756</v>
      </c>
      <c r="E19" s="33">
        <v>1</v>
      </c>
      <c r="F19" s="36">
        <v>11</v>
      </c>
      <c r="G19" s="36">
        <v>16</v>
      </c>
      <c r="H19" s="38" t="str">
        <f t="shared" si="8"/>
        <v>SCOUTING</v>
      </c>
      <c r="I19" s="34">
        <v>69</v>
      </c>
      <c r="J19" s="13" t="s">
        <v>4</v>
      </c>
      <c r="K19" s="13" t="s">
        <v>62</v>
      </c>
      <c r="L19" s="13" t="s">
        <v>6</v>
      </c>
      <c r="M19" s="13" t="s">
        <v>26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29</v>
      </c>
      <c r="D20" s="32" t="s">
        <v>757</v>
      </c>
      <c r="E20" s="33">
        <v>4</v>
      </c>
      <c r="F20" s="36">
        <v>68</v>
      </c>
      <c r="G20" s="36">
        <v>95</v>
      </c>
      <c r="H20" s="38" t="str">
        <f t="shared" si="8"/>
        <v>SCOUTING</v>
      </c>
      <c r="I20" s="34">
        <v>573</v>
      </c>
      <c r="J20" s="13" t="s">
        <v>4</v>
      </c>
      <c r="K20" s="13" t="s">
        <v>63</v>
      </c>
      <c r="L20" s="13" t="s">
        <v>7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1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29</v>
      </c>
      <c r="D21" s="32" t="s">
        <v>757</v>
      </c>
      <c r="E21" s="33">
        <v>2</v>
      </c>
      <c r="F21" s="36">
        <v>28</v>
      </c>
      <c r="G21" s="36">
        <v>43</v>
      </c>
      <c r="H21" s="38" t="str">
        <f t="shared" si="8"/>
        <v>SCOUTING</v>
      </c>
      <c r="I21" s="34">
        <v>275</v>
      </c>
      <c r="J21" s="13" t="s">
        <v>3</v>
      </c>
      <c r="K21" s="13" t="s">
        <v>63</v>
      </c>
      <c r="L21" s="13" t="s">
        <v>78</v>
      </c>
      <c r="M21" s="13" t="s">
        <v>78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29</v>
      </c>
      <c r="D22" s="32" t="s">
        <v>758</v>
      </c>
      <c r="E22" s="33">
        <v>1</v>
      </c>
      <c r="F22" s="36">
        <v>7</v>
      </c>
      <c r="G22" s="36">
        <v>6</v>
      </c>
      <c r="H22" s="38" t="str">
        <f t="shared" si="8"/>
        <v>SCOUTING</v>
      </c>
      <c r="I22" s="34">
        <v>43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29</v>
      </c>
      <c r="D23" s="32" t="s">
        <v>759</v>
      </c>
      <c r="E23" s="33">
        <v>3</v>
      </c>
      <c r="F23" s="36">
        <v>51</v>
      </c>
      <c r="G23" s="36">
        <v>64</v>
      </c>
      <c r="H23" s="38" t="str">
        <f t="shared" si="8"/>
        <v>SCOUTING</v>
      </c>
      <c r="I23" s="34">
        <v>419</v>
      </c>
      <c r="J23" s="13" t="s">
        <v>4</v>
      </c>
      <c r="K23" s="13" t="s">
        <v>63</v>
      </c>
      <c r="L23" s="13" t="s">
        <v>5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1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REPORT_E2025029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"E2025029"</v>
      </c>
      <c r="F3" s="45" t="str">
        <f t="shared" ref="F3:F16" si="0">""""&amp;B3&amp;"""" &amp; " : " &amp;C3&amp;","</f>
        <v>"name" : "E2025029",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"E029"</v>
      </c>
      <c r="F4" s="45" t="str">
        <f t="shared" si="0"/>
        <v>"cod" : "E029",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029</v>
      </c>
      <c r="F6" s="45" t="str">
        <f t="shared" si="0"/>
        <v>"number" : 029,</v>
      </c>
    </row>
    <row r="7" spans="2:6" x14ac:dyDescent="0.25">
      <c r="B7" s="43" t="s">
        <v>116</v>
      </c>
      <c r="C7" s="43" t="str">
        <f ca="1">""""&amp;TEXT('SCOUT &amp; LOGISTICS'!B3,"dd/mm/aaaa")&amp;""""</f>
        <v>"10/10/Friday"</v>
      </c>
      <c r="F7" s="45" t="str">
        <f t="shared" ca="1" si="0"/>
        <v>"date" : "10/10/Friday",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"MANUEL HERZOG"</v>
      </c>
      <c r="F10" s="45" t="str">
        <f t="shared" si="0"/>
        <v>"Data_entry" : "MANUEL HERZOG",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"SEBASTIAN BLANZ"</v>
      </c>
      <c r="F11" s="45" t="str">
        <f t="shared" si="0"/>
        <v>"Caller_1" : "SEBASTIAN BLANZ",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"HUBERT KRAGLER"</v>
      </c>
      <c r="F12" s="45" t="str">
        <f t="shared" si="0"/>
        <v>"Caller_2" : "HUBERT KRAGLER",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"MARKUS IDSTEIN"</v>
      </c>
      <c r="F13" s="45" t="str">
        <f t="shared" si="0"/>
        <v>"Timerkeeper" : "MARKUS IDSTEIN",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"ROBERT BAYERER"</v>
      </c>
      <c r="F14" s="45" t="str">
        <f t="shared" si="0"/>
        <v>"Shotclock" : "ROBERT BAYERER",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577</v>
      </c>
      <c r="F25" s="45" t="str">
        <f t="shared" ref="F25:F48" si="1">""""&amp;C25&amp;"""" &amp; " : " &amp;D25&amp;","</f>
        <v>"total_actions" : 577,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1</v>
      </c>
      <c r="F49" s="45" t="str">
        <f>""""&amp;C49&amp;"""" &amp; " : " &amp;D49</f>
        <v>"points" : 1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"When evaluating an assist, check whether the player was defended or not. There was a play where a player made a small fake and took a shot, but since there was no defender, it counts as an assist. On the other hand, remember that if there's a player not on the court because you didn’t record a substitution, EBStats allows you to assign plays to bench players. The second half was almost perfect."</v>
      </c>
      <c r="F51" s="45" t="str">
        <f>""""&amp;B51&amp;"""" &amp; " : " &amp;C51&amp;","</f>
        <v>"comments" : "When evaluating an assist, check whether the player was defended or not. There was a play where a player made a small fake and took a shot, but since there was no defender, it counts as an assist. On the other hand, remember that if there's a player not on the court because you didn’t record a substitution, EBStats allows you to assign plays to bench players. The second half was almost perfect.",</v>
      </c>
    </row>
    <row r="52" spans="2:6" x14ac:dyDescent="0.25">
      <c r="B52" s="43" t="s">
        <v>153</v>
      </c>
      <c r="C52" s="43" t="str">
        <f>TEXT('SCOUT &amp; LOGISTICS'!F1,"0,0")</f>
        <v>03_029_MUN_ZAL_E2025</v>
      </c>
      <c r="F52" s="45" t="str">
        <f>""""&amp;B52&amp;"""" &amp; " : " &amp;C52</f>
        <v>"result" : 03_029_MUN_ZAL_E2025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E029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10/10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Bayern Munich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MANUEL HERZOG</v>
      </c>
      <c r="C8" s="206"/>
      <c r="D8" s="206"/>
      <c r="E8" s="206"/>
      <c r="F8" s="206"/>
      <c r="G8" s="206" t="str">
        <f>IF('SCOUT &amp; LOGISTICS'!D7="","",'SCOUT &amp; LOGISTICS'!D7)</f>
        <v>SEBASTIAN BLANZ</v>
      </c>
      <c r="H8" s="206"/>
      <c r="I8" s="206"/>
      <c r="J8" s="206"/>
      <c r="K8" s="206"/>
      <c r="L8" s="206" t="str">
        <f>IF('SCOUT &amp; LOGISTICS'!D8="","",'SCOUT &amp; LOGISTICS'!D8)</f>
        <v>HUBERT KRAGLER</v>
      </c>
      <c r="M8" s="206"/>
      <c r="N8" s="206"/>
      <c r="O8" s="206"/>
      <c r="P8" s="206"/>
      <c r="Q8" s="206" t="str">
        <f>IF('SCOUT &amp; LOGISTICS'!D9="","",'SCOUT &amp; LOGISTICS'!D9)</f>
        <v>MARKUS IDSTEIN</v>
      </c>
      <c r="R8" s="206"/>
      <c r="S8" s="206"/>
      <c r="T8" s="206"/>
      <c r="U8" s="206"/>
      <c r="V8" s="206" t="str">
        <f>IF('SCOUT &amp; LOGISTICS'!D10="","",'SCOUT &amp; LOGISTICS'!D10)</f>
        <v>ROBERT BAYERER</v>
      </c>
      <c r="W8" s="206"/>
      <c r="X8" s="206"/>
      <c r="Y8" s="206"/>
      <c r="Z8" s="206"/>
      <c r="AA8" s="206" t="str">
        <f>IF('SCOUT &amp; LOGISTICS'!D11="","",'SCOUT &amp; LOGISTICS'!D11)</f>
        <v>ROBERT TAVASZI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1.2131715771230503E-2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5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1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When evaluating an assist, check whether the player was defended or not. There was a play where a player made a small fake and took a shot, but since there was no defender, it counts as an assist. On the other hand, remember that if there's a player not on the court because you didn’t record a substitution, EBStats allows you to assign plays to bench players. The second half was almost perfect.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11.713171577123051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86F270-B9E6-4C58-887C-843822E4EE96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2025-10-14T13:31:20Z</cp:lastPrinted>
  <dcterms:created xsi:type="dcterms:W3CDTF">2023-09-19T19:50:35Z</dcterms:created>
  <dcterms:modified xsi:type="dcterms:W3CDTF">2025-10-14T13:32:48Z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