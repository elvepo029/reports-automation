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0B7B6E30-A432-4249-87EE-0EAE373D276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<sst xmlns="http://schemas.openxmlformats.org/spreadsheetml/2006/main" count="3249" uniqueCount="757">
  <si>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</si>
  <si>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</si>
  <si>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</si>
  <si>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</si>
  <si>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</si>
  <si>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</si>
  <si>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</si>
  <si>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</si>
  <si>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</si>
  <si>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</si>
  <si>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</si>
  <si>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</si>
  <si>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</si>
  <si>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</si>
  <si>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</si>
  <si>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</si>
  <si>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</si>
  <si>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</si>
  <si>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</si>
  <si>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</si>
  <si>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</si>
  <si>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</si>
  <si>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</si>
  <si>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</si>
  <si>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</si>
  <si>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</si>
  <si>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</si>
  <si>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</si>
  <si>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</si>
  <si>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</si>
  <si>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</si>
  <si>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</si>
  <si>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</si>
  <si>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</si>
  <si>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</si>
  <si>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</si>
  <si>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</si>
  <si>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</si>
  <si>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</si>
  <si>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</si>
  <si>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</si>
  <si>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</si>
  <si>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</si>
  <si>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</si>
  <si>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</si>
  <si>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</si>
  <si>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</si>
  <si>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</si>
  <si>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</si>
  <si>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</si>
  <si>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</si>
  <si>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</si>
  <si>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</si>
  <si>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</si>
  <si>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</si>
  <si>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</si>
  <si>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</si>
  <si>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</si>
  <si>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</si>
  <si>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</si>
  <si>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</si>
  <si>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</si>
  <si>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</si>
  <si>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</si>
  <si>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</si>
  <si>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</si>
  <si>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</si>
  <si>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</si>
  <si>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</si>
  <si>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</si>
  <si>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</si>
  <si>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</si>
  <si>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</si>
  <si>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</si>
  <si>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</si>
  <si>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</si>
  <si>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</si>
  <si>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</si>
  <si>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</si>
  <si>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</si>
  <si>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</si>
  <si>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</si>
  <si>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</si>
  <si>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</si>
  <si>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</si>
  <si>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</si>
  <si>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</si>
  <si>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</si>
  <si>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</si>
  <si>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</si>
  <si>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</si>
  <si>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</si>
  <si>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</si>
  <si>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</si>
  <si>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</si>
  <si>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</si>
  <si>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</si>
  <si>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</si>
  <si>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</si>
  <si>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</si>
  <si>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</si>
  <si>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</si>
  <si>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</si>
  <si>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</si>
  <si>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</si>
  <si>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</si>
  <si>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</si>
  <si>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</si>
  <si>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</si>
  <si>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</si>
  <si>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</si>
  <si>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</si>
  <si>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</si>
  <si>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</si>
  <si>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</si>
  <si>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</si>
  <si>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</si>
  <si>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</si>
  <si>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</si>
  <si>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</si>
  <si>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</si>
  <si>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</si>
  <si>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</si>
  <si>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</si>
  <si>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</si>
  <si>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</si>
  <si>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</si>
  <si>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</si>
  <si>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</si>
  <si>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</si>
  <si>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</si>
  <si>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</si>
  <si>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</si>
  <si>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</si>
  <si>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</si>
  <si>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</si>
  <si>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</si>
  <si>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</si>
  <si>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</si>
  <si>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</si>
  <si>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</si>
  <si>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</si>
  <si>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</si>
  <si>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</si>
  <si>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</si>
  <si>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</si>
  <si>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</si>
  <si>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</si>
  <si>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</si>
  <si>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</si>
  <si>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</si>
  <si>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</si>
  <si>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</si>
  <si>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</si>
  <si>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</si>
  <si>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</si>
  <si>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</si>
  <si>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</si>
  <si>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</si>
  <si>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</si>
  <si>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</si>
  <si>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</si>
  <si>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</si>
  <si>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</si>
  <si>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</si>
  <si>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</si>
  <si>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</si>
  <si>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</si>
  <si>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</si>
  <si>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</si>
  <si>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</si>
  <si>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</si>
  <si>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</si>
  <si>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</si>
  <si>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</si>
  <si>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</si>
  <si>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</si>
  <si>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</si>
  <si>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</si>
  <si>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</si>
  <si>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</si>
  <si>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</si>
  <si>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</si>
  <si>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</si>
  <si>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</si>
  <si>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</si>
  <si>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</si>
  <si>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</si>
  <si>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</si>
  <si>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</si>
  <si>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</si>
  <si>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</si>
  <si>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</si>
  <si>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</si>
  <si>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</si>
  <si>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</si>
  <si>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</si>
  <si>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</si>
  <si>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</si>
  <si>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</si>
  <si>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</si>
  <si>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</si>
  <si>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</si>
  <si>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</si>
  <si>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</si>
  <si>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</si>
  <si>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</si>
  <si>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</si>
  <si>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</si>
  <si>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</si>
  <si>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</si>
  <si>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</si>
  <si>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</si>
  <si>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</si>
  <si>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</si>
  <si>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</si>
  <si>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</si>
  <si>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</si>
  <si>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</si>
  <si>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</si>
  <si>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</si>
  <si>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</si>
  <si>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</si>
  <si>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</si>
  <si>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</si>
  <si>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</si>
  <si>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</si>
  <si>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</si>
  <si>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</si>
  <si>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</si>
  <si>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</si>
  <si>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</si>
  <si>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</si>
  <si>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</si>
  <si>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</si>
  <si>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</si>
  <si>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</si>
  <si>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</si>
  <si>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</si>
  <si>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</si>
  <si>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</si>
  <si>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</si>
  <si>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</si>
  <si>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</si>
  <si>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</si>
  <si>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</si>
  <si>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</si>
  <si>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</si>
  <si>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</si>
  <si>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</si>
  <si>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</si>
  <si>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</si>
  <si>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</si>
  <si>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</si>
  <si>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</si>
  <si>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</si>
  <si>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</si>
  <si>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</si>
  <si>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</si>
  <si>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</si>
  <si>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</si>
  <si>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</si>
  <si>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</si>
  <si>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</si>
  <si>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</si>
  <si>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</si>
  <si>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</si>
  <si>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</si>
  <si>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</si>
  <si>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</si>
  <si>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</si>
  <si>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</si>
  <si>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</si>
  <si>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</si>
  <si>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</si>
  <si>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</si>
  <si>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</si>
  <si>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</si>
  <si>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</si>
  <si>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</si>
  <si>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</si>
  <si>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</si>
  <si>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</si>
  <si>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</si>
  <si>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</si>
  <si>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</si>
  <si>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</si>
  <si>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</si>
  <si>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</si>
  <si>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</si>
  <si>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</si>
  <si>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</si>
  <si>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</si>
  <si>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</si>
  <si>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</si>
  <si>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</si>
  <si>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</si>
  <si>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</si>
  <si>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</si>
  <si>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</si>
  <si>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</si>
  <si>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</si>
  <si>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</si>
  <si>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</si>
  <si>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</si>
  <si>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</si>
  <si>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</si>
  <si>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</si>
  <si>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</si>
  <si>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</si>
  <si>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</si>
  <si>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</si>
  <si>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</si>
  <si>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</si>
  <si>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</si>
  <si>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</si>
  <si>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</si>
  <si>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</si>
  <si>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</si>
  <si>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</si>
  <si>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</si>
  <si>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</si>
  <si>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</si>
  <si>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</si>
  <si>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</si>
  <si>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</si>
  <si>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</si>
  <si>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</si>
  <si>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</si>
  <si>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</si>
  <si>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</si>
  <si>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</si>
  <si>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</si>
  <si>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</si>
  <si>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</si>
  <si>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</si>
  <si>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</si>
  <si>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</si>
  <si>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</si>
  <si>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</si>
  <si>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</si>
  <si>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</si>
  <si>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</si>
  <si>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</si>
  <si>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</si>
  <si>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</si>
  <si>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</si>
  <si>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</si>
  <si>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</si>
  <si>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</si>
  <si>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</si>
  <si>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</si>
  <si>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</si>
  <si>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</si>
  <si>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</si>
  <si>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</si>
  <si>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</si>
  <si>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</si>
  <si>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</si>
  <si>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</si>
  <si>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</si>
  <si>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</si>
  <si>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</si>
  <si>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</si>
  <si>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</si>
  <si>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</si>
  <si>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</si>
  <si>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</si>
  <si>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</si>
  <si>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</si>
  <si>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</si>
  <si>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</si>
  <si>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</si>
  <si>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</si>
  <si>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</si>
  <si>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</si>
  <si>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</si>
  <si>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</si>
  <si>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</si>
  <si>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</si>
  <si>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</si>
  <si>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</si>
  <si>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</si>
  <si>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</si>
  <si>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</si>
  <si>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</si>
  <si>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</si>
  <si>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</si>
  <si>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</si>
  <si>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</si>
  <si>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</si>
  <si>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</si>
  <si>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</si>
  <si>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</si>
  <si>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</si>
  <si>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</si>
  <si>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</si>
  <si>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</si>
  <si>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</si>
  <si>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</si>
  <si>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</si>
  <si>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</si>
  <si>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</si>
  <si>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</si>
  <si>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</si>
  <si>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</si>
  <si>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</si>
  <si>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</si>
  <si>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</si>
  <si>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</si>
  <si>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</si>
  <si>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</si>
  <si>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</si>
  <si>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</si>
  <si>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</si>
  <si>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</si>
  <si>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</si>
  <si>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</si>
  <si>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</si>
  <si>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</si>
  <si>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</si>
  <si>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</si>
  <si>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</si>
  <si>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</si>
  <si>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</si>
  <si>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</si>
  <si>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</si>
  <si>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</si>
  <si>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</si>
  <si>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</si>
  <si>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</si>
  <si>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</si>
  <si>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</si>
  <si>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</si>
  <si>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</si>
  <si>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</si>
  <si>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</si>
  <si>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</si>
  <si>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</si>
  <si>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</si>
  <si>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</si>
  <si>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</si>
  <si>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</si>
  <si>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</si>
  <si>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</si>
  <si>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</si>
  <si>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</si>
  <si>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</si>
  <si>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</si>
  <si>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</si>
  <si>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</si>
  <si>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</si>
  <si>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</si>
  <si>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</si>
  <si>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</si>
  <si>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</si>
  <si>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</si>
  <si>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</si>
  <si>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</si>
  <si>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</si>
  <si>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</si>
  <si>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</si>
  <si>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</si>
  <si>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</si>
  <si>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</si>
  <si>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</si>
  <si>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</si>
  <si>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</si>
  <si>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</si>
  <si>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</si>
  <si>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</si>
  <si>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</si>
  <si>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</si>
  <si>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</si>
  <si>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</si>
  <si>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</si>
  <si>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</si>
  <si>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</si>
  <si>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</si>
  <si>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</si>
  <si>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</si>
  <si>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</si>
  <si>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</si>
  <si>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</si>
  <si>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</si>
  <si>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</si>
  <si>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</si>
  <si>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</si>
  <si>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</si>
  <si>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</si>
  <si>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</si>
  <si>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</si>
  <si>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</si>
  <si>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</si>
  <si>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</si>
  <si>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</si>
  <si>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</si>
  <si>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</si>
  <si>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</si>
  <si>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</si>
  <si>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</si>
  <si>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</si>
  <si>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</si>
  <si>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</si>
  <si>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</si>
  <si>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</si>
  <si>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</si>
  <si>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</si>
  <si>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</si>
  <si>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</si>
  <si>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</si>
  <si>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</si>
  <si>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</si>
  <si>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</si>
  <si>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</si>
  <si>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</si>
  <si>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</si>
  <si>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</si>
  <si>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</si>
  <si>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</si>
  <si>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</si>
  <si>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</si>
  <si>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</si>
  <si>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</si>
  <si>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</si>
  <si>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</si>
  <si>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</si>
  <si>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</si>
  <si>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</si>
  <si>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</si>
  <si>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</si>
  <si>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</si>
  <si>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</si>
  <si>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</si>
  <si>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</si>
  <si>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</si>
  <si>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</si>
  <si>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</si>
  <si>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</si>
  <si>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</si>
  <si>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</si>
  <si>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</si>
  <si>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</si>
  <si>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</si>
  <si>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</si>
  <si>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</si>
  <si>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</si>
  <si>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</si>
  <si>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</si>
  <si>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</si>
  <si>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</si>
  <si>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</si>
  <si>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</si>
  <si>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</si>
  <si>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</si>
  <si>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</si>
  <si>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</si>
  <si>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</si>
  <si>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</si>
  <si>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</si>
  <si>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</si>
  <si>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</si>
  <si>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</si>
  <si>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</si>
  <si>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</si>
  <si>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</si>
  <si>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</si>
  <si>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</si>
  <si>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</si>
  <si>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</si>
  <si>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</si>
  <si>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</si>
  <si>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</si>
  <si>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</si>
  <si>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</si>
  <si>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</si>
  <si>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</si>
  <si>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</si>
  <si>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</si>
  <si>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</si>
  <si>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</si>
  <si>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</si>
  <si>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</si>
  <si>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</si>
  <si>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</si>
  <si>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</si>
  <si>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</si>
  <si>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</si>
  <si>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</si>
  <si>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</si>
  <si>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</si>
  <si>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</si>
  <si>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</si>
  <si>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</si>
  <si>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</si>
  <si>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</si>
  <si>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</si>
  <si>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</si>
  <si>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</si>
  <si>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</si>
  <si>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</si>
  <si>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</si>
  <si>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</si>
  <si>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</si>
  <si>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</si>
  <si>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</si>
  <si>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</si>
  <si>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</si>
  <si>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</si>
  <si>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</si>
  <si>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</si>
  <si>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</si>
  <si>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</si>
  <si>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</si>
  <si>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</si>
  <si>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</si>
  <si>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</si>
  <si>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</si>
  <si>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</si>
  <si>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</si>
  <si>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</si>
  <si>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</si>
  <si>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</si>
  <si>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</si>
  <si>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</si>
  <si>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</si>
  <si>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</si>
  <si>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</si>
  <si>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</si>
  <si>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</si>
  <si>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</si>
  <si>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</si>
  <si>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</si>
  <si>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</si>
  <si>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</si>
  <si>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</si>
  <si>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</si>
  <si>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</si>
  <si>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</si>
  <si>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</si>
  <si>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</si>
  <si>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</si>
  <si>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</si>
  <si>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</si>
  <si>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</si>
  <si>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</si>
  <si>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</si>
  <si>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</si>
  <si>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</si>
  <si>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</si>
  <si>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</si>
  <si>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</si>
  <si>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</si>
  <si>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</si>
  <si>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</si>
  <si>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</si>
  <si>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</si>
  <si>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</si>
  <si>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</si>
  <si>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</si>
  <si>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</si>
  <si>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</si>
  <si>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</si>
  <si>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</si>
  <si>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</si>
  <si>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</si>
  <si>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</si>
  <si>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</si>
  <si>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</si>
  <si>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</si>
  <si>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</si>
  <si>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</si>
  <si>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</si>
  <si>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</si>
  <si>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</si>
  <si>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</si>
  <si>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</si>
  <si>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</si>
  <si>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</si>
  <si>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</si>
  <si>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</si>
  <si>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</si>
  <si>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</si>
  <si>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</si>
  <si>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</si>
  <si>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</si>
  <si>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</si>
  <si>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</si>
  <si>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</si>
  <si>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</si>
  <si>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</si>
  <si>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</si>
  <si>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</si>
  <si>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</si>
  <si>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</si>
  <si>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</si>
  <si>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</si>
  <si>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</si>
  <si>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</si>
  <si>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</si>
  <si>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</si>
  <si>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</si>
  <si>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</si>
  <si>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</si>
  <si>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</si>
  <si>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</si>
  <si>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</si>
  <si>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</si>
  <si>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</si>
  <si>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</si>
  <si>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</si>
  <si>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</si>
  <si>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</si>
  <si>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</si>
  <si>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</si>
  <si>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</si>
  <si>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</si>
  <si>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</si>
  <si>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</si>
  <si>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</si>
  <si>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</si>
  <si>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</si>
  <si>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</si>
  <si>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</si>
  <si>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</si>
  <si>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</si>
  <si>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</si>
  <si>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</si>
  <si>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</si>
  <si>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</si>
  <si>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</si>
  <si>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</si>
  <si>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</si>
  <si>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</si>
  <si>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</si>
  <si>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</si>
  <si>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</si>
  <si>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</si>
  <si>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</si>
  <si>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</si>
  <si>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</si>
  <si>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</si>
  <si>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</si>
  <si>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</si>
  <si>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</si>
  <si>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</si>
  <si>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</si>
  <si>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</si>
  <si>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</si>
  <si>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</si>
  <si>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</si>
  <si>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U</t>
  </si>
  <si>
    <t>SERTAC DOSTEL</t>
  </si>
  <si>
    <t>AHMET GEZINTI</t>
  </si>
  <si>
    <t>ZAFER RIFAI</t>
  </si>
  <si>
    <t>AYBERK PARALI</t>
  </si>
  <si>
    <t>1:08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</si>
</sst>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03_030_BES_NIN_U2025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45945.833333333336</v>
      </c>
      <c r="C3" s="157"/>
      <c r="D3" s="39">
        <v>662</v>
      </c>
      <c r="E3" s="29"/>
      <c r="F3" s="26">
        <f>SUBTOTAL(3,I17:I106)</f>
        <v>1</v>
      </c>
      <c r="G3" s="27">
        <f>IF(OR(D3="",D3=0),"",F3/D3)</f>
        <v>1.5105740181268882E-3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Besiktas GAIN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1.5105740181268882E-3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NINERS Chemnitz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0.15105740181268881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2.6510574018126887</v>
      </c>
      <c r="N7" s="58"/>
      <c r="O7" s="2"/>
      <c r="P7" s="2"/>
      <c r="Q7" s="86">
        <f>SUM(R5,S5,AC16)</f>
        <v>2.6510574018126887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2.6510574018126887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30</v>
      </c>
      <c r="D17" s="32" t="s">
        <v>756</v>
      </c>
      <c r="E17" s="33">
        <v>3</v>
      </c>
      <c r="F17" s="36">
        <v>68</v>
      </c>
      <c r="G17" s="36">
        <v>64</v>
      </c>
      <c r="H17" s="38" t="str">
        <f>IF(I17="","",$I$14)</f>
        <v>SCOUTING</v>
      </c>
      <c r="I17" s="34">
        <v>461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REPORT_U2025030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"U2025030"</v>
      </c>
      <c r="F3" s="45" t="str">
        <f t="shared" ref="F3:F16" si="0">""""&amp;B3&amp;"""" &amp; " : " &amp;C3&amp;","</f>
        <v>"name" : "U2025030",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"U030"</v>
      </c>
      <c r="F4" s="45" t="str">
        <f t="shared" si="0"/>
        <v>"cod" : "U030",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030</v>
      </c>
      <c r="F6" s="45" t="str">
        <f t="shared" si="0"/>
        <v>"number" : 030,</v>
      </c>
    </row>
    <row r="7" spans="2:6" x14ac:dyDescent="0.2">
      <c r="B7" s="43" t="s">
        <v>116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"AHMET GEZINTI"</v>
      </c>
      <c r="F12" s="45" t="str">
        <f t="shared" si="0"/>
        <v>"Caller_2" : "AHMET GEZINTI",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"ZAFER RIFAI"</v>
      </c>
      <c r="F13" s="45" t="str">
        <f t="shared" si="0"/>
        <v>"Timerkeeper" : "ZAFER RIFAI",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"AYBERK PARALI"</v>
      </c>
      <c r="F14" s="45" t="str">
        <f t="shared" si="0"/>
        <v>"Shotclock" : "AYBERK PARALI",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662</v>
      </c>
      <c r="F25" s="45" t="str">
        <f t="shared" ref="F25:F48" si="1">""""&amp;C25&amp;"""" &amp; " : " &amp;D25&amp;","</f>
        <v>"total_actions" : 662,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03_030_BES_NIN_U2025</v>
      </c>
      <c r="F52" s="45" t="str">
        <f>""""&amp;B52&amp;"""" &amp; " : " &amp;C52</f>
        <v>"result" : 03_030_BES_NIN_U2025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U030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15/10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Besiktas Gain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Niners Chemnitz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AHMET GEZINTI</v>
      </c>
      <c r="M8" s="206"/>
      <c r="N8" s="206"/>
      <c r="O8" s="206"/>
      <c r="P8" s="206"/>
      <c r="Q8" s="206" t="str">
        <f>IF('SCOUT &amp; LOGISTICS'!D9="","",'SCOUT &amp; LOGISTICS'!D9)</f>
        <v>ZAFER RIFAI</v>
      </c>
      <c r="R8" s="206"/>
      <c r="S8" s="206"/>
      <c r="T8" s="206"/>
      <c r="U8" s="206"/>
      <c r="V8" s="206" t="str">
        <f>IF('SCOUT &amp; LOGISTICS'!D10="","",'SCOUT &amp; LOGISTICS'!D10)</f>
        <v>AYBERK PARALI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662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1.5105740181268882E-3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2.6510574018126887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EE1E04-93E2-4FE7-A074-17106D036C05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2025-10-16T18:18:17Z</cp:lastPrinted>
  <dcterms:created xsi:type="dcterms:W3CDTF">2023-09-19T19:50:35Z</dcterms:created>
  <dcterms:modified xsi:type="dcterms:W3CDTF">2025-10-16T18:18:23Z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