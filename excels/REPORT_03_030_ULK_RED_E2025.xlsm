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7" documentId="8_{80D9F572-D250-4F01-A4F1-275B52EDA110}" xr6:coauthVersionLast="47" xr6:coauthVersionMax="47" xr10:uidLastSave="{B0420F5C-C63B-48EC-8AAA-546C358E25EC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<sst xmlns="http://schemas.openxmlformats.org/spreadsheetml/2006/main" count="3250" uniqueCount="757">
  <si>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</si>
  <si>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</si>
  <si>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</si>
  <si>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</si>
  <si>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</si>
  <si>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</si>
  <si>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</si>
  <si>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</si>
  <si>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</si>
  <si>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</si>
  <si>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</si>
  <si>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</si>
  <si>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</si>
  <si>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</si>
  <si>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</si>
  <si>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</si>
  <si>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</si>
  <si>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</si>
  <si>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</si>
  <si>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</si>
  <si>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</si>
  <si>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</si>
  <si>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</si>
  <si>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</si>
  <si>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</si>
  <si>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</si>
  <si>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</si>
  <si>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</si>
  <si>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</si>
  <si>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</si>
  <si>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</si>
  <si>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</si>
  <si>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</si>
  <si>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</si>
  <si>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</si>
  <si>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</si>
  <si>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</si>
  <si>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</si>
  <si>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</si>
  <si>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</si>
  <si>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</si>
  <si>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</si>
  <si>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</si>
  <si>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</si>
  <si>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</si>
  <si>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</si>
  <si>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</si>
  <si>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</si>
  <si>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</si>
  <si>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</si>
  <si>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</si>
  <si>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</si>
  <si>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</si>
  <si>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</si>
  <si>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</si>
  <si>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</si>
  <si>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</si>
  <si>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</si>
  <si>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</si>
  <si>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</si>
  <si>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</si>
  <si>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</si>
  <si>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</si>
  <si>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</si>
  <si>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</si>
  <si>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</si>
  <si>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</si>
  <si>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</si>
  <si>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</si>
  <si>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</si>
  <si>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</si>
  <si>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</si>
  <si>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</si>
  <si>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</si>
  <si>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</si>
  <si>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</si>
  <si>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</si>
  <si>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</si>
  <si>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</si>
  <si>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</si>
  <si>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</si>
  <si>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</si>
  <si>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</si>
  <si>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</si>
  <si>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</si>
  <si>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</si>
  <si>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</si>
  <si>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</si>
  <si>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</si>
  <si>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</si>
  <si>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</si>
  <si>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</si>
  <si>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</si>
  <si>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</si>
  <si>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</si>
  <si>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</si>
  <si>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</si>
  <si>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</si>
  <si>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</si>
  <si>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</si>
  <si>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</si>
  <si>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</si>
  <si>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</si>
  <si>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</si>
  <si>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</si>
  <si>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</si>
  <si>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</si>
  <si>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</si>
  <si>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</si>
  <si>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</si>
  <si>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</si>
  <si>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</si>
  <si>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</si>
  <si>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</si>
  <si>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</si>
  <si>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</si>
  <si>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</si>
  <si>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</si>
  <si>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</si>
  <si>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</si>
  <si>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</si>
  <si>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</si>
  <si>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</si>
  <si>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</si>
  <si>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</si>
  <si>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</si>
  <si>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</si>
  <si>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</si>
  <si>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</si>
  <si>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</si>
  <si>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</si>
  <si>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</si>
  <si>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</si>
  <si>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</si>
  <si>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</si>
  <si>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</si>
  <si>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</si>
  <si>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</si>
  <si>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</si>
  <si>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</si>
  <si>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</si>
  <si>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</si>
  <si>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</si>
  <si>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</si>
  <si>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</si>
  <si>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</si>
  <si>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</si>
  <si>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</si>
  <si>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</si>
  <si>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</si>
  <si>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</si>
  <si>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</si>
  <si>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</si>
  <si>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</si>
  <si>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</si>
  <si>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</si>
  <si>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</si>
  <si>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</si>
  <si>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</si>
  <si>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</si>
  <si>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</si>
  <si>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</si>
  <si>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</si>
  <si>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</si>
  <si>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</si>
  <si>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</si>
  <si>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</si>
  <si>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</si>
  <si>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</si>
  <si>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</si>
  <si>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</si>
  <si>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</si>
  <si>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</si>
  <si>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</si>
  <si>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</si>
  <si>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</si>
  <si>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</si>
  <si>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</si>
  <si>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</si>
  <si>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</si>
  <si>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</si>
  <si>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</si>
  <si>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</si>
  <si>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</si>
  <si>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</si>
  <si>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</si>
  <si>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</si>
  <si>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</si>
  <si>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</si>
  <si>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</si>
  <si>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</si>
  <si>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</si>
  <si>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</si>
  <si>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</si>
  <si>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</si>
  <si>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</si>
  <si>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</si>
  <si>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</si>
  <si>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</si>
  <si>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</si>
  <si>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</si>
  <si>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</si>
  <si>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</si>
  <si>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</si>
  <si>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</si>
  <si>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</si>
  <si>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</si>
  <si>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</si>
  <si>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</si>
  <si>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</si>
  <si>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</si>
  <si>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</si>
  <si>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</si>
  <si>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</si>
  <si>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</si>
  <si>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</si>
  <si>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</si>
  <si>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</si>
  <si>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</si>
  <si>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</si>
  <si>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</si>
  <si>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</si>
  <si>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</si>
  <si>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</si>
  <si>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</si>
  <si>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</si>
  <si>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</si>
  <si>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</si>
  <si>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</si>
  <si>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</si>
  <si>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</si>
  <si>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</si>
  <si>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</si>
  <si>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</si>
  <si>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</si>
  <si>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</si>
  <si>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</si>
  <si>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</si>
  <si>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</si>
  <si>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</si>
  <si>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</si>
  <si>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</si>
  <si>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</si>
  <si>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</si>
  <si>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</si>
  <si>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</si>
  <si>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</si>
  <si>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</si>
  <si>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</si>
  <si>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</si>
  <si>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</si>
  <si>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</si>
  <si>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</si>
  <si>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</si>
  <si>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</si>
  <si>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</si>
  <si>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</si>
  <si>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</si>
  <si>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</si>
  <si>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</si>
  <si>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</si>
  <si>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</si>
  <si>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</si>
  <si>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</si>
  <si>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</si>
  <si>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</si>
  <si>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</si>
  <si>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</si>
  <si>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</si>
  <si>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</si>
  <si>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</si>
  <si>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</si>
  <si>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</si>
  <si>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</si>
  <si>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</si>
  <si>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</si>
  <si>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</si>
  <si>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</si>
  <si>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</si>
  <si>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</si>
  <si>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</si>
  <si>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</si>
  <si>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</si>
  <si>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</si>
  <si>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</si>
  <si>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</si>
  <si>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</si>
  <si>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</si>
  <si>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</si>
  <si>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</si>
  <si>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</si>
  <si>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</si>
  <si>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</si>
  <si>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</si>
  <si>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</si>
  <si>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</si>
  <si>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</si>
  <si>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</si>
  <si>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</si>
  <si>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</si>
  <si>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</si>
  <si>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</si>
  <si>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</si>
  <si>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</si>
  <si>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</si>
  <si>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</si>
  <si>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</si>
  <si>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</si>
  <si>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</si>
  <si>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</si>
  <si>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</si>
  <si>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</si>
  <si>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</si>
  <si>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</si>
  <si>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</si>
  <si>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</si>
  <si>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</si>
  <si>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</si>
  <si>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</si>
  <si>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</si>
  <si>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</si>
  <si>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</si>
  <si>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</si>
  <si>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</si>
  <si>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</si>
  <si>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</si>
  <si>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</si>
  <si>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</si>
  <si>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</si>
  <si>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</si>
  <si>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</si>
  <si>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</si>
  <si>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</si>
  <si>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</si>
  <si>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</si>
  <si>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</si>
  <si>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</si>
  <si>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</si>
  <si>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</si>
  <si>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</si>
  <si>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</si>
  <si>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</si>
  <si>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</si>
  <si>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</si>
  <si>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</si>
  <si>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</si>
  <si>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</si>
  <si>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</si>
  <si>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</si>
  <si>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</si>
  <si>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</si>
  <si>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</si>
  <si>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</si>
  <si>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</si>
  <si>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</si>
  <si>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</si>
  <si>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</si>
  <si>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</si>
  <si>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</si>
  <si>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</si>
  <si>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</si>
  <si>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</si>
  <si>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</si>
  <si>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</si>
  <si>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</si>
  <si>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</si>
  <si>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</si>
  <si>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</si>
  <si>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</si>
  <si>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</si>
  <si>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</si>
  <si>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</si>
  <si>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</si>
  <si>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</si>
  <si>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</si>
  <si>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</si>
  <si>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</si>
  <si>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</si>
  <si>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</si>
  <si>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</si>
  <si>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</si>
  <si>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</si>
  <si>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</si>
  <si>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</si>
  <si>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</si>
  <si>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</si>
  <si>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</si>
  <si>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</si>
  <si>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</si>
  <si>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</si>
  <si>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</si>
  <si>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</si>
  <si>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</si>
  <si>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</si>
  <si>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</si>
  <si>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</si>
  <si>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</si>
  <si>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</si>
  <si>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</si>
  <si>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</si>
  <si>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</si>
  <si>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</si>
  <si>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</si>
  <si>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</si>
  <si>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</si>
  <si>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</si>
  <si>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</si>
  <si>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</si>
  <si>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</si>
  <si>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</si>
  <si>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</si>
  <si>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</si>
  <si>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</si>
  <si>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</si>
  <si>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</si>
  <si>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</si>
  <si>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</si>
  <si>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</si>
  <si>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</si>
  <si>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</si>
  <si>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</si>
  <si>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</si>
  <si>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</si>
  <si>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</si>
  <si>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</si>
  <si>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</si>
  <si>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</si>
  <si>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</si>
  <si>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</si>
  <si>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</si>
  <si>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</si>
  <si>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</si>
  <si>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</si>
  <si>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</si>
  <si>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</si>
  <si>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</si>
  <si>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</si>
  <si>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</si>
  <si>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</si>
  <si>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</si>
  <si>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</si>
  <si>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</si>
  <si>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</si>
  <si>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</si>
  <si>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</si>
  <si>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</si>
  <si>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</si>
  <si>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</si>
  <si>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</si>
  <si>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</si>
  <si>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</si>
  <si>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</si>
  <si>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</si>
  <si>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</si>
  <si>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</si>
  <si>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</si>
  <si>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</si>
  <si>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</si>
  <si>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</si>
  <si>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</si>
  <si>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</si>
  <si>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</si>
  <si>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</si>
  <si>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</si>
  <si>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</si>
  <si>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</si>
  <si>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</si>
  <si>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</si>
  <si>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</si>
  <si>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</si>
  <si>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</si>
  <si>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</si>
  <si>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</si>
  <si>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</si>
  <si>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</si>
  <si>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</si>
  <si>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</si>
  <si>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</si>
  <si>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</si>
  <si>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</si>
  <si>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</si>
  <si>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</si>
  <si>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</si>
  <si>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</si>
  <si>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</si>
  <si>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</si>
  <si>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</si>
  <si>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</si>
  <si>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</si>
  <si>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</si>
  <si>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</si>
  <si>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</si>
  <si>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</si>
  <si>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</si>
  <si>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</si>
  <si>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</si>
  <si>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</si>
  <si>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</si>
  <si>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</si>
  <si>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</si>
  <si>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</si>
  <si>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</si>
  <si>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</si>
  <si>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</si>
  <si>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</si>
  <si>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</si>
  <si>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</si>
  <si>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</si>
  <si>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</si>
  <si>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</si>
  <si>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</si>
  <si>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</si>
  <si>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</si>
  <si>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</si>
  <si>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</si>
  <si>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</si>
  <si>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</si>
  <si>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</si>
  <si>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</si>
  <si>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</si>
  <si>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</si>
  <si>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</si>
  <si>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</si>
  <si>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</si>
  <si>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</si>
  <si>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</si>
  <si>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</si>
  <si>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</si>
  <si>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</si>
  <si>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</si>
  <si>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</si>
  <si>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</si>
  <si>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</si>
  <si>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</si>
  <si>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</si>
  <si>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</si>
  <si>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</si>
  <si>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</si>
  <si>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</si>
  <si>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</si>
  <si>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</si>
  <si>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</si>
  <si>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</si>
  <si>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</si>
  <si>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</si>
  <si>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</si>
  <si>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</si>
  <si>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</si>
  <si>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</si>
  <si>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</si>
  <si>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</si>
  <si>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</si>
  <si>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</si>
  <si>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</si>
  <si>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</si>
  <si>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</si>
  <si>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</si>
  <si>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</si>
  <si>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</si>
  <si>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</si>
  <si>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</si>
  <si>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</si>
  <si>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</si>
  <si>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</si>
  <si>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</si>
  <si>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</si>
  <si>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</si>
  <si>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</si>
  <si>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</si>
  <si>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</si>
  <si>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</si>
  <si>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</si>
  <si>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</si>
  <si>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</si>
  <si>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</si>
  <si>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</si>
  <si>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</si>
  <si>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</si>
  <si>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</si>
  <si>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</si>
  <si>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</si>
  <si>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</si>
  <si>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</si>
  <si>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</si>
  <si>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</si>
  <si>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</si>
  <si>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</si>
  <si>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</si>
  <si>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</si>
  <si>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</si>
  <si>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</si>
  <si>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</si>
  <si>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</si>
  <si>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</si>
  <si>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</si>
  <si>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</si>
  <si>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</si>
  <si>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</si>
  <si>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</si>
  <si>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</si>
  <si>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</si>
  <si>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</si>
  <si>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</si>
  <si>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</si>
  <si>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</si>
  <si>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</si>
  <si>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</si>
  <si>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</si>
  <si>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</si>
  <si>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</si>
  <si>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</si>
  <si>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</si>
  <si>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</si>
  <si>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</si>
  <si>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</si>
  <si>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</si>
  <si>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</si>
  <si>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</si>
  <si>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</si>
  <si>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</si>
  <si>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</si>
  <si>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</si>
  <si>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</si>
  <si>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</si>
  <si>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</si>
  <si>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</si>
  <si>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</si>
  <si>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</si>
  <si>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</si>
  <si>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</si>
  <si>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</si>
  <si>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</si>
  <si>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</si>
  <si>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</si>
  <si>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</si>
  <si>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</si>
  <si>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</si>
  <si>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</si>
  <si>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</si>
  <si>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</si>
  <si>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</si>
  <si>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</si>
  <si>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</si>
  <si>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</si>
  <si>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</si>
  <si>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</si>
  <si>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</si>
  <si>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</si>
  <si>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</si>
  <si>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</si>
  <si>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</si>
  <si>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</si>
  <si>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</si>
  <si>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</si>
  <si>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</si>
  <si>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</si>
  <si>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</si>
  <si>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</si>
  <si>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</si>
  <si>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</si>
  <si>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</si>
  <si>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</si>
  <si>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</si>
  <si>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</si>
  <si>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</si>
  <si>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</si>
  <si>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</si>
  <si>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</si>
  <si>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</si>
  <si>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</si>
  <si>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</si>
  <si>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</si>
  <si>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</si>
  <si>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</si>
  <si>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</si>
  <si>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</si>
  <si>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</si>
  <si>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</si>
  <si>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</si>
  <si>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</si>
  <si>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</si>
  <si>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</si>
  <si>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</si>
  <si>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</si>
  <si>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</si>
  <si>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</si>
  <si>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</si>
  <si>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</si>
  <si>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</si>
  <si>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</si>
  <si>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</si>
  <si>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</si>
  <si>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</si>
  <si>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</si>
  <si>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</si>
  <si>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</si>
  <si>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</si>
  <si>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</si>
  <si>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</si>
  <si>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</si>
  <si>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</si>
  <si>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</si>
  <si>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</si>
  <si>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</si>
  <si>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</si>
  <si>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</si>
  <si>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</si>
  <si>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</si>
  <si>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</si>
  <si>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</si>
  <si>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</si>
  <si>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</si>
  <si>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</si>
  <si>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</si>
  <si>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</si>
  <si>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</si>
  <si>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</si>
  <si>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</si>
  <si>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</si>
  <si>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</si>
  <si>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</si>
  <si>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</si>
  <si>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</si>
  <si>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</si>
  <si>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</si>
  <si>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</si>
  <si>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</si>
  <si>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</si>
  <si>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</si>
  <si>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</si>
  <si>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</si>
  <si>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</si>
  <si>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</si>
  <si>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</si>
  <si>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</si>
  <si>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</si>
  <si>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</si>
  <si>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</si>
  <si>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</si>
  <si>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</si>
  <si>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</si>
  <si>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</si>
  <si>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</si>
  <si>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</si>
  <si>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</si>
  <si>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</si>
  <si>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</si>
  <si>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</si>
  <si>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</si>
  <si>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</si>
  <si>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</si>
  <si>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SERTAC DOSTEL</t>
  </si>
  <si>
    <t>ORHAN YENIHAYAT</t>
  </si>
  <si>
    <t>GIZEM UNSAL</t>
  </si>
  <si>
    <t>GOZDE BEGUM AKUZUM</t>
  </si>
  <si>
    <t>1:57</t>
  </si>
  <si>
    <t>C:\Users\mario.enjuanes\EUROLEAGUE\EB STATS - General\SEASON 2025-26\Reports\Euroleague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</si>
</sst>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03_030_ULK_RED_E2025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45940.864583333336</v>
      </c>
      <c r="C3" s="178"/>
      <c r="D3" s="39">
        <v>705</v>
      </c>
      <c r="E3" s="29"/>
      <c r="F3" s="26">
        <f>SUBTOTAL(3,I17:I106)</f>
        <v>1</v>
      </c>
      <c r="G3" s="27">
        <f>IF(OR(D3="",D3=0),"",F3/D3)</f>
        <v>1.4184397163120568E-3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742</v>
      </c>
      <c r="L4" s="5"/>
      <c r="M4" s="185" t="s">
        <v>749</v>
      </c>
      <c r="N4" s="186"/>
      <c r="O4" s="2"/>
      <c r="P4" s="2"/>
      <c r="Q4" s="84" t="s">
        <v>175</v>
      </c>
      <c r="R4" s="94">
        <f>(IF(G3="",0,G3))</f>
        <v>1.4184397163120568E-3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1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0.14184397163120568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10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10.141843971631205</v>
      </c>
      <c r="N7" s="58"/>
      <c r="O7" s="2"/>
      <c r="P7" s="2"/>
      <c r="Q7" s="86">
        <f>SUM(R5,S5,AC16)</f>
        <v>10.141843971631205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10.141843971631205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740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30</v>
      </c>
      <c r="D17" s="32" t="s">
        <v>755</v>
      </c>
      <c r="E17" s="33">
        <v>4</v>
      </c>
      <c r="F17" s="36">
        <v>69</v>
      </c>
      <c r="G17" s="36">
        <v>77</v>
      </c>
      <c r="H17" s="38" t="str">
        <f>IF(I17="","",$I$14)</f>
        <v>SCOUTING</v>
      </c>
      <c r="I17" s="34">
        <v>627</v>
      </c>
      <c r="J17" s="13" t="s">
        <v>3</v>
      </c>
      <c r="K17" s="13" t="s">
        <v>61</v>
      </c>
      <c r="L17" s="13" t="s">
        <v>24</v>
      </c>
      <c r="M17" s="13" t="s">
        <v>24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1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1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REPORT_E2025030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"E2025030"</v>
      </c>
      <c r="F3" s="45" t="str">
        <f t="shared" ref="F3:F16" si="0">""""&amp;B3&amp;"""" &amp; " : " &amp;C3&amp;","</f>
        <v>"name" : "E2025030",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"E030"</v>
      </c>
      <c r="F4" s="45" t="str">
        <f t="shared" si="0"/>
        <v>"cod" : "E030",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030</v>
      </c>
      <c r="F6" s="45" t="str">
        <f t="shared" si="0"/>
        <v>"number" : 030,</v>
      </c>
    </row>
    <row r="7" spans="2:6" x14ac:dyDescent="0.2">
      <c r="B7" s="43" t="s">
        <v>116</v>
      </c>
      <c r="C7" s="43" t="str">
        <f ca="1">""""&amp;TEXT('SCOUT &amp; LOGISTICS'!B3,"dd/mm/aaaa")&amp;""""</f>
        <v>"10/10/Friday"</v>
      </c>
      <c r="F7" s="45" t="str">
        <f t="shared" ca="1" si="0"/>
        <v>"date" : "10/10/Friday",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"GIZEM UNSAL"</v>
      </c>
      <c r="F13" s="45" t="str">
        <f t="shared" si="0"/>
        <v>"Timerkeeper" : "GIZEM UNSAL",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"GOZDE BEGUM AKUZUM"</v>
      </c>
      <c r="F14" s="45" t="str">
        <f t="shared" si="0"/>
        <v>"Shotclock" : "GOZDE BEGUM AKUZUM",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705</v>
      </c>
      <c r="F25" s="45" t="str">
        <f t="shared" ref="F25:F48" si="1">""""&amp;C25&amp;"""" &amp; " : " &amp;D25&amp;","</f>
        <v>"total_actions" : 705,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1</v>
      </c>
      <c r="F44" s="45" t="str">
        <f t="shared" si="1"/>
        <v>"not_happened" : 1,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03_030_ULK_RED_E2025</v>
      </c>
      <c r="F52" s="45" t="str">
        <f>""""&amp;B52&amp;"""" &amp; " : " &amp;C52</f>
        <v>"result" : 03_030_ULK_RED_E2025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E030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SERTAC DOSTEL</v>
      </c>
      <c r="H8" s="201"/>
      <c r="I8" s="201"/>
      <c r="J8" s="201"/>
      <c r="K8" s="201"/>
      <c r="L8" s="201" t="str">
        <f>IF('SCOUT &amp; LOGISTICS'!D8="","",'SCOUT &amp; LOGISTICS'!D8)</f>
        <v>ORHAN YENIHAYAT</v>
      </c>
      <c r="M8" s="201"/>
      <c r="N8" s="201"/>
      <c r="O8" s="201"/>
      <c r="P8" s="201"/>
      <c r="Q8" s="201" t="str">
        <f>IF('SCOUT &amp; LOGISTICS'!D9="","",'SCOUT &amp; LOGISTICS'!D9)</f>
        <v>GIZEM UNSAL</v>
      </c>
      <c r="R8" s="201"/>
      <c r="S8" s="201"/>
      <c r="T8" s="201"/>
      <c r="U8" s="201"/>
      <c r="V8" s="201" t="str">
        <f>IF('SCOUT &amp; LOGISTICS'!D10="","",'SCOUT &amp; LOGISTICS'!D10)</f>
        <v>GOZDE BEGUM AKUZUM</v>
      </c>
      <c r="W8" s="201"/>
      <c r="X8" s="201"/>
      <c r="Y8" s="201"/>
      <c r="Z8" s="201"/>
      <c r="AA8" s="201" t="str">
        <f>IF('SCOUT &amp; LOGISTICS'!D11="","",'SCOUT &amp; LOGISTICS'!D11)</f>
        <v>MURAT KUS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705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1.4184397163120568E-3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1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10.141843971631205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DE85F09-76C4-4027-B955-D18D855C6C7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2025-10-16T17:59:10Z</cp:lastPrinted>
  <dcterms:created xsi:type="dcterms:W3CDTF">2023-09-19T19:50:35Z</dcterms:created>
  <dcterms:modified xsi:type="dcterms:W3CDTF">2025-10-16T17:59:14Z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