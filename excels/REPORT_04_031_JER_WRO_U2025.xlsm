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9" documentId="8_{C61D1710-E322-460E-8C9F-139020DAEA68}" xr6:coauthVersionLast="47" xr6:coauthVersionMax="47" xr10:uidLastSave="{8C49F9EC-215D-4CBC-ACE6-742F2BFB999B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<sst xmlns="http://schemas.openxmlformats.org/spreadsheetml/2006/main" count="3274" uniqueCount="761">
  <si>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</si>
  <si>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</si>
  <si>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</si>
  <si>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</si>
  <si>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</si>
  <si>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</si>
  <si>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</si>
  <si>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</si>
  <si>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</si>
  <si>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</si>
  <si>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</si>
  <si>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</si>
  <si>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</si>
  <si>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</si>
  <si>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</si>
  <si>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</si>
  <si>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</si>
  <si>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</si>
  <si>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</si>
  <si>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</si>
  <si>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</si>
  <si>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</si>
  <si>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</si>
  <si>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</si>
  <si>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</si>
  <si>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</si>
  <si>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</si>
  <si>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</si>
  <si>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</si>
  <si>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</si>
  <si>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</si>
  <si>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</si>
  <si>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</si>
  <si>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</si>
  <si>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</si>
  <si>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</si>
  <si>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</si>
  <si>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</si>
  <si>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</si>
  <si>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</si>
  <si>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</si>
  <si>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</si>
  <si>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</si>
  <si>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</si>
  <si>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</si>
  <si>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</si>
  <si>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</si>
  <si>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</si>
  <si>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</si>
  <si>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</si>
  <si>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</si>
  <si>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</si>
  <si>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</si>
  <si>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</si>
  <si>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</si>
  <si>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</si>
  <si>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</si>
  <si>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</si>
  <si>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</si>
  <si>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</si>
  <si>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</si>
  <si>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</si>
  <si>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</si>
  <si>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</si>
  <si>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</si>
  <si>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</si>
  <si>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</si>
  <si>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</si>
  <si>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</si>
  <si>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</si>
  <si>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</si>
  <si>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</si>
  <si>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</si>
  <si>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</si>
  <si>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</si>
  <si>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</si>
  <si>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</si>
  <si>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</si>
  <si>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</si>
  <si>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</si>
  <si>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</si>
  <si>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</si>
  <si>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</si>
  <si>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</si>
  <si>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</si>
  <si>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</si>
  <si>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</si>
  <si>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</si>
  <si>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</si>
  <si>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</si>
  <si>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</si>
  <si>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</si>
  <si>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</si>
  <si>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</si>
  <si>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</si>
  <si>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</si>
  <si>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</si>
  <si>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</si>
  <si>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</si>
  <si>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</si>
  <si>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</si>
  <si>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</si>
  <si>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</si>
  <si>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</si>
  <si>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</si>
  <si>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</si>
  <si>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</si>
  <si>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</si>
  <si>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</si>
  <si>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</si>
  <si>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</si>
  <si>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</si>
  <si>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</si>
  <si>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</si>
  <si>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</si>
  <si>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</si>
  <si>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</si>
  <si>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</si>
  <si>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</si>
  <si>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</si>
  <si>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</si>
  <si>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</si>
  <si>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</si>
  <si>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</si>
  <si>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</si>
  <si>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</si>
  <si>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</si>
  <si>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</si>
  <si>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</si>
  <si>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</si>
  <si>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</si>
  <si>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</si>
  <si>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</si>
  <si>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</si>
  <si>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</si>
  <si>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</si>
  <si>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</si>
  <si>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</si>
  <si>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</si>
  <si>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</si>
  <si>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</si>
  <si>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</si>
  <si>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</si>
  <si>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</si>
  <si>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</si>
  <si>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</si>
  <si>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</si>
  <si>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</si>
  <si>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</si>
  <si>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</si>
  <si>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</si>
  <si>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</si>
  <si>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</si>
  <si>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</si>
  <si>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</si>
  <si>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</si>
  <si>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</si>
  <si>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</si>
  <si>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</si>
  <si>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</si>
  <si>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</si>
  <si>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</si>
  <si>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</si>
  <si>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</si>
  <si>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</si>
  <si>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</si>
  <si>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</si>
  <si>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</si>
  <si>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</si>
  <si>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</si>
  <si>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</si>
  <si>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</si>
  <si>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</si>
  <si>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</si>
  <si>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</si>
  <si>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</si>
  <si>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</si>
  <si>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</si>
  <si>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</si>
  <si>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</si>
  <si>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</si>
  <si>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</si>
  <si>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</si>
  <si>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</si>
  <si>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</si>
  <si>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</si>
  <si>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</si>
  <si>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</si>
  <si>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</si>
  <si>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</si>
  <si>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</si>
  <si>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</si>
  <si>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</si>
  <si>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</si>
  <si>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</si>
  <si>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</si>
  <si>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</si>
  <si>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</si>
  <si>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</si>
  <si>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</si>
  <si>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</si>
  <si>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</si>
  <si>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</si>
  <si>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</si>
  <si>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</si>
  <si>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</si>
  <si>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</si>
  <si>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</si>
  <si>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</si>
  <si>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</si>
  <si>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</si>
  <si>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</si>
  <si>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</si>
  <si>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</si>
  <si>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</si>
  <si>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</si>
  <si>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</si>
  <si>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</si>
  <si>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</si>
  <si>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</si>
  <si>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</si>
  <si>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</si>
  <si>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</si>
  <si>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</si>
  <si>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</si>
  <si>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</si>
  <si>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</si>
  <si>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</si>
  <si>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</si>
  <si>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</si>
  <si>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</si>
  <si>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</si>
  <si>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</si>
  <si>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</si>
  <si>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</si>
  <si>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</si>
  <si>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</si>
  <si>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</si>
  <si>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</si>
  <si>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</si>
  <si>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</si>
  <si>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</si>
  <si>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</si>
  <si>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</si>
  <si>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</si>
  <si>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</si>
  <si>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</si>
  <si>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</si>
  <si>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</si>
  <si>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</si>
  <si>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</si>
  <si>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</si>
  <si>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</si>
  <si>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</si>
  <si>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</si>
  <si>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</si>
  <si>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</si>
  <si>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</si>
  <si>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</si>
  <si>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</si>
  <si>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</si>
  <si>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</si>
  <si>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</si>
  <si>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</si>
  <si>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</si>
  <si>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</si>
  <si>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</si>
  <si>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</si>
  <si>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</si>
  <si>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</si>
  <si>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</si>
  <si>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</si>
  <si>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</si>
  <si>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</si>
  <si>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</si>
  <si>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</si>
  <si>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</si>
  <si>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</si>
  <si>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</si>
  <si>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</si>
  <si>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</si>
  <si>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</si>
  <si>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</si>
  <si>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</si>
  <si>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</si>
  <si>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</si>
  <si>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</si>
  <si>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</si>
  <si>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</si>
  <si>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</si>
  <si>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</si>
  <si>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</si>
  <si>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</si>
  <si>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</si>
  <si>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</si>
  <si>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</si>
  <si>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</si>
  <si>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</si>
  <si>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</si>
  <si>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</si>
  <si>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</si>
  <si>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</si>
  <si>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</si>
  <si>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</si>
  <si>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</si>
  <si>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</si>
  <si>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</si>
  <si>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</si>
  <si>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</si>
  <si>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</si>
  <si>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</si>
  <si>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</si>
  <si>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</si>
  <si>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</si>
  <si>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</si>
  <si>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</si>
  <si>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</si>
  <si>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</si>
  <si>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</si>
  <si>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</si>
  <si>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</si>
  <si>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</si>
  <si>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</si>
  <si>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</si>
  <si>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</si>
  <si>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</si>
  <si>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</si>
  <si>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</si>
  <si>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</si>
  <si>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</si>
  <si>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</si>
  <si>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</si>
  <si>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</si>
  <si>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</si>
  <si>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</si>
  <si>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</si>
  <si>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</si>
  <si>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</si>
  <si>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</si>
  <si>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</si>
  <si>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</si>
  <si>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</si>
  <si>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</si>
  <si>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</si>
  <si>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</si>
  <si>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</si>
  <si>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</si>
  <si>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</si>
  <si>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</si>
  <si>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</si>
  <si>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</si>
  <si>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</si>
  <si>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</si>
  <si>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</si>
  <si>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</si>
  <si>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</si>
  <si>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</si>
  <si>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</si>
  <si>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</si>
  <si>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</si>
  <si>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</si>
  <si>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</si>
  <si>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</si>
  <si>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</si>
  <si>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</si>
  <si>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</si>
  <si>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</si>
  <si>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</si>
  <si>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</si>
  <si>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</si>
  <si>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</si>
  <si>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</si>
  <si>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</si>
  <si>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</si>
  <si>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</si>
  <si>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</si>
  <si>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</si>
  <si>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</si>
  <si>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</si>
  <si>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</si>
  <si>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</si>
  <si>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</si>
  <si>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</si>
  <si>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</si>
  <si>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</si>
  <si>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</si>
  <si>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</si>
  <si>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</si>
  <si>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</si>
  <si>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</si>
  <si>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</si>
  <si>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</si>
  <si>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</si>
  <si>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</si>
  <si>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</si>
  <si>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</si>
  <si>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</si>
  <si>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</si>
  <si>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</si>
  <si>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</si>
  <si>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</si>
  <si>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</si>
  <si>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</si>
  <si>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</si>
  <si>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</si>
  <si>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</si>
  <si>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</si>
  <si>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</si>
  <si>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</si>
  <si>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</si>
  <si>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</si>
  <si>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</si>
  <si>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</si>
  <si>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</si>
  <si>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</si>
  <si>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</si>
  <si>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</si>
  <si>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</si>
  <si>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</si>
  <si>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</si>
  <si>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</si>
  <si>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</si>
  <si>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</si>
  <si>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</si>
  <si>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</si>
  <si>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</si>
  <si>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</si>
  <si>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</si>
  <si>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</si>
  <si>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</si>
  <si>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</si>
  <si>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</si>
  <si>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</si>
  <si>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</si>
  <si>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</si>
  <si>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</si>
  <si>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</si>
  <si>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</si>
  <si>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</si>
  <si>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</si>
  <si>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</si>
  <si>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</si>
  <si>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</si>
  <si>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</si>
  <si>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</si>
  <si>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</si>
  <si>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</si>
  <si>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</si>
  <si>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</si>
  <si>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</si>
  <si>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</si>
  <si>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</si>
  <si>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</si>
  <si>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</si>
  <si>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</si>
  <si>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</si>
  <si>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</si>
  <si>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</si>
  <si>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</si>
  <si>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</si>
  <si>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</si>
  <si>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</si>
  <si>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</si>
  <si>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</si>
  <si>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</si>
  <si>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</si>
  <si>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</si>
  <si>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</si>
  <si>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</si>
  <si>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</si>
  <si>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</si>
  <si>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</si>
  <si>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</si>
  <si>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</si>
  <si>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</si>
  <si>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</si>
  <si>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</si>
  <si>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</si>
  <si>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</si>
  <si>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</si>
  <si>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</si>
  <si>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</si>
  <si>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</si>
  <si>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</si>
  <si>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</si>
  <si>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</si>
  <si>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</si>
  <si>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</si>
  <si>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</si>
  <si>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</si>
  <si>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</si>
  <si>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</si>
  <si>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</si>
  <si>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</si>
  <si>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</si>
  <si>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</si>
  <si>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</si>
  <si>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</si>
  <si>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</si>
  <si>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</si>
  <si>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</si>
  <si>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</si>
  <si>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</si>
  <si>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</si>
  <si>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</si>
  <si>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</si>
  <si>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</si>
  <si>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</si>
  <si>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</si>
  <si>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</si>
  <si>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</si>
  <si>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</si>
  <si>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</si>
  <si>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</si>
  <si>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</si>
  <si>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</si>
  <si>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</si>
  <si>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</si>
  <si>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</si>
  <si>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</si>
  <si>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</si>
  <si>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</si>
  <si>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</si>
  <si>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</si>
  <si>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</si>
  <si>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</si>
  <si>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</si>
  <si>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</si>
  <si>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</si>
  <si>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</si>
  <si>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</si>
  <si>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</si>
  <si>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</si>
  <si>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</si>
  <si>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</si>
  <si>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</si>
  <si>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</si>
  <si>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</si>
  <si>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</si>
  <si>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</si>
  <si>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</si>
  <si>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</si>
  <si>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</si>
  <si>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</si>
  <si>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</si>
  <si>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</si>
  <si>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</si>
  <si>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</si>
  <si>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</si>
  <si>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</si>
  <si>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</si>
  <si>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</si>
  <si>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</si>
  <si>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</si>
  <si>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</si>
  <si>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</si>
  <si>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</si>
  <si>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</si>
  <si>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</si>
  <si>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</si>
  <si>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</si>
  <si>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</si>
  <si>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</si>
  <si>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</si>
  <si>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</si>
  <si>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</si>
  <si>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</si>
  <si>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</si>
  <si>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</si>
  <si>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</si>
  <si>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</si>
  <si>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</si>
  <si>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</si>
  <si>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</si>
  <si>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</si>
  <si>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</si>
  <si>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</si>
  <si>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</si>
  <si>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</si>
  <si>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</si>
  <si>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</si>
  <si>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</si>
  <si>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</si>
  <si>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</si>
  <si>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</si>
  <si>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</si>
  <si>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</si>
  <si>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</si>
  <si>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</si>
  <si>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</si>
  <si>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</si>
  <si>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</si>
  <si>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</si>
  <si>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</si>
  <si>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</si>
  <si>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</si>
  <si>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</si>
  <si>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</si>
  <si>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</si>
  <si>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</si>
  <si>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</si>
  <si>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</si>
  <si>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</si>
  <si>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</si>
  <si>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</si>
  <si>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</si>
  <si>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</si>
  <si>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</si>
  <si>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</si>
  <si>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</si>
  <si>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</si>
  <si>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</si>
  <si>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</si>
  <si>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</si>
  <si>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</si>
  <si>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</si>
  <si>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</si>
  <si>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</si>
  <si>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</si>
  <si>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</si>
  <si>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</si>
  <si>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</si>
  <si>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</si>
  <si>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</si>
  <si>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</si>
  <si>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</si>
  <si>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</si>
  <si>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</si>
  <si>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</si>
  <si>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</si>
  <si>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</si>
  <si>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</si>
  <si>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</si>
  <si>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</si>
  <si>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</si>
  <si>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</si>
  <si>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</si>
  <si>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</si>
  <si>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</si>
  <si>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</si>
  <si>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</si>
  <si>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</si>
  <si>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</si>
  <si>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</si>
  <si>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</si>
  <si>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</si>
  <si>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</si>
  <si>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</si>
  <si>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</si>
  <si>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</si>
  <si>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</si>
  <si>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</si>
  <si>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</si>
  <si>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</si>
  <si>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</si>
  <si>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</si>
  <si>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</si>
  <si>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</si>
  <si>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</si>
  <si>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</si>
  <si>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</si>
  <si>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</si>
  <si>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</si>
  <si>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</si>
  <si>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</si>
  <si>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</si>
  <si>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</si>
  <si>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</si>
  <si>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</si>
  <si>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</si>
  <si>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</si>
  <si>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</si>
  <si>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</si>
  <si>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</si>
  <si>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</si>
  <si>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</si>
  <si>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</si>
  <si>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</si>
  <si>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</si>
  <si>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</si>
  <si>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</si>
  <si>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</si>
  <si>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</si>
  <si>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</si>
  <si>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</si>
  <si>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</si>
  <si>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</si>
  <si>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</si>
  <si>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</si>
  <si>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</si>
  <si>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</si>
  <si>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</si>
  <si>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</si>
  <si>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</si>
  <si>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</si>
  <si>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</si>
  <si>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</si>
  <si>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</si>
  <si>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</si>
  <si>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</si>
  <si>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</si>
  <si>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</si>
  <si>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</si>
  <si>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</si>
  <si>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</si>
  <si>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</si>
  <si>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</si>
  <si>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</si>
  <si>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</si>
  <si>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</si>
  <si>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</si>
  <si>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</si>
  <si>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</si>
  <si>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</si>
  <si>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</si>
  <si>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</si>
  <si>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</si>
  <si>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</si>
  <si>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</si>
  <si>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</si>
  <si>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</si>
  <si>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</si>
  <si>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</si>
  <si>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</si>
  <si>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</si>
  <si>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</si>
  <si>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</si>
  <si>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</si>
  <si>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</si>
  <si>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</si>
  <si>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</si>
  <si>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</si>
  <si>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</si>
  <si>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</si>
  <si>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</si>
  <si>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</si>
  <si>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</si>
  <si>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</si>
  <si>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</si>
  <si>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</si>
  <si>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</si>
  <si>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</si>
  <si>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</si>
  <si>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</si>
  <si>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</si>
  <si>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</si>
  <si>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</si>
  <si>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</si>
  <si>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</si>
  <si>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LUKA ANDRIC</t>
  </si>
  <si>
    <t>MILICA STOSIC</t>
  </si>
  <si>
    <t>SARA MILICIC</t>
  </si>
  <si>
    <t>ELOI VERGÉ</t>
  </si>
  <si>
    <t>C:\Users\eloi.verge\OneDrive - EUROLEAGUE\Desktop\GAME REPORTS\25-26</t>
  </si>
  <si>
    <t>05:05</t>
  </si>
  <si>
    <t>01:06</t>
  </si>
  <si>
    <t>07:23</t>
  </si>
  <si>
    <t>02:44</t>
  </si>
  <si>
    <t>01:56</t>
  </si>
  <si>
    <t>02:08</t>
  </si>
  <si>
    <t>Very good job as always, just remember to give the TV Time Outs on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</si>
</sst>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04_031_JER_WRO_U2025</v>
      </c>
      <c r="G1" s="5"/>
      <c r="H1" s="5"/>
      <c r="I1" s="5"/>
      <c r="J1" s="8" t="s">
        <v>707</v>
      </c>
      <c r="K1" s="121" t="s">
        <v>753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31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45951.833333333336</v>
      </c>
      <c r="C3" s="157"/>
      <c r="D3" s="39">
        <v>0</v>
      </c>
      <c r="E3" s="29"/>
      <c r="F3" s="26">
        <f>SUBTOTAL(3,I17:I106)</f>
        <v>6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Bank Yahav Jerusalem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JER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2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Slask Wroclaw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2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</v>
      </c>
      <c r="N7" s="58"/>
      <c r="O7" s="2"/>
      <c r="P7" s="2"/>
      <c r="Q7" s="86">
        <f>SUM(R5,S5,AC16)</f>
        <v>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749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750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31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752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31</v>
      </c>
      <c r="D17" s="32" t="s">
        <v>754</v>
      </c>
      <c r="E17" s="33">
        <v>1</v>
      </c>
      <c r="F17" s="36">
        <v>9</v>
      </c>
      <c r="G17" s="36">
        <v>12</v>
      </c>
      <c r="H17" s="38" t="str">
        <f>IF(I17="","",$I$14)</f>
        <v>SCOUTING</v>
      </c>
      <c r="I17" s="34">
        <v>54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31</v>
      </c>
      <c r="D18" s="32" t="s">
        <v>755</v>
      </c>
      <c r="E18" s="33">
        <v>3</v>
      </c>
      <c r="F18" s="36">
        <v>64</v>
      </c>
      <c r="G18" s="36">
        <v>44</v>
      </c>
      <c r="H18" s="38" t="str">
        <f t="shared" ref="H18:H81" si="8">IF(I18="","",$I$14)</f>
        <v>SCOUTING</v>
      </c>
      <c r="I18" s="34">
        <v>447</v>
      </c>
      <c r="J18" s="13" t="s">
        <v>4</v>
      </c>
      <c r="K18" s="13" t="s">
        <v>62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31</v>
      </c>
      <c r="D19" s="32" t="s">
        <v>756</v>
      </c>
      <c r="E19" s="33">
        <v>4</v>
      </c>
      <c r="F19" s="36">
        <v>69</v>
      </c>
      <c r="G19" s="36">
        <v>56</v>
      </c>
      <c r="H19" s="38" t="str">
        <f t="shared" si="8"/>
        <v>SCOUTING</v>
      </c>
      <c r="I19" s="34">
        <v>511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31</v>
      </c>
      <c r="D20" s="32" t="s">
        <v>757</v>
      </c>
      <c r="E20" s="33">
        <v>4</v>
      </c>
      <c r="F20" s="36">
        <v>83</v>
      </c>
      <c r="G20" s="36">
        <v>66</v>
      </c>
      <c r="H20" s="38" t="str">
        <f t="shared" si="8"/>
        <v>SCOUTING</v>
      </c>
      <c r="I20" s="34">
        <v>574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31</v>
      </c>
      <c r="D21" s="32" t="s">
        <v>758</v>
      </c>
      <c r="E21" s="33">
        <v>4</v>
      </c>
      <c r="F21" s="36">
        <v>83</v>
      </c>
      <c r="G21" s="36">
        <v>66</v>
      </c>
      <c r="H21" s="38" t="str">
        <f t="shared" si="8"/>
        <v>SCOUTING</v>
      </c>
      <c r="I21" s="34">
        <v>583</v>
      </c>
      <c r="J21" s="13" t="s">
        <v>4</v>
      </c>
      <c r="K21" s="13" t="s">
        <v>62</v>
      </c>
      <c r="L21" s="13" t="s">
        <v>75</v>
      </c>
      <c r="M21" s="13" t="s">
        <v>26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31</v>
      </c>
      <c r="D22" s="32" t="s">
        <v>759</v>
      </c>
      <c r="E22" s="33">
        <v>4</v>
      </c>
      <c r="F22" s="36">
        <v>83</v>
      </c>
      <c r="G22" s="36">
        <v>66</v>
      </c>
      <c r="H22" s="38" t="str">
        <f t="shared" si="8"/>
        <v>SCOUTING</v>
      </c>
      <c r="I22" s="34">
        <v>585</v>
      </c>
      <c r="J22" s="13" t="s">
        <v>4</v>
      </c>
      <c r="K22" s="13" t="s">
        <v>63</v>
      </c>
      <c r="L22" s="13" t="s">
        <v>75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REPORT_U2025031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"U2025031"</v>
      </c>
      <c r="F3" s="45" t="str">
        <f t="shared" ref="F3:F16" si="0">""""&amp;B3&amp;"""" &amp; " : " &amp;C3&amp;","</f>
        <v>"name" : "U2025031",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"U031"</v>
      </c>
      <c r="F4" s="45" t="str">
        <f t="shared" si="0"/>
        <v>"cod" : "U031",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031</v>
      </c>
      <c r="F6" s="45" t="str">
        <f t="shared" si="0"/>
        <v>"number" : 031,</v>
      </c>
    </row>
    <row r="7" spans="2:6" x14ac:dyDescent="0.25">
      <c r="B7" s="43" t="s">
        <v>116</v>
      </c>
      <c r="C7" s="43" t="str">
        <f ca="1">""""&amp;TEXT('SCOUT &amp; LOGISTICS'!B3,"dd/mm/aaaa")&amp;""""</f>
        <v>"21/10/2025"</v>
      </c>
      <c r="F7" s="45" t="str">
        <f t="shared" ca="1" si="0"/>
        <v>"date" : "21/10/2025",</v>
      </c>
    </row>
    <row r="8" spans="2:6" x14ac:dyDescent="0.25">
      <c r="B8" s="43" t="s">
        <v>125</v>
      </c>
      <c r="C8" s="43" t="str">
        <f>""""&amp;'SCOUT &amp; LOGISTICS'!D4 &amp;""""</f>
        <v>"Hapoel Bank Yahav Jerusalem"</v>
      </c>
      <c r="F8" s="45" t="str">
        <f t="shared" si="0"/>
        <v>"home_team" : "Hapoel Bank Yahav Jerusalem",</v>
      </c>
    </row>
    <row r="9" spans="2:6" x14ac:dyDescent="0.25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"IVANA VASILJEVIC"</v>
      </c>
      <c r="F11" s="45" t="str">
        <f t="shared" si="0"/>
        <v>"Caller_1" : "IVANA VASILJEVIC",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"LUKA ANDRIC"</v>
      </c>
      <c r="F12" s="45" t="str">
        <f t="shared" si="0"/>
        <v>"Caller_2" : "LUKA ANDRIC",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"MILICA STOSIC"</v>
      </c>
      <c r="F13" s="45" t="str">
        <f t="shared" si="0"/>
        <v>"Timerkeeper" : "MILICA STOSIC",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"SARA MILICIC"</v>
      </c>
      <c r="F14" s="45" t="str">
        <f t="shared" si="0"/>
        <v>"Shotclock" : "SARA MILICIC",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as always, just remember to give the TV Time Outs on time."</v>
      </c>
      <c r="F51" s="45" t="str">
        <f>""""&amp;B51&amp;"""" &amp; " : " &amp;C51&amp;","</f>
        <v>"comments" : "Very good job as always, just remember to give the TV Time Outs on time.",</v>
      </c>
    </row>
    <row r="52" spans="2:6" x14ac:dyDescent="0.25">
      <c r="B52" s="43" t="s">
        <v>153</v>
      </c>
      <c r="C52" s="43" t="str">
        <f>TEXT('SCOUT &amp; LOGISTICS'!F1,"0,0")</f>
        <v>04_031_JER_WRO_U2025</v>
      </c>
      <c r="F52" s="45" t="str">
        <f>""""&amp;B52&amp;"""" &amp; " : " &amp;C52</f>
        <v>"result" : 04_031_JER_WRO_U2025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U031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21/10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Hapoel Bank Yahav Jerusalem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Slask Wroclaw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IVANA VASILJEVIC</v>
      </c>
      <c r="H8" s="206"/>
      <c r="I8" s="206"/>
      <c r="J8" s="206"/>
      <c r="K8" s="206"/>
      <c r="L8" s="206" t="str">
        <f>IF('SCOUT &amp; LOGISTICS'!D8="","",'SCOUT &amp; LOGISTICS'!D8)</f>
        <v>LUKA ANDRIC</v>
      </c>
      <c r="M8" s="206"/>
      <c r="N8" s="206"/>
      <c r="O8" s="206"/>
      <c r="P8" s="206"/>
      <c r="Q8" s="206" t="str">
        <f>IF('SCOUT &amp; LOGISTICS'!D9="","",'SCOUT &amp; LOGISTICS'!D9)</f>
        <v>MILICA STOSIC</v>
      </c>
      <c r="R8" s="206"/>
      <c r="S8" s="206"/>
      <c r="T8" s="206"/>
      <c r="U8" s="206"/>
      <c r="V8" s="206" t="str">
        <f>IF('SCOUT &amp; LOGISTICS'!D10="","",'SCOUT &amp; LOGISTICS'!D10)</f>
        <v>SARA MILICIC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4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Very good job as always, just remember to give the TV Time Outs on time.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01D061-139F-496C-A4B2-92DDAA1FA670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2025-10-21T20:18:40Z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