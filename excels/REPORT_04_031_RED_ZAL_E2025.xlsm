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481BDA21-C485-4022-871F-BBE3E3E3EA2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<sst xmlns="http://schemas.openxmlformats.org/spreadsheetml/2006/main" count="3260" uniqueCount="761">
  <si>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</si>
  <si>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</si>
  <si>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</si>
  <si>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</si>
  <si>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</si>
  <si>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</si>
  <si>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</si>
  <si>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</si>
  <si>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</si>
  <si>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</si>
  <si>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</si>
  <si>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</si>
  <si>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</si>
  <si>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</si>
  <si>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</si>
  <si>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</si>
  <si>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</si>
  <si>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</si>
  <si>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</si>
  <si>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</si>
  <si>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</si>
  <si>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</si>
  <si>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</si>
  <si>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</si>
  <si>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</si>
  <si>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</si>
  <si>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</si>
  <si>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</si>
  <si>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</si>
  <si>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</si>
  <si>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</si>
  <si>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</si>
  <si>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</si>
  <si>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</si>
  <si>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</si>
  <si>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</si>
  <si>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</si>
  <si>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</si>
  <si>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</si>
  <si>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</si>
  <si>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</si>
  <si>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</si>
  <si>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</si>
  <si>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</si>
  <si>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</si>
  <si>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</si>
  <si>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</si>
  <si>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</si>
  <si>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</si>
  <si>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</si>
  <si>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</si>
  <si>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</si>
  <si>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</si>
  <si>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</si>
  <si>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</si>
  <si>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</si>
  <si>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</si>
  <si>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</si>
  <si>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</si>
  <si>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</si>
  <si>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</si>
  <si>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</si>
  <si>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</si>
  <si>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</si>
  <si>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</si>
  <si>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</si>
  <si>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</si>
  <si>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</si>
  <si>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</si>
  <si>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</si>
  <si>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</si>
  <si>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</si>
  <si>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</si>
  <si>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</si>
  <si>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</si>
  <si>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</si>
  <si>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</si>
  <si>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</si>
  <si>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</si>
  <si>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</si>
  <si>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</si>
  <si>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</si>
  <si>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</si>
  <si>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</si>
  <si>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</si>
  <si>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</si>
  <si>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</si>
  <si>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</si>
  <si>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</si>
  <si>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</si>
  <si>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</si>
  <si>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</si>
  <si>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</si>
  <si>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</si>
  <si>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</si>
  <si>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</si>
  <si>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</si>
  <si>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</si>
  <si>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</si>
  <si>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</si>
  <si>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</si>
  <si>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</si>
  <si>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</si>
  <si>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</si>
  <si>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</si>
  <si>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</si>
  <si>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</si>
  <si>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</si>
  <si>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</si>
  <si>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</si>
  <si>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</si>
  <si>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</si>
  <si>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</si>
  <si>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</si>
  <si>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</si>
  <si>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</si>
  <si>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</si>
  <si>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</si>
  <si>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</si>
  <si>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</si>
  <si>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</si>
  <si>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</si>
  <si>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</si>
  <si>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</si>
  <si>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</si>
  <si>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</si>
  <si>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</si>
  <si>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</si>
  <si>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</si>
  <si>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</si>
  <si>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</si>
  <si>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</si>
  <si>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</si>
  <si>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</si>
  <si>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</si>
  <si>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</si>
  <si>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</si>
  <si>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</si>
  <si>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</si>
  <si>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</si>
  <si>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</si>
  <si>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</si>
  <si>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</si>
  <si>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</si>
  <si>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</si>
  <si>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</si>
  <si>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</si>
  <si>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</si>
  <si>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</si>
  <si>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</si>
  <si>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</si>
  <si>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</si>
  <si>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</si>
  <si>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</si>
  <si>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</si>
  <si>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</si>
  <si>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</si>
  <si>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</si>
  <si>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</si>
  <si>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</si>
  <si>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</si>
  <si>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</si>
  <si>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</si>
  <si>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</si>
  <si>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</si>
  <si>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</si>
  <si>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</si>
  <si>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</si>
  <si>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</si>
  <si>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</si>
  <si>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</si>
  <si>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</si>
  <si>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</si>
  <si>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</si>
  <si>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</si>
  <si>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</si>
  <si>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</si>
  <si>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</si>
  <si>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</si>
  <si>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</si>
  <si>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</si>
  <si>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</si>
  <si>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</si>
  <si>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</si>
  <si>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</si>
  <si>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</si>
  <si>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</si>
  <si>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</si>
  <si>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</si>
  <si>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</si>
  <si>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</si>
  <si>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</si>
  <si>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</si>
  <si>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</si>
  <si>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</si>
  <si>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</si>
  <si>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</si>
  <si>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</si>
  <si>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</si>
  <si>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</si>
  <si>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</si>
  <si>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</si>
  <si>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</si>
  <si>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</si>
  <si>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</si>
  <si>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</si>
  <si>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</si>
  <si>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</si>
  <si>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</si>
  <si>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</si>
  <si>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</si>
  <si>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</si>
  <si>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</si>
  <si>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</si>
  <si>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</si>
  <si>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</si>
  <si>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</si>
  <si>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</si>
  <si>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</si>
  <si>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</si>
  <si>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</si>
  <si>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</si>
  <si>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</si>
  <si>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</si>
  <si>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</si>
  <si>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</si>
  <si>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</si>
  <si>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</si>
  <si>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</si>
  <si>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</si>
  <si>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</si>
  <si>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</si>
  <si>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</si>
  <si>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</si>
  <si>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</si>
  <si>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</si>
  <si>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</si>
  <si>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</si>
  <si>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</si>
  <si>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</si>
  <si>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</si>
  <si>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</si>
  <si>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</si>
  <si>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</si>
  <si>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</si>
  <si>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</si>
  <si>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</si>
  <si>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</si>
  <si>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</si>
  <si>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</si>
  <si>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</si>
  <si>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</si>
  <si>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</si>
  <si>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</si>
  <si>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</si>
  <si>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</si>
  <si>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</si>
  <si>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</si>
  <si>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</si>
  <si>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</si>
  <si>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</si>
  <si>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</si>
  <si>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</si>
  <si>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</si>
  <si>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</si>
  <si>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</si>
  <si>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</si>
  <si>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</si>
  <si>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</si>
  <si>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</si>
  <si>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</si>
  <si>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</si>
  <si>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</si>
  <si>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</si>
  <si>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</si>
  <si>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</si>
  <si>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</si>
  <si>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</si>
  <si>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</si>
  <si>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</si>
  <si>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</si>
  <si>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</si>
  <si>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</si>
  <si>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</si>
  <si>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</si>
  <si>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</si>
  <si>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</si>
  <si>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</si>
  <si>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</si>
  <si>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</si>
  <si>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</si>
  <si>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</si>
  <si>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</si>
  <si>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</si>
  <si>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</si>
  <si>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</si>
  <si>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</si>
  <si>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</si>
  <si>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</si>
  <si>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</si>
  <si>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</si>
  <si>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</si>
  <si>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</si>
  <si>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</si>
  <si>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</si>
  <si>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</si>
  <si>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</si>
  <si>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</si>
  <si>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</si>
  <si>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</si>
  <si>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</si>
  <si>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</si>
  <si>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</si>
  <si>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</si>
  <si>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</si>
  <si>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</si>
  <si>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</si>
  <si>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</si>
  <si>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</si>
  <si>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</si>
  <si>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</si>
  <si>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</si>
  <si>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</si>
  <si>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</si>
  <si>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</si>
  <si>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</si>
  <si>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</si>
  <si>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</si>
  <si>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</si>
  <si>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</si>
  <si>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</si>
  <si>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</si>
  <si>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</si>
  <si>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</si>
  <si>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</si>
  <si>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</si>
  <si>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</si>
  <si>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</si>
  <si>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</si>
  <si>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</si>
  <si>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</si>
  <si>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</si>
  <si>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</si>
  <si>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</si>
  <si>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</si>
  <si>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</si>
  <si>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</si>
  <si>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</si>
  <si>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</si>
  <si>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</si>
  <si>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</si>
  <si>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</si>
  <si>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</si>
  <si>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</si>
  <si>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</si>
  <si>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</si>
  <si>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</si>
  <si>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</si>
  <si>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</si>
  <si>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</si>
  <si>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</si>
  <si>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</si>
  <si>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</si>
  <si>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</si>
  <si>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</si>
  <si>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</si>
  <si>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</si>
  <si>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</si>
  <si>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</si>
  <si>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</si>
  <si>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</si>
  <si>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</si>
  <si>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</si>
  <si>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</si>
  <si>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</si>
  <si>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</si>
  <si>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</si>
  <si>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</si>
  <si>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</si>
  <si>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</si>
  <si>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</si>
  <si>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</si>
  <si>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</si>
  <si>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</si>
  <si>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</si>
  <si>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</si>
  <si>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</si>
  <si>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</si>
  <si>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</si>
  <si>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</si>
  <si>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</si>
  <si>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</si>
  <si>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</si>
  <si>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</si>
  <si>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</si>
  <si>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</si>
  <si>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</si>
  <si>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</si>
  <si>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</si>
  <si>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</si>
  <si>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</si>
  <si>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</si>
  <si>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</si>
  <si>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</si>
  <si>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</si>
  <si>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</si>
  <si>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</si>
  <si>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</si>
  <si>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</si>
  <si>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</si>
  <si>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</si>
  <si>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</si>
  <si>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</si>
  <si>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</si>
  <si>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</si>
  <si>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</si>
  <si>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</si>
  <si>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</si>
  <si>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</si>
  <si>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</si>
  <si>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</si>
  <si>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</si>
  <si>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</si>
  <si>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</si>
  <si>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</si>
  <si>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</si>
  <si>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</si>
  <si>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</si>
  <si>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</si>
  <si>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</si>
  <si>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</si>
  <si>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</si>
  <si>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</si>
  <si>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</si>
  <si>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</si>
  <si>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</si>
  <si>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</si>
  <si>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</si>
  <si>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</si>
  <si>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</si>
  <si>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</si>
  <si>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</si>
  <si>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</si>
  <si>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</si>
  <si>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</si>
  <si>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</si>
  <si>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</si>
  <si>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</si>
  <si>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</si>
  <si>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</si>
  <si>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</si>
  <si>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</si>
  <si>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</si>
  <si>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</si>
  <si>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</si>
  <si>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</si>
  <si>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</si>
  <si>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</si>
  <si>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</si>
  <si>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</si>
  <si>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</si>
  <si>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</si>
  <si>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</si>
  <si>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</si>
  <si>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</si>
  <si>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</si>
  <si>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</si>
  <si>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</si>
  <si>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</si>
  <si>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</si>
  <si>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</si>
  <si>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</si>
  <si>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</si>
  <si>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</si>
  <si>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</si>
  <si>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</si>
  <si>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</si>
  <si>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</si>
  <si>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</si>
  <si>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</si>
  <si>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</si>
  <si>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</si>
  <si>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</si>
  <si>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</si>
  <si>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</si>
  <si>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</si>
  <si>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</si>
  <si>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</si>
  <si>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</si>
  <si>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</si>
  <si>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</si>
  <si>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</si>
  <si>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</si>
  <si>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</si>
  <si>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</si>
  <si>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</si>
  <si>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</si>
  <si>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</si>
  <si>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</si>
  <si>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</si>
  <si>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</si>
  <si>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</si>
  <si>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</si>
  <si>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</si>
  <si>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</si>
  <si>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</si>
  <si>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</si>
  <si>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</si>
  <si>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</si>
  <si>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</si>
  <si>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</si>
  <si>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</si>
  <si>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</si>
  <si>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</si>
  <si>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</si>
  <si>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</si>
  <si>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</si>
  <si>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</si>
  <si>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</si>
  <si>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</si>
  <si>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</si>
  <si>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</si>
  <si>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</si>
  <si>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</si>
  <si>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</si>
  <si>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</si>
  <si>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</si>
  <si>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</si>
  <si>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</si>
  <si>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</si>
  <si>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</si>
  <si>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</si>
  <si>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</si>
  <si>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</si>
  <si>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</si>
  <si>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</si>
  <si>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</si>
  <si>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</si>
  <si>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</si>
  <si>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</si>
  <si>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</si>
  <si>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</si>
  <si>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</si>
  <si>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</si>
  <si>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</si>
  <si>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</si>
  <si>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</si>
  <si>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</si>
  <si>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</si>
  <si>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</si>
  <si>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</si>
  <si>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</si>
  <si>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</si>
  <si>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</si>
  <si>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</si>
  <si>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</si>
  <si>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</si>
  <si>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</si>
  <si>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</si>
  <si>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</si>
  <si>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</si>
  <si>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</si>
  <si>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</si>
  <si>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</si>
  <si>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</si>
  <si>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</si>
  <si>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</si>
  <si>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</si>
  <si>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</si>
  <si>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</si>
  <si>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</si>
  <si>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</si>
  <si>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</si>
  <si>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</si>
  <si>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</si>
  <si>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</si>
  <si>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</si>
  <si>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</si>
  <si>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</si>
  <si>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</si>
  <si>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</si>
  <si>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</si>
  <si>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</si>
  <si>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</si>
  <si>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</si>
  <si>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</si>
  <si>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</si>
  <si>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</si>
  <si>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</si>
  <si>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</si>
  <si>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</si>
  <si>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</si>
  <si>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</si>
  <si>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</si>
  <si>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</si>
  <si>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</si>
  <si>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</si>
  <si>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</si>
  <si>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</si>
  <si>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</si>
  <si>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</si>
  <si>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</si>
  <si>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</si>
  <si>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</si>
  <si>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</si>
  <si>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</si>
  <si>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</si>
  <si>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</si>
  <si>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</si>
  <si>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</si>
  <si>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</si>
  <si>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</si>
  <si>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</si>
  <si>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</si>
  <si>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</si>
  <si>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</si>
  <si>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</si>
  <si>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</si>
  <si>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</si>
  <si>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</si>
  <si>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</si>
  <si>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</si>
  <si>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</si>
  <si>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</si>
  <si>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</si>
  <si>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</si>
  <si>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</si>
  <si>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</si>
  <si>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</si>
  <si>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</si>
  <si>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</si>
  <si>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</si>
  <si>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</si>
  <si>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</si>
  <si>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</si>
  <si>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</si>
  <si>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</si>
  <si>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</si>
  <si>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</si>
  <si>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</si>
  <si>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</si>
  <si>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</si>
  <si>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</si>
  <si>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</si>
  <si>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</si>
  <si>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</si>
  <si>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</si>
  <si>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</si>
  <si>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</si>
  <si>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</si>
  <si>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</si>
  <si>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</si>
  <si>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</si>
  <si>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</si>
  <si>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</si>
  <si>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</si>
  <si>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</si>
  <si>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</si>
  <si>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</si>
  <si>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</si>
  <si>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</si>
  <si>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</si>
  <si>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</si>
  <si>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</si>
  <si>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</si>
  <si>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</si>
  <si>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</si>
  <si>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</si>
  <si>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</si>
  <si>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</si>
  <si>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</si>
  <si>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</si>
  <si>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</si>
  <si>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</si>
  <si>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</si>
  <si>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</si>
  <si>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</si>
  <si>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</si>
  <si>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</si>
  <si>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</si>
  <si>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</si>
  <si>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</si>
  <si>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</si>
  <si>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</si>
  <si>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</si>
  <si>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</si>
  <si>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</si>
  <si>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</si>
  <si>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</si>
  <si>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</si>
  <si>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</si>
  <si>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</si>
  <si>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</si>
  <si>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</si>
  <si>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</si>
  <si>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</si>
  <si>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</si>
  <si>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</si>
  <si>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</si>
  <si>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</si>
  <si>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</si>
  <si>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</si>
  <si>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</si>
  <si>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</si>
  <si>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</si>
  <si>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</si>
  <si>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</si>
  <si>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</si>
  <si>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</si>
  <si>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</si>
  <si>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</si>
  <si>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</si>
  <si>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</si>
  <si>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</si>
  <si>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</si>
  <si>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</si>
  <si>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</si>
  <si>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</si>
  <si>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</si>
  <si>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</si>
  <si>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</si>
  <si>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</si>
  <si>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</si>
  <si>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</si>
  <si>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</si>
  <si>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</si>
  <si>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</si>
  <si>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</si>
  <si>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</si>
  <si>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</si>
  <si>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</si>
  <si>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</si>
  <si>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</si>
  <si>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</si>
  <si>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</si>
  <si>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</si>
  <si>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</si>
  <si>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</si>
  <si>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</si>
  <si>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</si>
  <si>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</si>
  <si>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</si>
  <si>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</si>
  <si>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</si>
  <si>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</si>
  <si>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</si>
  <si>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</si>
  <si>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</si>
  <si>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</si>
  <si>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</si>
  <si>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</si>
  <si>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</si>
  <si>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IVAN MOSIC</t>
  </si>
  <si>
    <t>MIODRAG STOJANOVIC</t>
  </si>
  <si>
    <t>MILOS MOSIC</t>
  </si>
  <si>
    <t>IVANA KRSTIC</t>
  </si>
  <si>
    <t>MIROSLAVA DERIKONJIC</t>
  </si>
  <si>
    <t>JOVANA DOJCINOVIC</t>
  </si>
  <si>
    <t>9:30</t>
  </si>
  <si>
    <t>05:58</t>
  </si>
  <si>
    <t>0:50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</si>
</sst>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04_031_RED_ZAL_E2025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45944.833333333336</v>
      </c>
      <c r="C3" s="157"/>
      <c r="D3" s="39">
        <v>643</v>
      </c>
      <c r="E3" s="29"/>
      <c r="F3" s="26">
        <f>SUBTOTAL(3,I17:I106)</f>
        <v>3</v>
      </c>
      <c r="G3" s="27">
        <f>IF(OR(D3="",D3=0),"",F3/D3)</f>
        <v>4.6656298600311046E-3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4.6656298600311046E-3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0.46656298600311047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6.4665629860031109</v>
      </c>
      <c r="N7" s="58"/>
      <c r="O7" s="2"/>
      <c r="P7" s="2"/>
      <c r="Q7" s="86">
        <f>SUM(R5,S5,AC16)</f>
        <v>6.4665629860031109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6.46656298600311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31</v>
      </c>
      <c r="D17" s="32" t="s">
        <v>758</v>
      </c>
      <c r="E17" s="33">
        <v>2</v>
      </c>
      <c r="F17" s="36">
        <v>25</v>
      </c>
      <c r="G17" s="36">
        <v>27</v>
      </c>
      <c r="H17" s="38" t="str">
        <f>IF(I17="","",$I$14)</f>
        <v>SCOUTING</v>
      </c>
      <c r="I17" s="34">
        <v>167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31</v>
      </c>
      <c r="D18" s="32" t="s">
        <v>759</v>
      </c>
      <c r="E18" s="33">
        <v>2</v>
      </c>
      <c r="F18" s="36">
        <v>28</v>
      </c>
      <c r="G18" s="36">
        <v>34</v>
      </c>
      <c r="H18" s="38" t="str">
        <f t="shared" ref="H18:H81" si="8">IF(I18="","",$I$14)</f>
        <v>SCOUTING</v>
      </c>
      <c r="I18" s="34">
        <v>241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31</v>
      </c>
      <c r="D19" s="32" t="s">
        <v>760</v>
      </c>
      <c r="E19" s="33">
        <v>2</v>
      </c>
      <c r="F19" s="36">
        <v>57</v>
      </c>
      <c r="G19" s="36">
        <v>56</v>
      </c>
      <c r="H19" s="38" t="str">
        <f t="shared" si="8"/>
        <v>SCOUTING</v>
      </c>
      <c r="I19" s="34">
        <v>497</v>
      </c>
      <c r="J19" s="13" t="s">
        <v>4</v>
      </c>
      <c r="K19" s="13" t="s">
        <v>63</v>
      </c>
      <c r="L19" s="13" t="s">
        <v>7</v>
      </c>
      <c r="M19" s="13" t="s">
        <v>30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REPORT_E2025031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"E2025031"</v>
      </c>
      <c r="F3" s="45" t="str">
        <f t="shared" ref="F3:F16" si="0">""""&amp;B3&amp;"""" &amp; " : " &amp;C3&amp;","</f>
        <v>"name" : "E2025031",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"E031"</v>
      </c>
      <c r="F4" s="45" t="str">
        <f t="shared" si="0"/>
        <v>"cod" : "E031",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031</v>
      </c>
      <c r="F6" s="45" t="str">
        <f t="shared" si="0"/>
        <v>"number" : 031,</v>
      </c>
    </row>
    <row r="7" spans="2:6" x14ac:dyDescent="0.2">
      <c r="B7" s="43" t="s">
        <v>116</v>
      </c>
      <c r="C7" s="43" t="str">
        <f ca="1">""""&amp;TEXT('SCOUT &amp; LOGISTICS'!B3,"dd/mm/aaaa")&amp;""""</f>
        <v>"14/10/Tuesday"</v>
      </c>
      <c r="F7" s="45" t="str">
        <f t="shared" ca="1" si="0"/>
        <v>"date" : "14/10/Tuesday",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"MILOS MOSIC"</v>
      </c>
      <c r="F12" s="45" t="str">
        <f t="shared" si="0"/>
        <v>"Caller_2" : "MILOS MOSIC",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"IVANA KRSTIC"</v>
      </c>
      <c r="F13" s="45" t="str">
        <f t="shared" si="0"/>
        <v>"Timerkeeper" : "IVANA KRSTIC",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643</v>
      </c>
      <c r="F25" s="45" t="str">
        <f t="shared" ref="F25:F48" si="1">""""&amp;C25&amp;"""" &amp; " : " &amp;D25&amp;","</f>
        <v>"total_actions" : 643,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04_031_RED_ZAL_E2025</v>
      </c>
      <c r="F52" s="45" t="str">
        <f>""""&amp;B52&amp;"""" &amp; " : " &amp;C52</f>
        <v>"result" : 04_031_RED_ZAL_E2025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E031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14/10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MOSIC</v>
      </c>
      <c r="M8" s="206"/>
      <c r="N8" s="206"/>
      <c r="O8" s="206"/>
      <c r="P8" s="206"/>
      <c r="Q8" s="206" t="str">
        <f>IF('SCOUT &amp; LOGISTICS'!D9="","",'SCOUT &amp; LOGISTICS'!D9)</f>
        <v>IVANA KRSTIC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4.6656298600311046E-3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6.4665629860031109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F8C29D-BD79-43C3-9733-F18ACED62D12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2025-10-16T18:12:47Z</cp:lastPrinted>
  <dcterms:created xsi:type="dcterms:W3CDTF">2023-09-19T19:50:35Z</dcterms:created>
  <dcterms:modified xsi:type="dcterms:W3CDTF">2025-10-24T16:23:20Z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