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o.enjuanes\EUROLEAGUE\EB STATS - General\SEASON 2025-26\Reports\Eurocup\"/>
    </mc:Choice>
  </mc:AlternateContent>
  <xr:revisionPtr revIDLastSave="0" documentId="13_ncr:1_{C767E9A1-DEE8-422B-8CBF-2FFA6F6048B7}" xr6:coauthVersionLast="47" xr6:coauthVersionMax="47" xr10:uidLastSave="{00000000-0000-0000-0000-000000000000}"/>
  <bookViews>
    <workbookView xWindow="-1755" yWindow="-1245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<sst xmlns="http://schemas.openxmlformats.org/spreadsheetml/2006/main" count="3271" uniqueCount="759">
  <si>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</si>
  <si>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</si>
  <si>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</si>
  <si>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</si>
  <si>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</si>
  <si>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</si>
  <si>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</si>
  <si>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</si>
  <si>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</si>
  <si>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</si>
  <si>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</si>
  <si>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</si>
  <si>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</si>
  <si>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</si>
  <si>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</si>
  <si>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</si>
  <si>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</si>
  <si>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</si>
  <si>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</si>
  <si>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</si>
  <si>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</si>
  <si>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</si>
  <si>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</si>
  <si>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</si>
  <si>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</si>
  <si>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</si>
  <si>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</si>
  <si>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</si>
  <si>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</si>
  <si>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</si>
  <si>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</si>
  <si>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</si>
  <si>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</si>
  <si>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</si>
  <si>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</si>
  <si>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</si>
  <si>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</si>
  <si>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</si>
  <si>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</si>
  <si>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</si>
  <si>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</si>
  <si>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</si>
  <si>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</si>
  <si>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</si>
  <si>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</si>
  <si>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</si>
  <si>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</si>
  <si>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</si>
  <si>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</si>
  <si>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</si>
  <si>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</si>
  <si>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</si>
  <si>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</si>
  <si>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</si>
  <si>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</si>
  <si>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</si>
  <si>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</si>
  <si>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</si>
  <si>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</si>
  <si>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</si>
  <si>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</si>
  <si>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</si>
  <si>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</si>
  <si>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</si>
  <si>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</si>
  <si>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</si>
  <si>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</si>
  <si>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</si>
  <si>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</si>
  <si>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</si>
  <si>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</si>
  <si>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</si>
  <si>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</si>
  <si>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</si>
  <si>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</si>
  <si>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</si>
  <si>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</si>
  <si>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</si>
  <si>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</si>
  <si>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</si>
  <si>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</si>
  <si>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</si>
  <si>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</si>
  <si>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</si>
  <si>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</si>
  <si>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</si>
  <si>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</si>
  <si>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</si>
  <si>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</si>
  <si>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</si>
  <si>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</si>
  <si>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</si>
  <si>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</si>
  <si>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</si>
  <si>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</si>
  <si>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</si>
  <si>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</si>
  <si>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</si>
  <si>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</si>
  <si>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</si>
  <si>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</si>
  <si>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</si>
  <si>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</si>
  <si>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</si>
  <si>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</si>
  <si>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</si>
  <si>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</si>
  <si>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</si>
  <si>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</si>
  <si>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</si>
  <si>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</si>
  <si>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</si>
  <si>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</si>
  <si>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</si>
  <si>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</si>
  <si>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</si>
  <si>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</si>
  <si>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</si>
  <si>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</si>
  <si>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</si>
  <si>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</si>
  <si>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</si>
  <si>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</si>
  <si>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</si>
  <si>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</si>
  <si>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</si>
  <si>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</si>
  <si>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</si>
  <si>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</si>
  <si>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</si>
  <si>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</si>
  <si>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</si>
  <si>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</si>
  <si>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</si>
  <si>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</si>
  <si>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</si>
  <si>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</si>
  <si>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</si>
  <si>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</si>
  <si>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</si>
  <si>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</si>
  <si>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</si>
  <si>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</si>
  <si>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</si>
  <si>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</si>
  <si>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</si>
  <si>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</si>
  <si>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</si>
  <si>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</si>
  <si>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</si>
  <si>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</si>
  <si>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</si>
  <si>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</si>
  <si>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</si>
  <si>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</si>
  <si>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</si>
  <si>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</si>
  <si>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</si>
  <si>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</si>
  <si>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</si>
  <si>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</si>
  <si>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</si>
  <si>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</si>
  <si>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</si>
  <si>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</si>
  <si>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</si>
  <si>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</si>
  <si>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</si>
  <si>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</si>
  <si>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</si>
  <si>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</si>
  <si>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</si>
  <si>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</si>
  <si>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</si>
  <si>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</si>
  <si>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</si>
  <si>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</si>
  <si>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</si>
  <si>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</si>
  <si>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</si>
  <si>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</si>
  <si>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</si>
  <si>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</si>
  <si>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</si>
  <si>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</si>
  <si>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</si>
  <si>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</si>
  <si>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</si>
  <si>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</si>
  <si>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</si>
  <si>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</si>
  <si>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</si>
  <si>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</si>
  <si>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</si>
  <si>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</si>
  <si>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</si>
  <si>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</si>
  <si>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</si>
  <si>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</si>
  <si>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</si>
  <si>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</si>
  <si>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</si>
  <si>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</si>
  <si>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</si>
  <si>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</si>
  <si>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</si>
  <si>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</si>
  <si>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</si>
  <si>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</si>
  <si>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</si>
  <si>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</si>
  <si>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</si>
  <si>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</si>
  <si>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</si>
  <si>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</si>
  <si>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</si>
  <si>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</si>
  <si>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</si>
  <si>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</si>
  <si>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</si>
  <si>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</si>
  <si>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</si>
  <si>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</si>
  <si>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</si>
  <si>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</si>
  <si>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</si>
  <si>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</si>
  <si>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</si>
  <si>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</si>
  <si>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</si>
  <si>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</si>
  <si>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</si>
  <si>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</si>
  <si>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</si>
  <si>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</si>
  <si>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</si>
  <si>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</si>
  <si>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</si>
  <si>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</si>
  <si>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</si>
  <si>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</si>
  <si>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</si>
  <si>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</si>
  <si>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</si>
  <si>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</si>
  <si>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</si>
  <si>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</si>
  <si>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</si>
  <si>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</si>
  <si>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</si>
  <si>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</si>
  <si>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</si>
  <si>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</si>
  <si>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</si>
  <si>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</si>
  <si>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</si>
  <si>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</si>
  <si>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</si>
  <si>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</si>
  <si>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</si>
  <si>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</si>
  <si>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</si>
  <si>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</si>
  <si>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</si>
  <si>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</si>
  <si>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</si>
  <si>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</si>
  <si>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</si>
  <si>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</si>
  <si>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</si>
  <si>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</si>
  <si>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</si>
  <si>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</si>
  <si>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</si>
  <si>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</si>
  <si>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</si>
  <si>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</si>
  <si>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</si>
  <si>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</si>
  <si>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</si>
  <si>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</si>
  <si>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</si>
  <si>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</si>
  <si>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</si>
  <si>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</si>
  <si>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</si>
  <si>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</si>
  <si>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</si>
  <si>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</si>
  <si>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</si>
  <si>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</si>
  <si>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</si>
  <si>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</si>
  <si>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</si>
  <si>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</si>
  <si>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</si>
  <si>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</si>
  <si>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</si>
  <si>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</si>
  <si>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</si>
  <si>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</si>
  <si>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</si>
  <si>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</si>
  <si>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</si>
  <si>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</si>
  <si>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</si>
  <si>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</si>
  <si>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</si>
  <si>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</si>
  <si>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</si>
  <si>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</si>
  <si>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</si>
  <si>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</si>
  <si>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</si>
  <si>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</si>
  <si>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</si>
  <si>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</si>
  <si>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</si>
  <si>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</si>
  <si>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</si>
  <si>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</si>
  <si>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</si>
  <si>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</si>
  <si>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</si>
  <si>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</si>
  <si>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</si>
  <si>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</si>
  <si>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</si>
  <si>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</si>
  <si>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</si>
  <si>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</si>
  <si>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</si>
  <si>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</si>
  <si>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</si>
  <si>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</si>
  <si>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</si>
  <si>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</si>
  <si>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</si>
  <si>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</si>
  <si>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</si>
  <si>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</si>
  <si>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</si>
  <si>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</si>
  <si>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</si>
  <si>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</si>
  <si>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</si>
  <si>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</si>
  <si>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</si>
  <si>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</si>
  <si>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</si>
  <si>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</si>
  <si>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</si>
  <si>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</si>
  <si>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</si>
  <si>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</si>
  <si>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</si>
  <si>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</si>
  <si>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</si>
  <si>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</si>
  <si>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</si>
  <si>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</si>
  <si>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</si>
  <si>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</si>
  <si>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</si>
  <si>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</si>
  <si>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</si>
  <si>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</si>
  <si>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</si>
  <si>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</si>
  <si>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</si>
  <si>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</si>
  <si>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</si>
  <si>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</si>
  <si>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</si>
  <si>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</si>
  <si>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</si>
  <si>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</si>
  <si>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</si>
  <si>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</si>
  <si>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</si>
  <si>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</si>
  <si>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</si>
  <si>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</si>
  <si>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</si>
  <si>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</si>
  <si>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</si>
  <si>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</si>
  <si>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</si>
  <si>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</si>
  <si>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</si>
  <si>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</si>
  <si>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</si>
  <si>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</si>
  <si>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</si>
  <si>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</si>
  <si>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</si>
  <si>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</si>
  <si>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</si>
  <si>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</si>
  <si>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</si>
  <si>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</si>
  <si>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</si>
  <si>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</si>
  <si>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</si>
  <si>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</si>
  <si>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</si>
  <si>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</si>
  <si>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</si>
  <si>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</si>
  <si>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</si>
  <si>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</si>
  <si>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</si>
  <si>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</si>
  <si>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</si>
  <si>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</si>
  <si>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</si>
  <si>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</si>
  <si>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</si>
  <si>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</si>
  <si>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</si>
  <si>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</si>
  <si>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</si>
  <si>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</si>
  <si>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</si>
  <si>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</si>
  <si>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</si>
  <si>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</si>
  <si>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</si>
  <si>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</si>
  <si>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</si>
  <si>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</si>
  <si>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</si>
  <si>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</si>
  <si>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</si>
  <si>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</si>
  <si>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</si>
  <si>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</si>
  <si>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</si>
  <si>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</si>
  <si>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</si>
  <si>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</si>
  <si>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</si>
  <si>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</si>
  <si>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</si>
  <si>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</si>
  <si>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</si>
  <si>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</si>
  <si>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</si>
  <si>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</si>
  <si>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</si>
  <si>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</si>
  <si>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</si>
  <si>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</si>
  <si>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</si>
  <si>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</si>
  <si>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</si>
  <si>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</si>
  <si>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</si>
  <si>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</si>
  <si>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</si>
  <si>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</si>
  <si>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</si>
  <si>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</si>
  <si>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</si>
  <si>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</si>
  <si>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</si>
  <si>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</si>
  <si>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</si>
  <si>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</si>
  <si>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</si>
  <si>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</si>
  <si>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</si>
  <si>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</si>
  <si>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</si>
  <si>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</si>
  <si>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</si>
  <si>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</si>
  <si>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</si>
  <si>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</si>
  <si>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</si>
  <si>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</si>
  <si>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</si>
  <si>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</si>
  <si>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</si>
  <si>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</si>
  <si>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</si>
  <si>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</si>
  <si>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</si>
  <si>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</si>
  <si>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</si>
  <si>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</si>
  <si>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</si>
  <si>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</si>
  <si>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</si>
  <si>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</si>
  <si>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</si>
  <si>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</si>
  <si>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</si>
  <si>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</si>
  <si>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</si>
  <si>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</si>
  <si>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</si>
  <si>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</si>
  <si>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</si>
  <si>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</si>
  <si>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</si>
  <si>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</si>
  <si>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</si>
  <si>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</si>
  <si>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</si>
  <si>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</si>
  <si>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</si>
  <si>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</si>
  <si>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</si>
  <si>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</si>
  <si>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</si>
  <si>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</si>
  <si>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</si>
  <si>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</si>
  <si>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</si>
  <si>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</si>
  <si>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</si>
  <si>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</si>
  <si>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</si>
  <si>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</si>
  <si>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</si>
  <si>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</si>
  <si>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</si>
  <si>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</si>
  <si>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</si>
  <si>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</si>
  <si>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</si>
  <si>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</si>
  <si>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</si>
  <si>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</si>
  <si>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</si>
  <si>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</si>
  <si>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</si>
  <si>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</si>
  <si>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</si>
  <si>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</si>
  <si>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</si>
  <si>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</si>
  <si>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</si>
  <si>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</si>
  <si>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</si>
  <si>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</si>
  <si>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</si>
  <si>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</si>
  <si>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</si>
  <si>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</si>
  <si>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</si>
  <si>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</si>
  <si>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</si>
  <si>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</si>
  <si>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</si>
  <si>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</si>
  <si>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</si>
  <si>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</si>
  <si>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</si>
  <si>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</si>
  <si>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</si>
  <si>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</si>
  <si>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</si>
  <si>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</si>
  <si>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</si>
  <si>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</si>
  <si>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</si>
  <si>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</si>
  <si>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</si>
  <si>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</si>
  <si>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</si>
  <si>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</si>
  <si>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</si>
  <si>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</si>
  <si>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</si>
  <si>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</si>
  <si>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</si>
  <si>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</si>
  <si>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</si>
  <si>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</si>
  <si>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</si>
  <si>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</si>
  <si>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</si>
  <si>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</si>
  <si>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</si>
  <si>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</si>
  <si>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</si>
  <si>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</si>
  <si>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</si>
  <si>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</si>
  <si>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</si>
  <si>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</si>
  <si>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</si>
  <si>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</si>
  <si>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</si>
  <si>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</si>
  <si>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</si>
  <si>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</si>
  <si>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</si>
  <si>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</si>
  <si>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</si>
  <si>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</si>
  <si>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</si>
  <si>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</si>
  <si>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</si>
  <si>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</si>
  <si>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</si>
  <si>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</si>
  <si>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</si>
  <si>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</si>
  <si>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</si>
  <si>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</si>
  <si>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</si>
  <si>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</si>
  <si>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</si>
  <si>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</si>
  <si>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</si>
  <si>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</si>
  <si>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</si>
  <si>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</si>
  <si>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</si>
  <si>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</si>
  <si>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</si>
  <si>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</si>
  <si>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</si>
  <si>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</si>
  <si>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</si>
  <si>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</si>
  <si>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</si>
  <si>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</si>
  <si>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</si>
  <si>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</si>
  <si>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</si>
  <si>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</si>
  <si>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</si>
  <si>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</si>
  <si>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</si>
  <si>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</si>
  <si>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</si>
  <si>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</si>
  <si>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</si>
  <si>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</si>
  <si>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</si>
  <si>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</si>
  <si>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</si>
  <si>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</si>
  <si>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</si>
  <si>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</si>
  <si>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</si>
  <si>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</si>
  <si>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</si>
  <si>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</si>
  <si>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</si>
  <si>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</si>
  <si>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</si>
  <si>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</si>
  <si>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</si>
  <si>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</si>
  <si>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</si>
  <si>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</si>
  <si>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</si>
  <si>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</si>
  <si>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</si>
  <si>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</si>
  <si>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</si>
  <si>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</si>
  <si>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</si>
  <si>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</si>
  <si>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</si>
  <si>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</si>
  <si>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</si>
  <si>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</si>
  <si>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</si>
  <si>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</si>
  <si>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</si>
  <si>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</si>
  <si>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</si>
  <si>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</si>
  <si>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</si>
  <si>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</si>
  <si>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</si>
  <si>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</si>
  <si>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</si>
  <si>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</si>
  <si>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</si>
  <si>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</si>
  <si>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</si>
  <si>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</si>
  <si>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</si>
  <si>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</si>
  <si>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</si>
  <si>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</si>
  <si>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</si>
  <si>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</si>
  <si>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</si>
  <si>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</si>
  <si>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</si>
  <si>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</si>
  <si>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</si>
  <si>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</si>
  <si>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</si>
  <si>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</si>
  <si>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</si>
  <si>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</si>
  <si>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</si>
  <si>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</si>
  <si>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</si>
  <si>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</si>
  <si>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</si>
  <si>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</si>
  <si>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</si>
  <si>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</si>
  <si>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</si>
  <si>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</si>
  <si>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</si>
  <si>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</si>
  <si>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</si>
  <si>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</si>
  <si>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</si>
  <si>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</si>
  <si>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</si>
  <si>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</si>
  <si>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</si>
  <si>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</si>
  <si>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</si>
  <si>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</si>
  <si>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</si>
  <si>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</si>
  <si>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</si>
  <si>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</si>
  <si>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</si>
  <si>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</si>
  <si>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</si>
  <si>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</si>
  <si>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</si>
  <si>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</si>
  <si>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</si>
  <si>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</si>
  <si>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</si>
  <si>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</si>
  <si>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</si>
  <si>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</si>
  <si>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</si>
  <si>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</si>
  <si>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</si>
  <si>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</si>
  <si>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</si>
  <si>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</si>
  <si>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MARIO ENJUANES</t>
  </si>
  <si>
    <t>SERTAC DOSTEL</t>
  </si>
  <si>
    <t>ORHAN YENIHAYAT</t>
  </si>
  <si>
    <t>YUSUF YELESDAG</t>
  </si>
  <si>
    <t>ALPKAN HACIYAKUPOULU</t>
  </si>
  <si>
    <t>It wasn't his best day. They missed a substitution that was seen when he drew a foul and had to shoot. 
Then you have to correct a substitution time (of the change that they had forgotten) so that the players' playing time matches correctly.
Also, on a rebound after a free throw, it goes in as a won free throw, so the visiting team spends a few minutes with an extra point. When it's substituted, the team switches teams, and for a few minutes the home team has an extra point.</t>
  </si>
  <si>
    <t>06:29</t>
  </si>
  <si>
    <t>03:41</t>
  </si>
  <si>
    <t>84-87</t>
  </si>
  <si>
    <t>C:\Users\mario.enjuanes\EUROLEAGUE\EB STATS - General\SEASON 2025-26\Reports\Eurocup\PDF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</si>
</sst>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04_033_BAH_LJU_U2025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33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45952.791666666664</v>
      </c>
      <c r="C3" s="157"/>
      <c r="D3" s="39">
        <v>585</v>
      </c>
      <c r="E3" s="29"/>
      <c r="F3" s="26">
        <f>SUBTOTAL(3,I17:I106)</f>
        <v>5</v>
      </c>
      <c r="G3" s="27">
        <f>IF(OR(D3="",D3=0),"",F3/D3)</f>
        <v>8.5470085470085479E-3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Bahcesehir College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742</v>
      </c>
      <c r="L4" s="5"/>
      <c r="M4" s="167" t="s">
        <v>754</v>
      </c>
      <c r="N4" s="168"/>
      <c r="O4" s="2"/>
      <c r="P4" s="2"/>
      <c r="Q4" s="84" t="s">
        <v>175</v>
      </c>
      <c r="R4" s="94">
        <f>(IF(G3="",0,G3))</f>
        <v>8.5470085470085479E-3</v>
      </c>
      <c r="S4" s="61">
        <f>SUM(I13:M13)</f>
        <v>1</v>
      </c>
      <c r="T4" s="78"/>
      <c r="U4" s="61">
        <f>AC18</f>
        <v>0</v>
      </c>
      <c r="V4" s="61">
        <f>+AC22</f>
        <v>0</v>
      </c>
      <c r="W4" s="61">
        <f>AC24</f>
        <v>1</v>
      </c>
      <c r="X4" s="61">
        <f>AC29</f>
        <v>1</v>
      </c>
      <c r="Y4" s="61">
        <f>AC25</f>
        <v>2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Cedevita Olimpija Ljubljana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LJU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0.85470085470085477</v>
      </c>
      <c r="S5" s="70">
        <f t="shared" ref="S5" si="0">S4*S3</f>
        <v>1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1</v>
      </c>
      <c r="X5" s="70">
        <f t="shared" si="1"/>
        <v>1</v>
      </c>
      <c r="Y5" s="70">
        <f t="shared" si="1"/>
        <v>4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12.854700854700855</v>
      </c>
      <c r="N7" s="58"/>
      <c r="O7" s="2"/>
      <c r="P7" s="2"/>
      <c r="Q7" s="86">
        <f>SUM(R5,S5,AC16)</f>
        <v>12.854700854700855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12.854700854700855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33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2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2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33</v>
      </c>
      <c r="D17" s="32" t="s">
        <v>755</v>
      </c>
      <c r="E17" s="33">
        <v>1</v>
      </c>
      <c r="F17" s="36">
        <v>9</v>
      </c>
      <c r="G17" s="36">
        <v>4</v>
      </c>
      <c r="H17" s="38" t="str">
        <f>IF(I17="","",$I$14)</f>
        <v>SCOUTING</v>
      </c>
      <c r="I17" s="34">
        <v>40</v>
      </c>
      <c r="J17" s="13" t="s">
        <v>4</v>
      </c>
      <c r="K17" s="13" t="s">
        <v>62</v>
      </c>
      <c r="L17" s="13" t="s">
        <v>47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33</v>
      </c>
      <c r="D18" s="32" t="s">
        <v>755</v>
      </c>
      <c r="E18" s="33">
        <v>1</v>
      </c>
      <c r="F18" s="36">
        <v>10</v>
      </c>
      <c r="G18" s="36">
        <v>4</v>
      </c>
      <c r="H18" s="38" t="str">
        <f t="shared" ref="H18:H81" si="8">IF(I18="","",$I$14)</f>
        <v>SCOUTING</v>
      </c>
      <c r="I18" s="34">
        <v>42</v>
      </c>
      <c r="J18" s="13" t="s">
        <v>3</v>
      </c>
      <c r="K18" s="13" t="s">
        <v>63</v>
      </c>
      <c r="L18" s="13" t="s">
        <v>48</v>
      </c>
      <c r="M18" s="13" t="s">
        <v>23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33</v>
      </c>
      <c r="D19" s="32" t="s">
        <v>755</v>
      </c>
      <c r="E19" s="33">
        <v>1</v>
      </c>
      <c r="F19" s="36">
        <v>10</v>
      </c>
      <c r="G19" s="36">
        <v>4</v>
      </c>
      <c r="H19" s="38" t="str">
        <f t="shared" si="8"/>
        <v>SCOUTING</v>
      </c>
      <c r="I19" s="34">
        <v>42</v>
      </c>
      <c r="J19" s="13" t="s">
        <v>3</v>
      </c>
      <c r="K19" s="13" t="s">
        <v>62</v>
      </c>
      <c r="L19" s="13" t="s">
        <v>48</v>
      </c>
      <c r="M19" s="13" t="s">
        <v>23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33</v>
      </c>
      <c r="D20" s="32" t="s">
        <v>756</v>
      </c>
      <c r="E20" s="33"/>
      <c r="F20" s="36"/>
      <c r="G20" s="36"/>
      <c r="H20" s="38" t="str">
        <f t="shared" si="8"/>
        <v>SCOUTING</v>
      </c>
      <c r="I20" s="34" t="s">
        <v>757</v>
      </c>
      <c r="J20" s="13" t="s">
        <v>4</v>
      </c>
      <c r="K20" s="13" t="s">
        <v>62</v>
      </c>
      <c r="L20" s="13" t="s">
        <v>78</v>
      </c>
      <c r="M20" s="13" t="s">
        <v>78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33</v>
      </c>
      <c r="D21" s="32" t="s">
        <v>756</v>
      </c>
      <c r="E21" s="33"/>
      <c r="F21" s="36"/>
      <c r="G21" s="36"/>
      <c r="H21" s="38" t="str">
        <f t="shared" si="8"/>
        <v>SCOUTING</v>
      </c>
      <c r="I21" s="34" t="s">
        <v>757</v>
      </c>
      <c r="J21" s="13" t="s">
        <v>4</v>
      </c>
      <c r="K21" s="13" t="s">
        <v>62</v>
      </c>
      <c r="L21" s="13" t="s">
        <v>75</v>
      </c>
      <c r="M21" s="13" t="s">
        <v>164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2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2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1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REPORT_U2025033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"U2025033"</v>
      </c>
      <c r="F3" s="45" t="str">
        <f t="shared" ref="F3:F16" si="0">""""&amp;B3&amp;"""" &amp; " : " &amp;C3&amp;","</f>
        <v>"name" : "U2025033",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"U033"</v>
      </c>
      <c r="F4" s="45" t="str">
        <f t="shared" si="0"/>
        <v>"cod" : "U033",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033</v>
      </c>
      <c r="F6" s="45" t="str">
        <f t="shared" si="0"/>
        <v>"number" : 033,</v>
      </c>
    </row>
    <row r="7" spans="2:6" x14ac:dyDescent="0.2">
      <c r="B7" s="43" t="s">
        <v>116</v>
      </c>
      <c r="C7" s="43" t="str">
        <f ca="1">""""&amp;TEXT('SCOUT &amp; LOGISTICS'!B3,"dd/mm/aaaa")&amp;""""</f>
        <v>"22/10/Wednesday"</v>
      </c>
      <c r="F7" s="45" t="str">
        <f t="shared" ca="1" si="0"/>
        <v>"date" : "22/10/Wednesday",</v>
      </c>
    </row>
    <row r="8" spans="2:6" x14ac:dyDescent="0.2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">
      <c r="B9" s="43" t="s">
        <v>126</v>
      </c>
      <c r="C9" s="43" t="str">
        <f>""""&amp;'SCOUT &amp; LOGISTICS'!D5&amp;""""</f>
        <v>"Cedevita Olimpija Ljubljana"</v>
      </c>
      <c r="F9" s="45" t="str">
        <f t="shared" si="0"/>
        <v>"away_team" : "Cedevita Olimpija Ljubljana",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"YUSUF YELESDAG"</v>
      </c>
      <c r="F13" s="45" t="str">
        <f t="shared" si="0"/>
        <v>"Timerkeeper" : "YUSUF YELESDAG",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"ALPKAN HACIYAKUPOULU"</v>
      </c>
      <c r="F14" s="45" t="str">
        <f t="shared" si="0"/>
        <v>"Shotclock" : "ALPKAN HACIYAKUPOULU",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585</v>
      </c>
      <c r="F25" s="45" t="str">
        <f t="shared" ref="F25:F48" si="1">""""&amp;C25&amp;"""" &amp; " : " &amp;D25&amp;","</f>
        <v>"total_actions" : 585,</v>
      </c>
    </row>
    <row r="26" spans="2:6" x14ac:dyDescent="0.2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2</v>
      </c>
      <c r="F41" s="45" t="str">
        <f t="shared" si="1"/>
        <v>"irs" : 2,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"It wasn't his best day. They missed a substitution that was seen when he drew a foul and had to shoot. 
Then you have to correct a substitution time (of the change that they had forgotten) so that the players' playing time matches correctly.
Also, on a rebound after a free throw, it goes in as a won free throw, so the visiting team spends a few minutes with an extra point. When it's substituted, the team switches teams, and for a few minutes the home team has an extra point."</v>
      </c>
      <c r="F51" s="45" t="str">
        <f>""""&amp;B51&amp;"""" &amp; " : " &amp;C51&amp;","</f>
        <v>"comments" : "It wasn't his best day. They missed a substitution that was seen when he drew a foul and had to shoot. 
Then you have to correct a substitution time (of the change that they had forgotten) so that the players' playing time matches correctly.
Also, on a rebound after a free throw, it goes in as a won free throw, so the visiting team spends a few minutes with an extra point. When it's substituted, the team switches teams, and for a few minutes the home team has an extra point.",</v>
      </c>
    </row>
    <row r="52" spans="2:6" x14ac:dyDescent="0.2">
      <c r="B52" s="43" t="s">
        <v>153</v>
      </c>
      <c r="C52" s="43" t="str">
        <f>TEXT('SCOUT &amp; LOGISTICS'!F1,"0,0")</f>
        <v>04_033_BAH_LJU_U2025</v>
      </c>
      <c r="F52" s="45" t="str">
        <f>""""&amp;B52&amp;"""" &amp; " : " &amp;C52</f>
        <v>"result" : 04_033_BAH_LJU_U2025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U033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22/10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Bahcesehir College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Cedevita Olimpija Ljubljana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YUSUF YELESDAG</v>
      </c>
      <c r="R8" s="206"/>
      <c r="S8" s="206"/>
      <c r="T8" s="206"/>
      <c r="U8" s="206"/>
      <c r="V8" s="206" t="str">
        <f>IF('SCOUT &amp; LOGISTICS'!D10="","",'SCOUT &amp; LOGISTICS'!D10)</f>
        <v>ALPKAN HACIYAKUPOULU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585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8.5470085470085479E-3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2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It wasn't his best day. They missed a substitution that was seen when he drew a foul and had to shoot. 
Then you have to correct a substitution time (of the change that they had forgotten) so that the players' playing time matches correctly.
Also, on a rebound after a free throw, it goes in as a won free throw, so the visiting team spends a few minutes with an extra point. When it's substituted, the team switches teams, and for a few minutes the home team has an extra point.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12.854700854700855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C25F9B-EF0B-44EC-8C85-B8D0C6865D01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2025-10-22T18:59:12Z</cp:lastPrinted>
  <dcterms:created xsi:type="dcterms:W3CDTF">2023-09-19T19:50:35Z</dcterms:created>
  <dcterms:modified xsi:type="dcterms:W3CDTF">2025-10-22T18:59:44Z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