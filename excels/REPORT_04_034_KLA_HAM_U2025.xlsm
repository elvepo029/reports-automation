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4" documentId="8_{133D9E80-7F27-4CF3-9517-26545C142BE6}" xr6:coauthVersionLast="47" xr6:coauthVersionMax="47" xr10:uidLastSave="{D9FCAB16-F7F8-4211-92C3-EEB59F839D37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<sst xmlns="http://schemas.openxmlformats.org/spreadsheetml/2006/main" count="3269" uniqueCount="763">
  <si>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</si>
  <si>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</si>
  <si>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</si>
  <si>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</si>
  <si>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</si>
  <si>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</si>
  <si>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</si>
  <si>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</si>
  <si>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</si>
  <si>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</si>
  <si>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</si>
  <si>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</si>
  <si>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</si>
  <si>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</si>
  <si>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</si>
  <si>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</si>
  <si>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</si>
  <si>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</si>
  <si>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</si>
  <si>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</si>
  <si>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</si>
  <si>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</si>
  <si>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</si>
  <si>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</si>
  <si>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</si>
  <si>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</si>
  <si>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</si>
  <si>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</si>
  <si>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</si>
  <si>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</si>
  <si>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</si>
  <si>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</si>
  <si>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</si>
  <si>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</si>
  <si>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</si>
  <si>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</si>
  <si>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</si>
  <si>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</si>
  <si>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</si>
  <si>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</si>
  <si>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</si>
  <si>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</si>
  <si>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</si>
  <si>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</si>
  <si>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</si>
  <si>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</si>
  <si>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</si>
  <si>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</si>
  <si>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</si>
  <si>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</si>
  <si>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</si>
  <si>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</si>
  <si>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</si>
  <si>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</si>
  <si>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</si>
  <si>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</si>
  <si>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</si>
  <si>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</si>
  <si>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</si>
  <si>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</si>
  <si>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</si>
  <si>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</si>
  <si>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</si>
  <si>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</si>
  <si>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</si>
  <si>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</si>
  <si>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</si>
  <si>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</si>
  <si>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</si>
  <si>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</si>
  <si>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</si>
  <si>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</si>
  <si>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</si>
  <si>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</si>
  <si>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</si>
  <si>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</si>
  <si>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</si>
  <si>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</si>
  <si>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</si>
  <si>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</si>
  <si>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</si>
  <si>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</si>
  <si>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</si>
  <si>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</si>
  <si>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</si>
  <si>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</si>
  <si>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</si>
  <si>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</si>
  <si>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</si>
  <si>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</si>
  <si>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</si>
  <si>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</si>
  <si>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</si>
  <si>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</si>
  <si>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</si>
  <si>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</si>
  <si>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</si>
  <si>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</si>
  <si>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</si>
  <si>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</si>
  <si>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</si>
  <si>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</si>
  <si>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</si>
  <si>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</si>
  <si>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</si>
  <si>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</si>
  <si>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</si>
  <si>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</si>
  <si>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</si>
  <si>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</si>
  <si>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</si>
  <si>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</si>
  <si>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</si>
  <si>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</si>
  <si>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</si>
  <si>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</si>
  <si>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</si>
  <si>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</si>
  <si>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</si>
  <si>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</si>
  <si>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</si>
  <si>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</si>
  <si>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</si>
  <si>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</si>
  <si>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</si>
  <si>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</si>
  <si>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</si>
  <si>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</si>
  <si>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</si>
  <si>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</si>
  <si>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</si>
  <si>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</si>
  <si>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</si>
  <si>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</si>
  <si>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</si>
  <si>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</si>
  <si>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</si>
  <si>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</si>
  <si>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</si>
  <si>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</si>
  <si>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</si>
  <si>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</si>
  <si>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</si>
  <si>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</si>
  <si>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</si>
  <si>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</si>
  <si>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</si>
  <si>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</si>
  <si>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</si>
  <si>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</si>
  <si>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</si>
  <si>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</si>
  <si>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</si>
  <si>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</si>
  <si>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</si>
  <si>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</si>
  <si>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</si>
  <si>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</si>
  <si>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</si>
  <si>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</si>
  <si>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</si>
  <si>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</si>
  <si>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</si>
  <si>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</si>
  <si>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</si>
  <si>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</si>
  <si>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</si>
  <si>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</si>
  <si>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</si>
  <si>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</si>
  <si>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</si>
  <si>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</si>
  <si>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</si>
  <si>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</si>
  <si>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</si>
  <si>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</si>
  <si>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</si>
  <si>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</si>
  <si>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</si>
  <si>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</si>
  <si>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</si>
  <si>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</si>
  <si>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</si>
  <si>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</si>
  <si>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</si>
  <si>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</si>
  <si>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</si>
  <si>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</si>
  <si>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</si>
  <si>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</si>
  <si>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</si>
  <si>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</si>
  <si>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</si>
  <si>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</si>
  <si>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</si>
  <si>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</si>
  <si>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</si>
  <si>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</si>
  <si>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</si>
  <si>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</si>
  <si>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</si>
  <si>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</si>
  <si>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</si>
  <si>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</si>
  <si>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</si>
  <si>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</si>
  <si>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</si>
  <si>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</si>
  <si>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</si>
  <si>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</si>
  <si>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</si>
  <si>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</si>
  <si>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</si>
  <si>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</si>
  <si>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</si>
  <si>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</si>
  <si>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</si>
  <si>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</si>
  <si>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</si>
  <si>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</si>
  <si>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</si>
  <si>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</si>
  <si>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</si>
  <si>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</si>
  <si>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</si>
  <si>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</si>
  <si>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</si>
  <si>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</si>
  <si>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</si>
  <si>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</si>
  <si>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</si>
  <si>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</si>
  <si>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</si>
  <si>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</si>
  <si>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</si>
  <si>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</si>
  <si>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</si>
  <si>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</si>
  <si>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</si>
  <si>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</si>
  <si>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</si>
  <si>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</si>
  <si>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</si>
  <si>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</si>
  <si>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</si>
  <si>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</si>
  <si>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</si>
  <si>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</si>
  <si>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</si>
  <si>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</si>
  <si>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</si>
  <si>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</si>
  <si>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</si>
  <si>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</si>
  <si>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</si>
  <si>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</si>
  <si>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</si>
  <si>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</si>
  <si>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</si>
  <si>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</si>
  <si>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</si>
  <si>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</si>
  <si>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</si>
  <si>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</si>
  <si>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</si>
  <si>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</si>
  <si>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</si>
  <si>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</si>
  <si>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</si>
  <si>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</si>
  <si>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</si>
  <si>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</si>
  <si>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</si>
  <si>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</si>
  <si>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</si>
  <si>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</si>
  <si>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</si>
  <si>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</si>
  <si>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</si>
  <si>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</si>
  <si>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</si>
  <si>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</si>
  <si>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</si>
  <si>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</si>
  <si>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</si>
  <si>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</si>
  <si>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</si>
  <si>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</si>
  <si>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</si>
  <si>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</si>
  <si>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</si>
  <si>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</si>
  <si>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</si>
  <si>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</si>
  <si>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</si>
  <si>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</si>
  <si>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</si>
  <si>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</si>
  <si>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</si>
  <si>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</si>
  <si>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</si>
  <si>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</si>
  <si>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</si>
  <si>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</si>
  <si>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</si>
  <si>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</si>
  <si>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</si>
  <si>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</si>
  <si>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</si>
  <si>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</si>
  <si>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</si>
  <si>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</si>
  <si>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</si>
  <si>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</si>
  <si>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</si>
  <si>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</si>
  <si>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</si>
  <si>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</si>
  <si>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</si>
  <si>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</si>
  <si>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</si>
  <si>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</si>
  <si>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</si>
  <si>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</si>
  <si>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</si>
  <si>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</si>
  <si>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</si>
  <si>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</si>
  <si>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</si>
  <si>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</si>
  <si>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</si>
  <si>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</si>
  <si>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</si>
  <si>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</si>
  <si>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</si>
  <si>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</si>
  <si>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</si>
  <si>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</si>
  <si>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</si>
  <si>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</si>
  <si>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</si>
  <si>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</si>
  <si>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</si>
  <si>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</si>
  <si>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</si>
  <si>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</si>
  <si>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</si>
  <si>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</si>
  <si>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</si>
  <si>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</si>
  <si>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</si>
  <si>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</si>
  <si>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</si>
  <si>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</si>
  <si>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</si>
  <si>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</si>
  <si>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</si>
  <si>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</si>
  <si>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</si>
  <si>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</si>
  <si>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</si>
  <si>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</si>
  <si>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</si>
  <si>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</si>
  <si>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</si>
  <si>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</si>
  <si>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</si>
  <si>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</si>
  <si>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</si>
  <si>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</si>
  <si>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</si>
  <si>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</si>
  <si>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</si>
  <si>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</si>
  <si>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</si>
  <si>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</si>
  <si>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</si>
  <si>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</si>
  <si>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</si>
  <si>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</si>
  <si>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</si>
  <si>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</si>
  <si>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</si>
  <si>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</si>
  <si>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</si>
  <si>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</si>
  <si>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</si>
  <si>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</si>
  <si>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</si>
  <si>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</si>
  <si>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</si>
  <si>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</si>
  <si>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</si>
  <si>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</si>
  <si>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</si>
  <si>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</si>
  <si>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</si>
  <si>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</si>
  <si>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</si>
  <si>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</si>
  <si>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</si>
  <si>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</si>
  <si>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</si>
  <si>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</si>
  <si>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</si>
  <si>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</si>
  <si>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</si>
  <si>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</si>
  <si>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</si>
  <si>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</si>
  <si>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</si>
  <si>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</si>
  <si>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</si>
  <si>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</si>
  <si>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</si>
  <si>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</si>
  <si>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</si>
  <si>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</si>
  <si>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</si>
  <si>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</si>
  <si>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</si>
  <si>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</si>
  <si>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</si>
  <si>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</si>
  <si>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</si>
  <si>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</si>
  <si>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</si>
  <si>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</si>
  <si>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</si>
  <si>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</si>
  <si>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</si>
  <si>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</si>
  <si>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</si>
  <si>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</si>
  <si>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</si>
  <si>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</si>
  <si>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</si>
  <si>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</si>
  <si>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</si>
  <si>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</si>
  <si>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</si>
  <si>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</si>
  <si>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</si>
  <si>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</si>
  <si>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</si>
  <si>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</si>
  <si>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</si>
  <si>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</si>
  <si>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</si>
  <si>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</si>
  <si>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</si>
  <si>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</si>
  <si>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</si>
  <si>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</si>
  <si>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</si>
  <si>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</si>
  <si>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</si>
  <si>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</si>
  <si>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</si>
  <si>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</si>
  <si>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</si>
  <si>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</si>
  <si>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</si>
  <si>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</si>
  <si>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</si>
  <si>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</si>
  <si>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</si>
  <si>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</si>
  <si>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</si>
  <si>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</si>
  <si>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</si>
  <si>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</si>
  <si>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</si>
  <si>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</si>
  <si>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</si>
  <si>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</si>
  <si>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</si>
  <si>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</si>
  <si>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</si>
  <si>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</si>
  <si>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</si>
  <si>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</si>
  <si>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</si>
  <si>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</si>
  <si>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</si>
  <si>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</si>
  <si>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</si>
  <si>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</si>
  <si>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</si>
  <si>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</si>
  <si>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</si>
  <si>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</si>
  <si>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</si>
  <si>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</si>
  <si>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</si>
  <si>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</si>
  <si>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</si>
  <si>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</si>
  <si>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</si>
  <si>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</si>
  <si>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</si>
  <si>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</si>
  <si>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</si>
  <si>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</si>
  <si>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</si>
  <si>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</si>
  <si>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</si>
  <si>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</si>
  <si>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</si>
  <si>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</si>
  <si>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</si>
  <si>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</si>
  <si>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</si>
  <si>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</si>
  <si>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</si>
  <si>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</si>
  <si>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</si>
  <si>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</si>
  <si>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</si>
  <si>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</si>
  <si>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</si>
  <si>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</si>
  <si>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</si>
  <si>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</si>
  <si>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</si>
  <si>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</si>
  <si>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</si>
  <si>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</si>
  <si>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</si>
  <si>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</si>
  <si>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</si>
  <si>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</si>
  <si>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</si>
  <si>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</si>
  <si>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</si>
  <si>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</si>
  <si>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</si>
  <si>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</si>
  <si>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</si>
  <si>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</si>
  <si>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</si>
  <si>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</si>
  <si>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</si>
  <si>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</si>
  <si>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</si>
  <si>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</si>
  <si>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</si>
  <si>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</si>
  <si>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</si>
  <si>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</si>
  <si>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</si>
  <si>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</si>
  <si>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</si>
  <si>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</si>
  <si>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</si>
  <si>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</si>
  <si>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</si>
  <si>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</si>
  <si>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</si>
  <si>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</si>
  <si>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</si>
  <si>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</si>
  <si>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</si>
  <si>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</si>
  <si>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</si>
  <si>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</si>
  <si>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</si>
  <si>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</si>
  <si>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</si>
  <si>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</si>
  <si>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</si>
  <si>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</si>
  <si>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</si>
  <si>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</si>
  <si>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</si>
  <si>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</si>
  <si>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</si>
  <si>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</si>
  <si>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</si>
  <si>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</si>
  <si>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</si>
  <si>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</si>
  <si>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</si>
  <si>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</si>
  <si>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</si>
  <si>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</si>
  <si>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</si>
  <si>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</si>
  <si>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</si>
  <si>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</si>
  <si>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</si>
  <si>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</si>
  <si>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</si>
  <si>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</si>
  <si>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</si>
  <si>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</si>
  <si>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</si>
  <si>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</si>
  <si>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</si>
  <si>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</si>
  <si>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</si>
  <si>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</si>
  <si>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</si>
  <si>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</si>
  <si>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</si>
  <si>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</si>
  <si>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</si>
  <si>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</si>
  <si>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</si>
  <si>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</si>
  <si>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</si>
  <si>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</si>
  <si>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</si>
  <si>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</si>
  <si>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</si>
  <si>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</si>
  <si>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</si>
  <si>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</si>
  <si>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</si>
  <si>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</si>
  <si>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</si>
  <si>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</si>
  <si>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</si>
  <si>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</si>
  <si>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</si>
  <si>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</si>
  <si>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</si>
  <si>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</si>
  <si>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</si>
  <si>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</si>
  <si>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</si>
  <si>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</si>
  <si>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</si>
  <si>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</si>
  <si>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</si>
  <si>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</si>
  <si>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</si>
  <si>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</si>
  <si>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</si>
  <si>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</si>
  <si>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</si>
  <si>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</si>
  <si>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</si>
  <si>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</si>
  <si>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</si>
  <si>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</si>
  <si>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</si>
  <si>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</si>
  <si>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</si>
  <si>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</si>
  <si>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</si>
  <si>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</si>
  <si>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</si>
  <si>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</si>
  <si>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</si>
  <si>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</si>
  <si>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</si>
  <si>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</si>
  <si>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</si>
  <si>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</si>
  <si>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</si>
  <si>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</si>
  <si>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</si>
  <si>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</si>
  <si>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</si>
  <si>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</si>
  <si>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</si>
  <si>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</si>
  <si>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</si>
  <si>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</si>
  <si>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</si>
  <si>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</si>
  <si>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</si>
  <si>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</si>
  <si>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</si>
  <si>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</si>
  <si>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</si>
  <si>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</si>
  <si>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</si>
  <si>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</si>
  <si>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</si>
  <si>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</si>
  <si>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</si>
  <si>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</si>
  <si>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</si>
  <si>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</si>
  <si>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</si>
  <si>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</si>
  <si>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</si>
  <si>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</si>
  <si>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</si>
  <si>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</si>
  <si>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</si>
  <si>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</si>
  <si>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</si>
  <si>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</si>
  <si>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</si>
  <si>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</si>
  <si>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</si>
  <si>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</si>
  <si>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</si>
  <si>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</si>
  <si>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</si>
  <si>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</si>
  <si>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</si>
  <si>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</si>
  <si>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</si>
  <si>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</si>
  <si>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</si>
  <si>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</si>
  <si>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</si>
  <si>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</si>
  <si>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</si>
  <si>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</si>
  <si>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</si>
  <si>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</si>
  <si>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</si>
  <si>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</si>
  <si>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</si>
  <si>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</si>
  <si>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</si>
  <si>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</si>
  <si>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</si>
  <si>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</si>
  <si>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</si>
  <si>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</si>
  <si>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</si>
  <si>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</si>
  <si>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</si>
  <si>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</si>
  <si>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</si>
  <si>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</si>
  <si>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</si>
  <si>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</si>
  <si>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</si>
  <si>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</si>
  <si>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</si>
  <si>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</si>
  <si>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</si>
  <si>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</si>
  <si>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</si>
  <si>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</si>
  <si>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</si>
  <si>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</si>
  <si>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</si>
  <si>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</si>
  <si>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</si>
  <si>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</si>
  <si>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</si>
  <si>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</si>
  <si>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LORETA AIROSIENE</t>
  </si>
  <si>
    <t>KAROLIS STIRBYS</t>
  </si>
  <si>
    <t>DOMANTAS TEVELIS</t>
  </si>
  <si>
    <t>OVIDIJUS SIDEIKIS</t>
  </si>
  <si>
    <t>GINTAUTAS PLATUKIS</t>
  </si>
  <si>
    <t>00:44</t>
  </si>
  <si>
    <t>02:26</t>
  </si>
  <si>
    <t>02:19</t>
  </si>
  <si>
    <t>08:26</t>
  </si>
  <si>
    <t>08:56</t>
  </si>
  <si>
    <t>Regarding the pre-game, only tick off the checklist item that says you’ve checked both computers once you’ve actually tested EBStats on both of them. Regarding the game, you did an almost perfect job — you correctly noted some plays that were difficult to see, and your criteria was very good. However, you can’t afford to incorrectly note a two-point basket or mark a made free throw as missed. What I take away most positively is that you quickly spotted the mistakes, and the corrections were also made quickly.</t>
  </si>
  <si>
    <t>XAVI MATEU</t>
  </si>
  <si>
    <t>C:\Users\xavi.mateu\OneDrive - EUROLEAGUE\Documents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</si>
</sst>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04_034_KLA_HAM_U2025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45951.791666666664</v>
      </c>
      <c r="C3" s="157"/>
      <c r="D3" s="39">
        <v>691</v>
      </c>
      <c r="E3" s="29"/>
      <c r="F3" s="26">
        <f>SUBTOTAL(3,I17:I106)</f>
        <v>5</v>
      </c>
      <c r="G3" s="27">
        <f>IF(OR(D3="",D3=0),"",F3/D3)</f>
        <v>7.2358900144717797E-3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Neptunas Klaipeda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KLA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7.2358900144717797E-3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Veolia Towers Hamburg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0.72358900144717797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27.723589001447177</v>
      </c>
      <c r="N7" s="58"/>
      <c r="O7" s="2"/>
      <c r="P7" s="2"/>
      <c r="Q7" s="86">
        <f>SUM(R5,S5,AC16)</f>
        <v>27.723589001447177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7.723589001447178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34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761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27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34</v>
      </c>
      <c r="D17" s="32" t="s">
        <v>755</v>
      </c>
      <c r="E17" s="33">
        <v>1</v>
      </c>
      <c r="F17" s="36">
        <v>31</v>
      </c>
      <c r="G17" s="36">
        <v>31</v>
      </c>
      <c r="H17" s="38" t="str">
        <f>IF(I17="","",$I$14)</f>
        <v>SCOUTING</v>
      </c>
      <c r="I17" s="34">
        <v>150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34</v>
      </c>
      <c r="D18" s="32" t="s">
        <v>756</v>
      </c>
      <c r="E18" s="33">
        <v>1</v>
      </c>
      <c r="F18" s="36">
        <v>23</v>
      </c>
      <c r="G18" s="36">
        <v>23</v>
      </c>
      <c r="H18" s="38" t="str">
        <f t="shared" ref="H18:H81" si="8">IF(I18="","",$I$14)</f>
        <v>SCOUTING</v>
      </c>
      <c r="I18" s="34">
        <v>109</v>
      </c>
      <c r="J18" s="13" t="s">
        <v>4</v>
      </c>
      <c r="K18" s="13" t="s">
        <v>62</v>
      </c>
      <c r="L18" s="13" t="s">
        <v>5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34</v>
      </c>
      <c r="D19" s="32" t="s">
        <v>757</v>
      </c>
      <c r="E19" s="33">
        <v>1</v>
      </c>
      <c r="F19" s="36">
        <v>23</v>
      </c>
      <c r="G19" s="36">
        <v>23</v>
      </c>
      <c r="H19" s="38" t="str">
        <f t="shared" si="8"/>
        <v>SCOUTING</v>
      </c>
      <c r="I19" s="34">
        <v>116</v>
      </c>
      <c r="J19" s="13" t="s">
        <v>3</v>
      </c>
      <c r="K19" s="13" t="s">
        <v>63</v>
      </c>
      <c r="L19" s="13" t="s">
        <v>78</v>
      </c>
      <c r="M19" s="13" t="s">
        <v>78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34</v>
      </c>
      <c r="D20" s="32" t="s">
        <v>758</v>
      </c>
      <c r="E20" s="33">
        <v>3</v>
      </c>
      <c r="F20" s="36">
        <v>59</v>
      </c>
      <c r="G20" s="36">
        <v>51</v>
      </c>
      <c r="H20" s="38" t="str">
        <f t="shared" si="8"/>
        <v>SCOUTING</v>
      </c>
      <c r="I20" s="34">
        <v>377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34</v>
      </c>
      <c r="D21" s="32" t="s">
        <v>759</v>
      </c>
      <c r="E21" s="33">
        <v>3</v>
      </c>
      <c r="F21" s="36">
        <v>59</v>
      </c>
      <c r="G21" s="36">
        <v>51</v>
      </c>
      <c r="H21" s="38" t="str">
        <f t="shared" si="8"/>
        <v>SCOUTING</v>
      </c>
      <c r="I21" s="34">
        <v>372</v>
      </c>
      <c r="J21" s="13" t="s">
        <v>3</v>
      </c>
      <c r="K21" s="13" t="s">
        <v>62</v>
      </c>
      <c r="L21" s="13" t="s">
        <v>77</v>
      </c>
      <c r="M21" s="13" t="s">
        <v>39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REPORT_U2025034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"U2025034"</v>
      </c>
      <c r="F3" s="45" t="str">
        <f t="shared" ref="F3:F16" si="0">""""&amp;B3&amp;"""" &amp; " : " &amp;C3&amp;","</f>
        <v>"name" : "U2025034",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"U034"</v>
      </c>
      <c r="F4" s="45" t="str">
        <f t="shared" si="0"/>
        <v>"cod" : "U034",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034</v>
      </c>
      <c r="F6" s="45" t="str">
        <f t="shared" si="0"/>
        <v>"number" : 034,</v>
      </c>
    </row>
    <row r="7" spans="2:6" x14ac:dyDescent="0.25">
      <c r="B7" s="43" t="s">
        <v>116</v>
      </c>
      <c r="C7" s="43" t="str">
        <f ca="1">""""&amp;TEXT('SCOUT &amp; LOGISTICS'!B3,"dd/mm/aaaa")&amp;""""</f>
        <v>"21/10/Tuesday"</v>
      </c>
      <c r="F7" s="45" t="str">
        <f t="shared" ca="1" si="0"/>
        <v>"date" : "21/10/Tuesday",</v>
      </c>
    </row>
    <row r="8" spans="2:6" x14ac:dyDescent="0.25">
      <c r="B8" s="43" t="s">
        <v>125</v>
      </c>
      <c r="C8" s="43" t="str">
        <f>""""&amp;'SCOUT &amp; LOGISTICS'!D4 &amp;""""</f>
        <v>"Neptunas Klaipeda"</v>
      </c>
      <c r="F8" s="45" t="str">
        <f t="shared" si="0"/>
        <v>"home_team" : "Neptunas Klaipeda",</v>
      </c>
    </row>
    <row r="9" spans="2:6" x14ac:dyDescent="0.25">
      <c r="B9" s="43" t="s">
        <v>126</v>
      </c>
      <c r="C9" s="43" t="str">
        <f>""""&amp;'SCOUT &amp; LOGISTICS'!D5&amp;""""</f>
        <v>"Veolia Towers Hamburg"</v>
      </c>
      <c r="F9" s="45" t="str">
        <f t="shared" si="0"/>
        <v>"away_team" : "Veolia Towers Hamburg",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"LORETA AIROSIENE"</v>
      </c>
      <c r="F10" s="45" t="str">
        <f t="shared" si="0"/>
        <v>"Data_entry" : "LORETA AIROSIENE",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"KAROLIS STIRBYS"</v>
      </c>
      <c r="F11" s="45" t="str">
        <f t="shared" si="0"/>
        <v>"Caller_1" : "KAROLIS STIRBYS",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"DOMANTAS TEVELIS"</v>
      </c>
      <c r="F12" s="45" t="str">
        <f t="shared" si="0"/>
        <v>"Caller_2" : "DOMANTAS TEVELIS",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"OVIDIJUS SIDEIKIS"</v>
      </c>
      <c r="F13" s="45" t="str">
        <f t="shared" si="0"/>
        <v>"Timerkeeper" : "OVIDIJUS SIDEIKIS",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"GINTAUTAS PLATUKIS"</v>
      </c>
      <c r="F14" s="45" t="str">
        <f t="shared" si="0"/>
        <v>"Shotclock" : "GINTAUTAS PLATUKIS",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691</v>
      </c>
      <c r="F25" s="45" t="str">
        <f t="shared" ref="F25:F48" si="1">""""&amp;C25&amp;"""" &amp; " : " &amp;D25&amp;","</f>
        <v>"total_actions" : 691,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"Regarding the pre-game, only tick off the checklist item that says you’ve checked both computers once you’ve actually tested EBStats on both of them. Regarding the game, you did an almost perfect job — you correctly noted some plays that were difficult to see, and your criteria was very good. However, you can’t afford to incorrectly note a two-point basket or mark a made free throw as missed. What I take away most positively is that you quickly spotted the mistakes, and the corrections were also made quickly."</v>
      </c>
      <c r="F51" s="45" t="str">
        <f>""""&amp;B51&amp;"""" &amp; " : " &amp;C51&amp;","</f>
        <v>"comments" : "Regarding the pre-game, only tick off the checklist item that says you’ve checked both computers once you’ve actually tested EBStats on both of them. Regarding the game, you did an almost perfect job — you correctly noted some plays that were difficult to see, and your criteria was very good. However, you can’t afford to incorrectly note a two-point basket or mark a made free throw as missed. What I take away most positively is that you quickly spotted the mistakes, and the corrections were also made quickly.",</v>
      </c>
    </row>
    <row r="52" spans="2:6" x14ac:dyDescent="0.25">
      <c r="B52" s="43" t="s">
        <v>153</v>
      </c>
      <c r="C52" s="43" t="str">
        <f>TEXT('SCOUT &amp; LOGISTICS'!F1,"0,0")</f>
        <v>04_034_KLA_HAM_U2025</v>
      </c>
      <c r="F52" s="45" t="str">
        <f>""""&amp;B52&amp;"""" &amp; " : " &amp;C52</f>
        <v>"result" : 04_034_KLA_HAM_U2025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U034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21/10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Neptunas Klaipeda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Veolia Towers Hamburg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LORETA AIROSIENE</v>
      </c>
      <c r="C8" s="206"/>
      <c r="D8" s="206"/>
      <c r="E8" s="206"/>
      <c r="F8" s="206"/>
      <c r="G8" s="206" t="str">
        <f>IF('SCOUT &amp; LOGISTICS'!D7="","",'SCOUT &amp; LOGISTICS'!D7)</f>
        <v>KAROLIS STIRBYS</v>
      </c>
      <c r="H8" s="206"/>
      <c r="I8" s="206"/>
      <c r="J8" s="206"/>
      <c r="K8" s="206"/>
      <c r="L8" s="206" t="str">
        <f>IF('SCOUT &amp; LOGISTICS'!D8="","",'SCOUT &amp; LOGISTICS'!D8)</f>
        <v>DOMANTAS TEVELIS</v>
      </c>
      <c r="M8" s="206"/>
      <c r="N8" s="206"/>
      <c r="O8" s="206"/>
      <c r="P8" s="206"/>
      <c r="Q8" s="206" t="str">
        <f>IF('SCOUT &amp; LOGISTICS'!D9="","",'SCOUT &amp; LOGISTICS'!D9)</f>
        <v>OVIDIJUS SIDEIKIS</v>
      </c>
      <c r="R8" s="206"/>
      <c r="S8" s="206"/>
      <c r="T8" s="206"/>
      <c r="U8" s="206"/>
      <c r="V8" s="206" t="str">
        <f>IF('SCOUT &amp; LOGISTICS'!D10="","",'SCOUT &amp; LOGISTICS'!D10)</f>
        <v>GINTAUTAS PLATUKIS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691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7.2358900144717797E-3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2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1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Regarding the pre-game, only tick off the checklist item that says you’ve checked both computers once you’ve actually tested EBStats on both of them. Regarding the game, you did an almost perfect job — you correctly noted some plays that were difficult to see, and your criteria was very good. However, you can’t afford to incorrectly note a two-point basket or mark a made free throw as missed. What I take away most positively is that you quickly spotted the mistakes, and the corrections were also made quickly.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27.723589001447177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7EACA9D-8387-4D25-9548-EA586EAC659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2025-10-22T14:03:14Z</cp:lastPrinted>
  <dcterms:created xsi:type="dcterms:W3CDTF">2023-09-19T19:50:35Z</dcterms:created>
  <dcterms:modified xsi:type="dcterms:W3CDTF">2025-10-22T14:03:40Z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