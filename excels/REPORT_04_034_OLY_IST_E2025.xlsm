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9" documentId="8_{B7A5A0C0-D7AB-41EC-A99C-21E9ECC68ED9}" xr6:coauthVersionLast="47" xr6:coauthVersionMax="47" xr10:uidLastSave="{1526C3BE-C9E0-475B-BE86-BF4525480391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<sst xmlns="http://schemas.openxmlformats.org/spreadsheetml/2006/main" count="3255" uniqueCount="761">
  <si>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</si>
  <si>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</si>
  <si>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</si>
  <si>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</si>
  <si>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</si>
  <si>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</si>
  <si>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</si>
  <si>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</si>
  <si>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</si>
  <si>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</si>
  <si>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</si>
  <si>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</si>
  <si>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</si>
  <si>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</si>
  <si>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</si>
  <si>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</si>
  <si>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</si>
  <si>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</si>
  <si>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</si>
  <si>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</si>
  <si>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</si>
  <si>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</si>
  <si>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</si>
  <si>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</si>
  <si>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</si>
  <si>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</si>
  <si>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</si>
  <si>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</si>
  <si>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</si>
  <si>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</si>
  <si>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</si>
  <si>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</si>
  <si>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</si>
  <si>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</si>
  <si>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</si>
  <si>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</si>
  <si>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</si>
  <si>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</si>
  <si>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</si>
  <si>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</si>
  <si>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</si>
  <si>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</si>
  <si>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</si>
  <si>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</si>
  <si>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</si>
  <si>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</si>
  <si>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</si>
  <si>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</si>
  <si>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</si>
  <si>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</si>
  <si>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</si>
  <si>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</si>
  <si>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</si>
  <si>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</si>
  <si>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</si>
  <si>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</si>
  <si>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</si>
  <si>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</si>
  <si>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</si>
  <si>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</si>
  <si>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</si>
  <si>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</si>
  <si>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</si>
  <si>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</si>
  <si>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</si>
  <si>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</si>
  <si>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</si>
  <si>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</si>
  <si>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</si>
  <si>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</si>
  <si>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</si>
  <si>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</si>
  <si>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</si>
  <si>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</si>
  <si>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</si>
  <si>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</si>
  <si>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</si>
  <si>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</si>
  <si>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</si>
  <si>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</si>
  <si>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</si>
  <si>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</si>
  <si>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</si>
  <si>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</si>
  <si>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</si>
  <si>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</si>
  <si>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</si>
  <si>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</si>
  <si>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</si>
  <si>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</si>
  <si>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</si>
  <si>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</si>
  <si>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</si>
  <si>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</si>
  <si>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</si>
  <si>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</si>
  <si>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</si>
  <si>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</si>
  <si>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</si>
  <si>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</si>
  <si>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</si>
  <si>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</si>
  <si>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</si>
  <si>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</si>
  <si>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</si>
  <si>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</si>
  <si>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</si>
  <si>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</si>
  <si>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</si>
  <si>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</si>
  <si>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</si>
  <si>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</si>
  <si>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</si>
  <si>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</si>
  <si>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</si>
  <si>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</si>
  <si>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</si>
  <si>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</si>
  <si>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</si>
  <si>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</si>
  <si>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</si>
  <si>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</si>
  <si>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</si>
  <si>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</si>
  <si>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</si>
  <si>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</si>
  <si>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</si>
  <si>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</si>
  <si>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</si>
  <si>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</si>
  <si>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</si>
  <si>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</si>
  <si>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</si>
  <si>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</si>
  <si>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</si>
  <si>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</si>
  <si>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</si>
  <si>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</si>
  <si>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</si>
  <si>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</si>
  <si>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</si>
  <si>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</si>
  <si>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</si>
  <si>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</si>
  <si>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</si>
  <si>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</si>
  <si>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</si>
  <si>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</si>
  <si>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</si>
  <si>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</si>
  <si>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</si>
  <si>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</si>
  <si>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</si>
  <si>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</si>
  <si>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</si>
  <si>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</si>
  <si>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</si>
  <si>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</si>
  <si>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</si>
  <si>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</si>
  <si>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</si>
  <si>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</si>
  <si>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</si>
  <si>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</si>
  <si>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</si>
  <si>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</si>
  <si>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</si>
  <si>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</si>
  <si>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</si>
  <si>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</si>
  <si>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</si>
  <si>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</si>
  <si>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</si>
  <si>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</si>
  <si>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</si>
  <si>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</si>
  <si>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</si>
  <si>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</si>
  <si>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</si>
  <si>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</si>
  <si>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</si>
  <si>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</si>
  <si>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</si>
  <si>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</si>
  <si>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</si>
  <si>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</si>
  <si>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</si>
  <si>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</si>
  <si>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</si>
  <si>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</si>
  <si>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</si>
  <si>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</si>
  <si>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</si>
  <si>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</si>
  <si>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</si>
  <si>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</si>
  <si>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</si>
  <si>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</si>
  <si>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</si>
  <si>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</si>
  <si>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</si>
  <si>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</si>
  <si>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</si>
  <si>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</si>
  <si>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</si>
  <si>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</si>
  <si>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</si>
  <si>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</si>
  <si>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</si>
  <si>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</si>
  <si>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</si>
  <si>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</si>
  <si>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</si>
  <si>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</si>
  <si>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</si>
  <si>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</si>
  <si>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</si>
  <si>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</si>
  <si>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</si>
  <si>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</si>
  <si>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</si>
  <si>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</si>
  <si>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</si>
  <si>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</si>
  <si>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</si>
  <si>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</si>
  <si>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</si>
  <si>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</si>
  <si>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</si>
  <si>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</si>
  <si>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</si>
  <si>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</si>
  <si>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</si>
  <si>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</si>
  <si>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</si>
  <si>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</si>
  <si>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</si>
  <si>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</si>
  <si>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</si>
  <si>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</si>
  <si>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</si>
  <si>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</si>
  <si>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</si>
  <si>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</si>
  <si>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</si>
  <si>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</si>
  <si>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</si>
  <si>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</si>
  <si>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</si>
  <si>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</si>
  <si>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</si>
  <si>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</si>
  <si>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</si>
  <si>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</si>
  <si>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</si>
  <si>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</si>
  <si>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</si>
  <si>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</si>
  <si>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</si>
  <si>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</si>
  <si>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</si>
  <si>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</si>
  <si>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</si>
  <si>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</si>
  <si>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</si>
  <si>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</si>
  <si>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</si>
  <si>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</si>
  <si>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</si>
  <si>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</si>
  <si>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</si>
  <si>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</si>
  <si>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</si>
  <si>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</si>
  <si>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</si>
  <si>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</si>
  <si>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</si>
  <si>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</si>
  <si>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</si>
  <si>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</si>
  <si>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</si>
  <si>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</si>
  <si>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</si>
  <si>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</si>
  <si>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</si>
  <si>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</si>
  <si>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</si>
  <si>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</si>
  <si>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</si>
  <si>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</si>
  <si>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</si>
  <si>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</si>
  <si>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</si>
  <si>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</si>
  <si>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</si>
  <si>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</si>
  <si>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</si>
  <si>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</si>
  <si>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</si>
  <si>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</si>
  <si>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</si>
  <si>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</si>
  <si>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</si>
  <si>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</si>
  <si>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</si>
  <si>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</si>
  <si>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</si>
  <si>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</si>
  <si>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</si>
  <si>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</si>
  <si>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</si>
  <si>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</si>
  <si>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</si>
  <si>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</si>
  <si>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</si>
  <si>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</si>
  <si>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</si>
  <si>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</si>
  <si>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</si>
  <si>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</si>
  <si>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</si>
  <si>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</si>
  <si>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</si>
  <si>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</si>
  <si>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</si>
  <si>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</si>
  <si>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</si>
  <si>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</si>
  <si>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</si>
  <si>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</si>
  <si>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</si>
  <si>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</si>
  <si>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</si>
  <si>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</si>
  <si>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</si>
  <si>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</si>
  <si>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</si>
  <si>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</si>
  <si>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</si>
  <si>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</si>
  <si>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</si>
  <si>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</si>
  <si>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</si>
  <si>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</si>
  <si>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</si>
  <si>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</si>
  <si>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</si>
  <si>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</si>
  <si>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</si>
  <si>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</si>
  <si>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</si>
  <si>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</si>
  <si>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</si>
  <si>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</si>
  <si>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</si>
  <si>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</si>
  <si>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</si>
  <si>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</si>
  <si>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</si>
  <si>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</si>
  <si>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</si>
  <si>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</si>
  <si>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</si>
  <si>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</si>
  <si>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</si>
  <si>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</si>
  <si>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</si>
  <si>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</si>
  <si>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</si>
  <si>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</si>
  <si>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</si>
  <si>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</si>
  <si>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</si>
  <si>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</si>
  <si>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</si>
  <si>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</si>
  <si>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</si>
  <si>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</si>
  <si>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</si>
  <si>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</si>
  <si>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</si>
  <si>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</si>
  <si>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</si>
  <si>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</si>
  <si>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</si>
  <si>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</si>
  <si>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</si>
  <si>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</si>
  <si>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</si>
  <si>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</si>
  <si>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</si>
  <si>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</si>
  <si>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</si>
  <si>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</si>
  <si>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</si>
  <si>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</si>
  <si>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</si>
  <si>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</si>
  <si>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</si>
  <si>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</si>
  <si>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</si>
  <si>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</si>
  <si>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</si>
  <si>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</si>
  <si>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</si>
  <si>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</si>
  <si>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</si>
  <si>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</si>
  <si>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</si>
  <si>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</si>
  <si>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</si>
  <si>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</si>
  <si>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</si>
  <si>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</si>
  <si>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</si>
  <si>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</si>
  <si>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</si>
  <si>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</si>
  <si>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</si>
  <si>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</si>
  <si>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</si>
  <si>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</si>
  <si>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</si>
  <si>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</si>
  <si>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</si>
  <si>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</si>
  <si>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</si>
  <si>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</si>
  <si>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</si>
  <si>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</si>
  <si>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</si>
  <si>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</si>
  <si>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</si>
  <si>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</si>
  <si>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</si>
  <si>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</si>
  <si>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</si>
  <si>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</si>
  <si>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</si>
  <si>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</si>
  <si>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</si>
  <si>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</si>
  <si>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</si>
  <si>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</si>
  <si>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</si>
  <si>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</si>
  <si>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</si>
  <si>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</si>
  <si>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</si>
  <si>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</si>
  <si>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</si>
  <si>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</si>
  <si>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</si>
  <si>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</si>
  <si>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</si>
  <si>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</si>
  <si>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</si>
  <si>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</si>
  <si>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</si>
  <si>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</si>
  <si>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</si>
  <si>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</si>
  <si>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</si>
  <si>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</si>
  <si>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</si>
  <si>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</si>
  <si>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</si>
  <si>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</si>
  <si>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</si>
  <si>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</si>
  <si>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</si>
  <si>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</si>
  <si>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</si>
  <si>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</si>
  <si>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</si>
  <si>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</si>
  <si>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</si>
  <si>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</si>
  <si>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</si>
  <si>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</si>
  <si>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</si>
  <si>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</si>
  <si>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</si>
  <si>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</si>
  <si>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</si>
  <si>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</si>
  <si>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</si>
  <si>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</si>
  <si>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</si>
  <si>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</si>
  <si>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</si>
  <si>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</si>
  <si>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</si>
  <si>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</si>
  <si>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</si>
  <si>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</si>
  <si>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</si>
  <si>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</si>
  <si>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</si>
  <si>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</si>
  <si>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</si>
  <si>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</si>
  <si>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</si>
  <si>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</si>
  <si>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</si>
  <si>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</si>
  <si>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</si>
  <si>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</si>
  <si>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</si>
  <si>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</si>
  <si>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</si>
  <si>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</si>
  <si>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</si>
  <si>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</si>
  <si>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</si>
  <si>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</si>
  <si>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</si>
  <si>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</si>
  <si>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</si>
  <si>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</si>
  <si>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</si>
  <si>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</si>
  <si>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</si>
  <si>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</si>
  <si>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</si>
  <si>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</si>
  <si>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</si>
  <si>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</si>
  <si>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</si>
  <si>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</si>
  <si>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</si>
  <si>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</si>
  <si>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</si>
  <si>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</si>
  <si>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</si>
  <si>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</si>
  <si>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</si>
  <si>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</si>
  <si>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</si>
  <si>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</si>
  <si>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</si>
  <si>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</si>
  <si>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</si>
  <si>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</si>
  <si>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</si>
  <si>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</si>
  <si>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</si>
  <si>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</si>
  <si>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</si>
  <si>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</si>
  <si>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</si>
  <si>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</si>
  <si>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</si>
  <si>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</si>
  <si>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</si>
  <si>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</si>
  <si>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</si>
  <si>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</si>
  <si>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</si>
  <si>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</si>
  <si>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</si>
  <si>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</si>
  <si>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</si>
  <si>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</si>
  <si>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</si>
  <si>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</si>
  <si>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</si>
  <si>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</si>
  <si>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</si>
  <si>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</si>
  <si>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</si>
  <si>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</si>
  <si>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</si>
  <si>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</si>
  <si>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</si>
  <si>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</si>
  <si>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</si>
  <si>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</si>
  <si>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</si>
  <si>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</si>
  <si>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</si>
  <si>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</si>
  <si>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</si>
  <si>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</si>
  <si>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</si>
  <si>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</si>
  <si>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</si>
  <si>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</si>
  <si>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</si>
  <si>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</si>
  <si>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</si>
  <si>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</si>
  <si>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</si>
  <si>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</si>
  <si>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</si>
  <si>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</si>
  <si>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</si>
  <si>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</si>
  <si>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</si>
  <si>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</si>
  <si>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</si>
  <si>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</si>
  <si>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</si>
  <si>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</si>
  <si>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</si>
  <si>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</si>
  <si>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</si>
  <si>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</si>
  <si>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</si>
  <si>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</si>
  <si>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</si>
  <si>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</si>
  <si>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</si>
  <si>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</si>
  <si>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</si>
  <si>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</si>
  <si>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</si>
  <si>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</si>
  <si>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</si>
  <si>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</si>
  <si>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</si>
  <si>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</si>
  <si>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</si>
  <si>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</si>
  <si>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</si>
  <si>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</si>
  <si>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</si>
  <si>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</si>
  <si>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</si>
  <si>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</si>
  <si>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</si>
  <si>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</si>
  <si>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</si>
  <si>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</si>
  <si>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</si>
  <si>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</si>
  <si>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</si>
  <si>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</si>
  <si>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</si>
  <si>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</si>
  <si>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</si>
  <si>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</si>
  <si>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</si>
  <si>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</si>
  <si>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</si>
  <si>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</si>
  <si>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</si>
  <si>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</si>
  <si>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</si>
  <si>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</si>
  <si>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</si>
  <si>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</si>
  <si>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</si>
  <si>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</si>
  <si>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</si>
  <si>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</si>
  <si>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</si>
  <si>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</si>
  <si>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</si>
  <si>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</si>
  <si>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</si>
  <si>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</si>
  <si>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</si>
  <si>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</si>
  <si>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</si>
  <si>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</si>
  <si>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</si>
  <si>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</si>
  <si>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</si>
  <si>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</si>
  <si>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</si>
  <si>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</si>
  <si>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</si>
  <si>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</si>
  <si>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</si>
  <si>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</si>
  <si>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</si>
  <si>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</si>
  <si>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</si>
  <si>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</si>
  <si>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</si>
  <si>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</si>
  <si>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</si>
  <si>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</si>
  <si>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</si>
  <si>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</si>
  <si>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</si>
  <si>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</si>
  <si>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</si>
  <si>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</si>
  <si>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</si>
  <si>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</si>
  <si>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</si>
  <si>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</si>
  <si>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</si>
  <si>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</si>
  <si>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</si>
  <si>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</si>
  <si>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</si>
  <si>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</si>
  <si>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</si>
  <si>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</si>
  <si>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</si>
  <si>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</si>
  <si>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</si>
  <si>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</si>
  <si>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</si>
  <si>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</si>
  <si>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</si>
  <si>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</si>
  <si>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</si>
  <si>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</si>
  <si>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</si>
  <si>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</si>
  <si>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</si>
  <si>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</si>
  <si>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</si>
  <si>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</si>
  <si>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</si>
  <si>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</si>
  <si>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</si>
  <si>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</si>
  <si>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</si>
  <si>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</si>
  <si>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</si>
  <si>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</si>
  <si>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</si>
  <si>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</si>
  <si>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</si>
  <si>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</si>
  <si>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</si>
  <si>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</si>
  <si>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</si>
  <si>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</si>
  <si>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</si>
  <si>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</si>
  <si>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</si>
  <si>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</si>
  <si>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</si>
  <si>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</si>
  <si>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</si>
  <si>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</si>
  <si>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</si>
  <si>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</si>
  <si>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</si>
  <si>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</si>
  <si>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</si>
  <si>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</si>
  <si>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</si>
  <si>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5:07</t>
  </si>
  <si>
    <t>1:23</t>
  </si>
  <si>
    <t>KONSTANTINOS KRANIOTIS</t>
  </si>
  <si>
    <t>ANASTASIOS KARIOFYLIS</t>
  </si>
  <si>
    <t>ATHINA KAROUMPALOU</t>
  </si>
  <si>
    <t>SOLON MINAS</t>
  </si>
  <si>
    <t>ANGELOS KALOGERAKOS</t>
  </si>
  <si>
    <t>ANASTASIS KALESIORIS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</si>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</sst>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04_034_OLY_IST_E2025</v>
      </c>
      <c r="G1" s="5"/>
      <c r="H1" s="5"/>
      <c r="I1" s="5"/>
      <c r="J1" s="8" t="s">
        <v>707</v>
      </c>
      <c r="K1" s="121" t="s">
        <v>758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45944.885416666664</v>
      </c>
      <c r="C3" s="178"/>
      <c r="D3" s="39">
        <v>579</v>
      </c>
      <c r="E3" s="29"/>
      <c r="F3" s="26">
        <f>SUBTOTAL(3,I17:I106)</f>
        <v>2</v>
      </c>
      <c r="G3" s="27">
        <f>IF(OR(D3="",D3=0),"",F3/D3)</f>
        <v>3.4542314335060447E-3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3.4542314335060447E-3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0.34542314335060448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1.3454231433506045</v>
      </c>
      <c r="N7" s="58"/>
      <c r="O7" s="2"/>
      <c r="P7" s="2"/>
      <c r="Q7" s="86">
        <f>SUM(R5,S5,AC16)</f>
        <v>1.3454231433506045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1.3454231433506045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757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34</v>
      </c>
      <c r="D17" s="32" t="s">
        <v>749</v>
      </c>
      <c r="E17" s="33">
        <v>1</v>
      </c>
      <c r="F17" s="36">
        <v>14</v>
      </c>
      <c r="G17" s="36">
        <v>10</v>
      </c>
      <c r="H17" s="38" t="str">
        <f>IF(I17="","",$I$14)</f>
        <v>SCOUTING</v>
      </c>
      <c r="I17" s="34">
        <v>49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34</v>
      </c>
      <c r="D18" s="32" t="s">
        <v>750</v>
      </c>
      <c r="E18" s="33">
        <v>3</v>
      </c>
      <c r="F18" s="36">
        <v>67</v>
      </c>
      <c r="G18" s="36">
        <v>63</v>
      </c>
      <c r="H18" s="38" t="str">
        <f t="shared" ref="H18:H81" si="8">IF(I18="","",$I$14)</f>
        <v>SCOUTING</v>
      </c>
      <c r="I18" s="34">
        <v>421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REPORT_E2025034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"E2025034"</v>
      </c>
      <c r="F3" s="45" t="str">
        <f t="shared" ref="F3:F16" si="0">""""&amp;B3&amp;"""" &amp; " : " &amp;C3&amp;","</f>
        <v>"name" : "E2025034",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"E034"</v>
      </c>
      <c r="F4" s="45" t="str">
        <f t="shared" si="0"/>
        <v>"cod" : "E034",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034</v>
      </c>
      <c r="F6" s="45" t="str">
        <f t="shared" si="0"/>
        <v>"number" : 034,</v>
      </c>
    </row>
    <row r="7" spans="2:6" x14ac:dyDescent="0.25">
      <c r="B7" s="43" t="s">
        <v>116</v>
      </c>
      <c r="C7" s="43" t="str">
        <f ca="1">""""&amp;TEXT('SCOUT &amp; LOGISTICS'!B3,"dd/mm/aaaa")&amp;""""</f>
        <v>"14/10/Tuesday"</v>
      </c>
      <c r="F7" s="45" t="str">
        <f t="shared" ca="1" si="0"/>
        <v>"date" : "14/10/Tuesday",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"SOLON MINAS"</v>
      </c>
      <c r="F13" s="45" t="str">
        <f t="shared" si="0"/>
        <v>"Timerkeeper" : "SOLON MINAS",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"ANGELOS KALOGERAKOS"</v>
      </c>
      <c r="F14" s="45" t="str">
        <f t="shared" si="0"/>
        <v>"Shotclock" : "ANGELOS KALOGERAKOS",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"ANASTASIS KALESIORIS"</v>
      </c>
      <c r="F15" s="45" t="str">
        <f t="shared" si="0"/>
        <v>"IRS" : "ANASTASIS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579</v>
      </c>
      <c r="F25" s="45" t="str">
        <f t="shared" ref="F25:F48" si="1">""""&amp;C25&amp;"""" &amp; " : " &amp;D25&amp;","</f>
        <v>"total_actions" : 579,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04_034_OLY_IST_E2025</v>
      </c>
      <c r="F52" s="45" t="str">
        <f>""""&amp;B52&amp;"""" &amp; " : " &amp;C52</f>
        <v>"result" : 04_034_OLY_IST_E2025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E034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14/10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ANASTASIOS KARIOFYLIS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SOLON MINAS</v>
      </c>
      <c r="R8" s="201"/>
      <c r="S8" s="201"/>
      <c r="T8" s="201"/>
      <c r="U8" s="201"/>
      <c r="V8" s="201" t="str">
        <f>IF('SCOUT &amp; LOGISTICS'!D10="","",'SCOUT &amp; LOGISTICS'!D10)</f>
        <v>ANGELOS KALOGERAKOS</v>
      </c>
      <c r="W8" s="201"/>
      <c r="X8" s="201"/>
      <c r="Y8" s="201"/>
      <c r="Z8" s="201"/>
      <c r="AA8" s="201" t="str">
        <f>IF('SCOUT &amp; LOGISTICS'!D11="","",'SCOUT &amp; LOGISTICS'!D11)</f>
        <v>ANASTASIS KALESIORIS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579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3.4542314335060447E-3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1.3454231433506045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A53C03E-62AB-4B61-8ECA-818209F5F61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2025-10-14T20:12:43Z</cp:lastPrinted>
  <dcterms:created xsi:type="dcterms:W3CDTF">2023-09-19T19:50:35Z</dcterms:created>
  <dcterms:modified xsi:type="dcterms:W3CDTF">2025-10-17T17:17:33Z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