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63" documentId="8_{21848F64-F2E5-489A-945E-944DDCFE90F7}" xr6:coauthVersionLast="47" xr6:coauthVersionMax="47" xr10:uidLastSave="{CA214D38-2AAE-44DA-B000-642AE7475B66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AD16" i="1" l="1"/>
  <c r="H5" i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<sst xmlns="http://schemas.openxmlformats.org/spreadsheetml/2006/main" count="3275" uniqueCount="765">
  <si>
    <t>Jor =</t>
  </si>
  <si>
    <t>E</t>
  </si>
  <si>
    <t>ROUTE FILE(.xlsm):</t>
  </si>
  <si>
    <t>c:\temp</t>
  </si>
  <si>
    <t>ROUTE DOCS (.pdf):</t>
  </si>
  <si>
    <t>C:\Users\xavi.mateu\OneDrive - EUROLEAGUE\Documents</t>
  </si>
  <si>
    <t>&lt;</t>
  </si>
  <si>
    <t>number
of plays:</t>
  </si>
  <si>
    <t>num of
corr:</t>
  </si>
  <si>
    <t>%</t>
  </si>
  <si>
    <t>REPORT</t>
  </si>
  <si>
    <t>LOGISTICS</t>
  </si>
  <si>
    <t>CRITERIA</t>
  </si>
  <si>
    <t>MISSIDENTITY</t>
  </si>
  <si>
    <t>MISSPLACED</t>
  </si>
  <si>
    <t>TIMING</t>
  </si>
  <si>
    <t>NOT HAPPENED</t>
  </si>
  <si>
    <t>MISSING</t>
  </si>
  <si>
    <t>JUMP BALL</t>
  </si>
  <si>
    <t>SUBSTITUTIONS</t>
  </si>
  <si>
    <t>COACH CHALLENGE</t>
  </si>
  <si>
    <t>INSTANT REPLAY</t>
  </si>
  <si>
    <t>TIME OUT</t>
  </si>
  <si>
    <t>FOULS</t>
  </si>
  <si>
    <t>points missed or not happened</t>
  </si>
  <si>
    <t>Antes</t>
  </si>
  <si>
    <t>COMMENTARY for the TEAM</t>
  </si>
  <si>
    <t>valor unitario</t>
  </si>
  <si>
    <t>Home</t>
  </si>
  <si>
    <t>Ahora</t>
  </si>
  <si>
    <t>C:\Users\mario.enjuanes\EUROLEAGUE\EB STATS - General\SEASON 2025-26\Reports\Eurocup</t>
  </si>
  <si>
    <t>Excellent job! We'll manage to make some videos to clarify the criteria for assists.</t>
  </si>
  <si>
    <t>veces</t>
  </si>
  <si>
    <t>Visitor</t>
  </si>
  <si>
    <t>valoración</t>
  </si>
  <si>
    <t>Data entry</t>
  </si>
  <si>
    <t>PETAR VASILJEVIC</t>
  </si>
  <si>
    <t>Caller 1</t>
  </si>
  <si>
    <t>IVANA VASILJEVIC</t>
  </si>
  <si>
    <t>Data entry Name</t>
  </si>
  <si>
    <t>Caller 1 Name</t>
  </si>
  <si>
    <t>Caller 2 Name</t>
  </si>
  <si>
    <t>Timerkeeper Name</t>
  </si>
  <si>
    <t>Shotclock Name</t>
  </si>
  <si>
    <t>Caller 2</t>
  </si>
  <si>
    <t>LUKA ANDRIC</t>
  </si>
  <si>
    <t>PREDAG VASILJEVIC</t>
  </si>
  <si>
    <t>ANA KRSTIC</t>
  </si>
  <si>
    <t>SARA PROJOVIC</t>
  </si>
  <si>
    <t>IRS</t>
  </si>
  <si>
    <t>Timerkeeper</t>
  </si>
  <si>
    <t>BOJANA KRALJEVIC</t>
  </si>
  <si>
    <t>Shotclock</t>
  </si>
  <si>
    <t>TEODORA DIMIC</t>
  </si>
  <si>
    <t>AREA</t>
  </si>
  <si>
    <t>ARRIVAL TIME</t>
  </si>
  <si>
    <t>CHECK LIST ON TIME</t>
  </si>
  <si>
    <t>COMMUNICATION</t>
  </si>
  <si>
    <t>CORRECTIONS</t>
  </si>
  <si>
    <t>RESCOUTED</t>
  </si>
  <si>
    <t>COMMENT</t>
  </si>
  <si>
    <t>OK</t>
  </si>
  <si>
    <t>YES</t>
  </si>
  <si>
    <t>GOOD</t>
  </si>
  <si>
    <t>FAST</t>
  </si>
  <si>
    <t>NO</t>
  </si>
  <si>
    <t xml:space="preserve">L G M: </t>
  </si>
  <si>
    <t>MARIO ENJUANES</t>
  </si>
  <si>
    <t>SCOUTING</t>
  </si>
  <si>
    <t>00:00</t>
  </si>
  <si>
    <t>COMP</t>
  </si>
  <si>
    <t>GAME</t>
  </si>
  <si>
    <t>Crono</t>
  </si>
  <si>
    <t>Quarter</t>
  </si>
  <si>
    <t>Points H</t>
  </si>
  <si>
    <t>Points V</t>
  </si>
  <si>
    <t>Action nmb</t>
  </si>
  <si>
    <t>BOXSC / SCORESH</t>
  </si>
  <si>
    <t>TEAM</t>
  </si>
  <si>
    <t>TYPE</t>
  </si>
  <si>
    <t>CATEGORY</t>
  </si>
  <si>
    <t>TYPES</t>
  </si>
  <si>
    <t>VALUE</t>
  </si>
  <si>
    <t>areas</t>
  </si>
  <si>
    <t>team</t>
  </si>
  <si>
    <t>mistake TYPE</t>
  </si>
  <si>
    <t>quarters:</t>
  </si>
  <si>
    <t>Eval Type</t>
  </si>
  <si>
    <t>ARRIVAL</t>
  </si>
  <si>
    <t>Checklist ontime</t>
  </si>
  <si>
    <t>Corrections</t>
  </si>
  <si>
    <t>Live game manager</t>
  </si>
  <si>
    <t>0 to 10</t>
  </si>
  <si>
    <t>POINTS</t>
  </si>
  <si>
    <t>02:08</t>
  </si>
  <si>
    <t>1</t>
  </si>
  <si>
    <t>BOXSCORE</t>
  </si>
  <si>
    <t>HOME TEAM</t>
  </si>
  <si>
    <t>ASSIST</t>
  </si>
  <si>
    <t>Scoresheet</t>
  </si>
  <si>
    <t>DISQUALIFYING FOUL</t>
  </si>
  <si>
    <t>AWAY TEAM</t>
  </si>
  <si>
    <t>logistics</t>
  </si>
  <si>
    <t>Oscar</t>
  </si>
  <si>
    <t>THREE POINTER</t>
  </si>
  <si>
    <t>06:22</t>
  </si>
  <si>
    <t>2</t>
  </si>
  <si>
    <t>DEF REBOUND</t>
  </si>
  <si>
    <t>Boxscore</t>
  </si>
  <si>
    <t>FIGHTING</t>
  </si>
  <si>
    <t>SCORESHEET</t>
  </si>
  <si>
    <t>BLOCK</t>
  </si>
  <si>
    <t>scouting</t>
  </si>
  <si>
    <t>LATE</t>
  </si>
  <si>
    <t>Marc</t>
  </si>
  <si>
    <t>THROW-IN FOUL</t>
  </si>
  <si>
    <t>08:18</t>
  </si>
  <si>
    <t>3</t>
  </si>
  <si>
    <t>FOUL</t>
  </si>
  <si>
    <t>NO TEAM</t>
  </si>
  <si>
    <t>NOT FLUID</t>
  </si>
  <si>
    <t>SLOW</t>
  </si>
  <si>
    <t>Mario</t>
  </si>
  <si>
    <t>TWO POINTER</t>
  </si>
  <si>
    <t>07:23</t>
  </si>
  <si>
    <t>FOUL DRAWN</t>
  </si>
  <si>
    <t>OFENSIVE FOUL</t>
  </si>
  <si>
    <t>Hector</t>
  </si>
  <si>
    <t>TIP OFF</t>
  </si>
  <si>
    <t>03:11</t>
  </si>
  <si>
    <t>4</t>
  </si>
  <si>
    <t>STEAL</t>
  </si>
  <si>
    <t>TECH FOUL BENCH</t>
  </si>
  <si>
    <t>et</t>
  </si>
  <si>
    <t>Xavi</t>
  </si>
  <si>
    <t>FREE THROW IN</t>
  </si>
  <si>
    <t>TECH FOUL COACH</t>
  </si>
  <si>
    <t>DSS FREE THROWS</t>
  </si>
  <si>
    <t>Pablo</t>
  </si>
  <si>
    <t>TECHNICAL FOUL</t>
  </si>
  <si>
    <t>Oriol</t>
  </si>
  <si>
    <t>UNSPORTSMANLIKE FOUL</t>
  </si>
  <si>
    <t>MISSED FREE THROW</t>
  </si>
  <si>
    <t>MISSED THREE POINTER</t>
  </si>
  <si>
    <t>MISSED TWO POINTER</t>
  </si>
  <si>
    <t>OFF REBOUND</t>
  </si>
  <si>
    <t>SHOT REJECTED</t>
  </si>
  <si>
    <t>TIME</t>
  </si>
  <si>
    <t>TURNOVER</t>
  </si>
  <si>
    <t>TV TIME OUT</t>
  </si>
  <si>
    <t>LocalClubCode</t>
  </si>
  <si>
    <t>IRS Name</t>
  </si>
  <si>
    <t>ASV</t>
  </si>
  <si>
    <t>LDLC ASVEL Villeurbanne</t>
  </si>
  <si>
    <t>BAR</t>
  </si>
  <si>
    <t>FC Barcelona</t>
  </si>
  <si>
    <t>BAS</t>
  </si>
  <si>
    <t>Baskonia Vitoria-Gasteiz</t>
  </si>
  <si>
    <t>DUB</t>
  </si>
  <si>
    <t>Dubai Basketball</t>
  </si>
  <si>
    <t>HTA</t>
  </si>
  <si>
    <t>Hapoel IBI Tel Aviv</t>
  </si>
  <si>
    <t>IST</t>
  </si>
  <si>
    <t>Anadolu Efes Istanbul</t>
  </si>
  <si>
    <t>SINSA SEKULIC</t>
  </si>
  <si>
    <t>PETAR VUJACIC</t>
  </si>
  <si>
    <t>LAZAR VUJICIC</t>
  </si>
  <si>
    <t>LAZAR KNEZEVIC</t>
  </si>
  <si>
    <t>KAROLINA RADINOVIC</t>
  </si>
  <si>
    <t>JOVANA KRIVOKUCA</t>
  </si>
  <si>
    <t>MAD</t>
  </si>
  <si>
    <t>Real Madrid</t>
  </si>
  <si>
    <t>MCO</t>
  </si>
  <si>
    <t>AS Monaco</t>
  </si>
  <si>
    <t>MIL</t>
  </si>
  <si>
    <t>EA7 Emporio Armani Milan</t>
  </si>
  <si>
    <t>MUN</t>
  </si>
  <si>
    <t>FC Bayern Munich</t>
  </si>
  <si>
    <t>SEBASTIAN BLANZ</t>
  </si>
  <si>
    <t>MANUEL HERZOG</t>
  </si>
  <si>
    <t>THOMAS ROEHLICH</t>
  </si>
  <si>
    <t>JURGEN JOST</t>
  </si>
  <si>
    <t>ANDREAS GREPPMAYR</t>
  </si>
  <si>
    <t>ROBERT TAVASZI</t>
  </si>
  <si>
    <t>OLY</t>
  </si>
  <si>
    <t>Olympiacos Piraeus</t>
  </si>
  <si>
    <t>PAM</t>
  </si>
  <si>
    <t>Valencia Basket</t>
  </si>
  <si>
    <t>PAN</t>
  </si>
  <si>
    <t>Panathinaikos AKTOR Athens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</si>
  <si>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</si>
  <si>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</si>
  <si>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</si>
  <si>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</si>
  <si>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</si>
  <si>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</si>
  <si>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PAR</t>
  </si>
  <si>
    <t>Partizan Mozzart Bet Belgrade</t>
  </si>
  <si>
    <t>PRS</t>
  </si>
  <si>
    <t>Paris Basketball</t>
  </si>
  <si>
    <t>RED</t>
  </si>
  <si>
    <t>Crvena Zvezda Meridianbet Belgrade</t>
  </si>
  <si>
    <t>TEL</t>
  </si>
  <si>
    <t>Maccabi Rapyd Tel Aviv</t>
  </si>
  <si>
    <t>ULK</t>
  </si>
  <si>
    <t>Fenerbahce Beko Istanbul</t>
  </si>
  <si>
    <t>CAN KUTLUATA</t>
  </si>
  <si>
    <t>OZBEK ENDER</t>
  </si>
  <si>
    <t>SERTAC DSTEL</t>
  </si>
  <si>
    <t>SERHAT LEVENT</t>
  </si>
  <si>
    <t>AHMET ERKASAP</t>
  </si>
  <si>
    <t>MURAT KUS</t>
  </si>
  <si>
    <t>VIR</t>
  </si>
  <si>
    <t>Virtus Bologna</t>
  </si>
  <si>
    <t>ZAL</t>
  </si>
  <si>
    <t>Zalgiris Kaunas</t>
  </si>
  <si>
    <t>ARI</t>
  </si>
  <si>
    <t>Aris Thessaloniki Betsson</t>
  </si>
  <si>
    <t>BAH</t>
  </si>
  <si>
    <t>Bahcesehir College Istanbul</t>
  </si>
  <si>
    <t>BES</t>
  </si>
  <si>
    <t>Besiktas GAIN Istanbul</t>
  </si>
  <si>
    <t>BOU</t>
  </si>
  <si>
    <t>Cosea JL Bourg-en-Bresse</t>
  </si>
  <si>
    <t>BUD</t>
  </si>
  <si>
    <t>Buducnost VOLI Podgorica</t>
  </si>
  <si>
    <t>CLU</t>
  </si>
  <si>
    <t>U-BT Cluj-Napoca</t>
  </si>
  <si>
    <t>HAM</t>
  </si>
  <si>
    <t>Veolia Towers Hamburg</t>
  </si>
  <si>
    <t>JER</t>
  </si>
  <si>
    <t>Hapoel Bank Yahav Jerusalem</t>
  </si>
  <si>
    <t>KLA</t>
  </si>
  <si>
    <t>Neptunas Klaipeda</t>
  </si>
  <si>
    <t>LJU</t>
  </si>
  <si>
    <t>Cedevita Olimpija Ljubljana</t>
  </si>
  <si>
    <t>LKB</t>
  </si>
  <si>
    <t>Lietkabelis Panevezys</t>
  </si>
  <si>
    <t>LLI</t>
  </si>
  <si>
    <t>London Lions</t>
  </si>
  <si>
    <t>MAN</t>
  </si>
  <si>
    <t>BAXI Manresa</t>
  </si>
  <si>
    <t>NIN</t>
  </si>
  <si>
    <t>NINERS Chemnitz</t>
  </si>
  <si>
    <t>NIO</t>
  </si>
  <si>
    <t>Panionios Athens</t>
  </si>
  <si>
    <t>TRN</t>
  </si>
  <si>
    <t>Dolomiti Energia Trento</t>
  </si>
  <si>
    <t>TTK</t>
  </si>
  <si>
    <t>Turk Telekom Ankara</t>
  </si>
  <si>
    <t>ULM</t>
  </si>
  <si>
    <t>ratiopharm Ulm</t>
  </si>
  <si>
    <t>VNC</t>
  </si>
  <si>
    <t>Umana Reyer Venice</t>
  </si>
  <si>
    <t>WRO</t>
  </si>
  <si>
    <t>Slask Wroclaw</t>
  </si>
  <si>
    <t>LOC</t>
  </si>
  <si>
    <t>Local Team</t>
  </si>
  <si>
    <t>VIS</t>
  </si>
  <si>
    <t>Visitor Team</t>
  </si>
  <si>
    <t>SINISA SEKULIC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</si>
  <si>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</si>
  <si>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</si>
  <si>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</si>
  <si>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</si>
  <si>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</si>
  <si>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</si>
  <si>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</si>
  <si>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</si>
  <si>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</si>
  <si>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</si>
  <si>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</si>
  <si>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</si>
  <si>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</si>
  <si>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</si>
  <si>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</si>
  <si>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</si>
  <si>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</si>
  <si>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</si>
  <si>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</si>
  <si>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</si>
  <si>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</si>
  <si>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</si>
  <si>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</si>
  <si>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</si>
  <si>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</si>
  <si>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</si>
  <si>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</si>
  <si>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</si>
  <si>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</si>
  <si>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</si>
  <si>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</si>
  <si>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</si>
  <si>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</si>
  <si>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</si>
  <si>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</si>
  <si>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</si>
  <si>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</si>
  <si>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</si>
  <si>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</si>
  <si>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</si>
  <si>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</si>
  <si>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</si>
  <si>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</si>
  <si>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</si>
  <si>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</si>
  <si>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</si>
  <si>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</si>
  <si>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</si>
  <si>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</si>
  <si>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</si>
  <si>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</si>
  <si>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</si>
  <si>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</si>
  <si>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</si>
  <si>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</si>
  <si>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</si>
  <si>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</si>
  <si>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</si>
  <si>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</si>
  <si>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</si>
  <si>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</si>
  <si>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</si>
  <si>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</si>
  <si>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</si>
  <si>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</si>
  <si>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</si>
  <si>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</si>
  <si>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</si>
  <si>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</si>
  <si>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</si>
  <si>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</si>
  <si>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</si>
  <si>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</si>
  <si>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</si>
  <si>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</si>
  <si>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</si>
  <si>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</si>
  <si>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</si>
  <si>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</si>
  <si>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</si>
  <si>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</si>
  <si>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</si>
  <si>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</si>
  <si>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</si>
  <si>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</si>
  <si>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</si>
  <si>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</si>
  <si>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</si>
  <si>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</si>
  <si>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</si>
  <si>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</si>
  <si>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</si>
  <si>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</si>
  <si>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</si>
  <si>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</si>
  <si>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</si>
  <si>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</si>
  <si>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</si>
  <si>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</si>
  <si>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</si>
  <si>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</si>
  <si>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</si>
  <si>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</si>
  <si>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</si>
  <si>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</si>
  <si>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</si>
  <si>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</si>
  <si>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</si>
  <si>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</si>
  <si>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</si>
  <si>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</si>
  <si>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</si>
  <si>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</si>
  <si>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</si>
  <si>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</si>
  <si>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</si>
  <si>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</si>
  <si>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</si>
  <si>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</si>
  <si>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</si>
  <si>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</si>
  <si>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</si>
  <si>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</si>
  <si>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</si>
  <si>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</si>
  <si>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</si>
  <si>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</si>
  <si>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</si>
  <si>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</si>
  <si>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</si>
  <si>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</si>
  <si>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</si>
  <si>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</si>
  <si>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</si>
  <si>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</si>
  <si>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</si>
  <si>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</si>
  <si>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</si>
  <si>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</si>
  <si>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</si>
  <si>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</si>
  <si>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</si>
  <si>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</si>
  <si>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</si>
  <si>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</si>
  <si>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</si>
  <si>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</si>
  <si>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</si>
  <si>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</si>
  <si>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</si>
  <si>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</si>
  <si>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</si>
  <si>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</si>
  <si>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</si>
  <si>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</si>
  <si>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</si>
  <si>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</si>
  <si>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</si>
  <si>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</si>
  <si>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</si>
  <si>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</si>
  <si>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</si>
  <si>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</si>
  <si>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</si>
  <si>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</si>
  <si>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</si>
  <si>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</si>
  <si>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</si>
  <si>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</si>
  <si>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</si>
  <si>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</si>
  <si>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</si>
  <si>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</si>
  <si>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</si>
  <si>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</si>
  <si>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</si>
  <si>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</si>
  <si>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</si>
  <si>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</si>
  <si>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</si>
  <si>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</si>
  <si>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</si>
  <si>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</si>
  <si>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</si>
  <si>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</si>
  <si>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</si>
  <si>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</si>
  <si>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</si>
  <si>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</si>
  <si>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</si>
  <si>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</si>
  <si>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</si>
  <si>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</si>
  <si>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</si>
  <si>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</si>
  <si>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</si>
  <si>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</si>
  <si>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</si>
  <si>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</si>
  <si>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</si>
  <si>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</si>
  <si>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</si>
  <si>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</si>
  <si>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</si>
  <si>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</si>
  <si>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</si>
  <si>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</si>
  <si>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</si>
  <si>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</si>
  <si>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</si>
  <si>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</si>
  <si>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</si>
  <si>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</si>
  <si>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</si>
  <si>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</si>
  <si>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</si>
  <si>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</si>
  <si>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</si>
  <si>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</si>
  <si>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</si>
  <si>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</si>
  <si>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</si>
  <si>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</si>
  <si>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</si>
  <si>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</si>
  <si>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</si>
  <si>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</si>
  <si>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</si>
  <si>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</si>
  <si>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</si>
  <si>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</si>
  <si>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</si>
  <si>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</si>
  <si>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</si>
  <si>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</si>
  <si>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</si>
  <si>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</si>
  <si>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</si>
  <si>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</si>
  <si>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</si>
  <si>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</si>
  <si>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</si>
  <si>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</si>
  <si>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</si>
  <si>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</si>
  <si>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</si>
  <si>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</si>
  <si>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</si>
  <si>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</si>
  <si>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</si>
  <si>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</si>
  <si>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</si>
  <si>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</si>
  <si>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</si>
  <si>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</si>
  <si>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</si>
  <si>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</si>
  <si>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</si>
  <si>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</si>
  <si>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</si>
  <si>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</si>
  <si>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</si>
  <si>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</si>
  <si>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</si>
  <si>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</si>
  <si>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</si>
  <si>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</si>
  <si>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</si>
  <si>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</si>
  <si>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</si>
  <si>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</si>
  <si>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</si>
  <si>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</si>
  <si>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</si>
  <si>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</si>
  <si>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</si>
  <si>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</si>
  <si>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</si>
  <si>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</si>
  <si>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</si>
  <si>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</si>
  <si>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</si>
  <si>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</si>
  <si>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</si>
  <si>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</si>
  <si>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</si>
  <si>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</si>
  <si>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</si>
  <si>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</si>
  <si>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</si>
  <si>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</si>
  <si>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</si>
  <si>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</si>
  <si>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</si>
  <si>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</si>
  <si>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</si>
  <si>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</si>
  <si>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</si>
  <si>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</si>
  <si>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</si>
  <si>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</si>
  <si>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</si>
  <si>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</si>
  <si>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</si>
  <si>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</si>
  <si>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</si>
  <si>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</si>
  <si>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</si>
  <si>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</si>
  <si>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</si>
  <si>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</si>
  <si>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</si>
  <si>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</si>
  <si>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</si>
  <si>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</si>
  <si>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</si>
  <si>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</si>
  <si>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</si>
  <si>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</si>
  <si>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</si>
  <si>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</si>
  <si>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</si>
  <si>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</si>
  <si>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</si>
  <si>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</si>
  <si>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</si>
  <si>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</si>
  <si>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</si>
  <si>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</si>
  <si>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</si>
  <si>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</si>
  <si>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</si>
  <si>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</si>
  <si>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</si>
  <si>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</si>
  <si>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</si>
  <si>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</si>
  <si>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</si>
  <si>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</si>
  <si>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</si>
  <si>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</si>
  <si>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</si>
  <si>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</si>
  <si>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</si>
  <si>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</si>
  <si>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</si>
  <si>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</si>
  <si>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</si>
  <si>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</si>
  <si>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</si>
  <si>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</si>
  <si>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</si>
  <si>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</si>
  <si>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</si>
  <si>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</si>
  <si>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</si>
  <si>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</si>
  <si>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</si>
  <si>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</si>
  <si>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</si>
  <si>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</si>
  <si>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</si>
  <si>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</si>
  <si>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</si>
  <si>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</si>
  <si>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</si>
  <si>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</si>
  <si>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</si>
  <si>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</si>
  <si>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</si>
  <si>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</si>
  <si>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</si>
  <si>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</si>
  <si>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</si>
  <si>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</si>
  <si>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</si>
  <si>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</si>
  <si>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</si>
  <si>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</si>
  <si>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</si>
  <si>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</si>
  <si>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</si>
  <si>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</si>
  <si>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</si>
  <si>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</si>
  <si>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</si>
  <si>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</si>
  <si>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</si>
  <si>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</si>
  <si>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</si>
  <si>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</si>
  <si>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</si>
  <si>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</si>
  <si>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</si>
  <si>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</si>
  <si>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</si>
  <si>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</si>
  <si>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</si>
  <si>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</si>
  <si>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</si>
  <si>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</si>
  <si>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</si>
  <si>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</si>
  <si>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</si>
  <si>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</si>
  <si>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</si>
  <si>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</si>
  <si>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</si>
  <si>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</si>
  <si>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</si>
  <si>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</si>
  <si>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</si>
  <si>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</si>
  <si>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</si>
  <si>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</si>
  <si>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</si>
  <si>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</si>
  <si>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</si>
  <si>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</si>
  <si>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</si>
  <si>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</si>
  <si>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</si>
  <si>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</si>
  <si>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</si>
  <si>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</si>
  <si>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</si>
  <si>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</si>
  <si>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</si>
  <si>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</si>
  <si>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</si>
  <si>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</si>
  <si>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</si>
  <si>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</si>
  <si>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</si>
  <si>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</si>
  <si>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</si>
  <si>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</si>
  <si>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</si>
  <si>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</si>
  <si>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</si>
  <si>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</si>
  <si>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</si>
  <si>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</si>
  <si>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</si>
  <si>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{</t>
  </si>
  <si>
    <t>name</t>
  </si>
  <si>
    <t>cod</t>
  </si>
  <si>
    <t>competition</t>
  </si>
  <si>
    <t>number</t>
  </si>
  <si>
    <t>date</t>
  </si>
  <si>
    <t>home_team</t>
  </si>
  <si>
    <t>away_team</t>
  </si>
  <si>
    <t>Data_entry</t>
  </si>
  <si>
    <t>Caller_1</t>
  </si>
  <si>
    <t>Caller_2</t>
  </si>
  <si>
    <t>Live_Game_Manager</t>
  </si>
  <si>
    <t>arrival_time</t>
  </si>
  <si>
    <t>check_list_on_time</t>
  </si>
  <si>
    <t>communication</t>
  </si>
  <si>
    <t>corrections</t>
  </si>
  <si>
    <t>rescouted</t>
  </si>
  <si>
    <t>},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</si>
  <si>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</si>
  <si>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</si>
  <si>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</si>
  <si>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</si>
  <si>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</si>
  <si>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</si>
  <si>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</si>
  <si>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</si>
  <si>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</si>
  <si>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</si>
  <si>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</si>
  <si>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</si>
  <si>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</si>
  <si>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</si>
  <si>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</si>
  <si>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</si>
  <si>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</si>
  <si>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</si>
  <si>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part_of_a_sequence</t>
  </si>
  <si>
    <t>time_out</t>
  </si>
  <si>
    <t>fouls</t>
  </si>
  <si>
    <t>points</t>
  </si>
  <si>
    <t>comments</t>
  </si>
  <si>
    <t>result</t>
  </si>
  <si>
    <t>}</t>
  </si>
  <si>
    <t>By Menjuanes</t>
  </si>
  <si>
    <t>TOTAL ACTIONS</t>
  </si>
  <si>
    <t>TOTAL CORRECIONS</t>
  </si>
  <si>
    <t>% CORRECTIONS</t>
  </si>
  <si>
    <t xml:space="preserve"> </t>
  </si>
  <si>
    <t>Q1</t>
  </si>
  <si>
    <t>Q2</t>
  </si>
  <si>
    <t>Q3</t>
  </si>
  <si>
    <t>Q4</t>
  </si>
  <si>
    <t>ET</t>
  </si>
  <si>
    <t>BOXSCORE CORRECTIONS</t>
  </si>
  <si>
    <t>SCORESHEET CORRECTIONS</t>
  </si>
  <si>
    <t>JUMPBALL</t>
  </si>
  <si>
    <t>SUBSTITUTION</t>
  </si>
  <si>
    <t>IRS / CC</t>
  </si>
  <si>
    <t>COMMENTS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</si>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</sst>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J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0</v>
      </c>
      <c r="C1" s="114" t="str">
        <f>TEXT(IF(C2/10=INT(C2/10),INT(C2/10),INT(C2/10)+1),"00")</f>
        <v>04</v>
      </c>
      <c r="D1" s="124" t="s">
        <v>1</v>
      </c>
      <c r="E1" s="125">
        <v>2025</v>
      </c>
      <c r="F1" s="120" t="str">
        <f>TEXT(C1,"00") &amp; "_" &amp; TEXT(C2,"000")&amp; "_" &amp; H4 &amp; "_" &amp; H5 &amp; "_" &amp; B2</f>
        <v>04_035_TEL_BAR_E2025</v>
      </c>
      <c r="G1" s="5"/>
      <c r="H1" s="5"/>
      <c r="I1" s="5"/>
      <c r="J1" s="8" t="s">
        <v>2</v>
      </c>
      <c r="K1" s="121" t="s">
        <v>3</v>
      </c>
      <c r="L1" s="121"/>
      <c r="M1" s="122" t="s">
        <v>4</v>
      </c>
      <c r="N1" s="121" t="s">
        <v>5</v>
      </c>
      <c r="O1" s="5"/>
      <c r="P1" s="5"/>
      <c r="Q1" s="84" t="s">
        <v>6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35</v>
      </c>
      <c r="D2" s="115" t="s">
        <v>7</v>
      </c>
      <c r="E2" s="116"/>
      <c r="F2" s="55" t="s">
        <v>8</v>
      </c>
      <c r="G2" s="56" t="s">
        <v>9</v>
      </c>
      <c r="H2" s="5"/>
      <c r="I2" s="5"/>
      <c r="J2" s="8" t="s">
        <v>10</v>
      </c>
      <c r="K2" s="121"/>
      <c r="L2" s="2"/>
      <c r="M2" s="57"/>
      <c r="N2" s="121"/>
      <c r="O2" s="2"/>
      <c r="P2" s="2"/>
      <c r="Q2" s="84"/>
      <c r="R2" s="94" t="s">
        <v>9</v>
      </c>
      <c r="S2" s="61" t="s">
        <v>11</v>
      </c>
      <c r="T2" s="64"/>
      <c r="U2" s="61" t="s">
        <v>12</v>
      </c>
      <c r="V2" s="61" t="s">
        <v>13</v>
      </c>
      <c r="W2" s="61" t="s">
        <v>14</v>
      </c>
      <c r="X2" s="61" t="s">
        <v>15</v>
      </c>
      <c r="Y2" s="65" t="s">
        <v>16</v>
      </c>
      <c r="Z2" s="105" t="s">
        <v>17</v>
      </c>
      <c r="AA2" s="65" t="s">
        <v>18</v>
      </c>
      <c r="AB2" s="65" t="s">
        <v>19</v>
      </c>
      <c r="AC2" s="65" t="s">
        <v>20</v>
      </c>
      <c r="AD2" s="65" t="s">
        <v>21</v>
      </c>
      <c r="AE2" s="65" t="s">
        <v>22</v>
      </c>
      <c r="AF2" s="67" t="s">
        <v>23</v>
      </c>
      <c r="AG2" s="67" t="s">
        <v>24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45944.791666666664</v>
      </c>
      <c r="C3" s="178"/>
      <c r="D3" s="39">
        <v>580</v>
      </c>
      <c r="E3" s="29"/>
      <c r="F3" s="26">
        <f>SUBTOTAL(3,I17:I106)</f>
        <v>5</v>
      </c>
      <c r="G3" s="27">
        <f>IF(OR(D3="",D3=0),"",F3/D3)</f>
        <v>8.6206896551724137E-3</v>
      </c>
      <c r="H3" s="5"/>
      <c r="I3" s="5"/>
      <c r="J3" s="119" t="s">
        <v>25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26</v>
      </c>
      <c r="N3" s="180"/>
      <c r="O3" s="2"/>
      <c r="P3" s="2"/>
      <c r="Q3" s="84" t="s">
        <v>27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28</v>
      </c>
      <c r="C4" s="168"/>
      <c r="D4" s="181" t="str">
        <f>IF(ISERROR(VLOOKUP(H4,Teams!$B$2:$C$44,2,FALSE)),"Local Team",VLOOKUP(H4,Teams!$B$2:$C$44,2,FALSE))</f>
        <v>Maccabi Rapyd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29</v>
      </c>
      <c r="K4" s="54" t="s">
        <v>30</v>
      </c>
      <c r="L4" s="5"/>
      <c r="M4" s="185" t="s">
        <v>31</v>
      </c>
      <c r="N4" s="186"/>
      <c r="O4" s="2"/>
      <c r="P4" s="2"/>
      <c r="Q4" s="84" t="s">
        <v>32</v>
      </c>
      <c r="R4" s="94">
        <f>(IF(G3="",0,G3))</f>
        <v>8.6206896551724137E-3</v>
      </c>
      <c r="S4" s="61">
        <f>SUM(I13:M13)</f>
        <v>0</v>
      </c>
      <c r="T4" s="78"/>
      <c r="U4" s="61">
        <f>AC18</f>
        <v>3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33</v>
      </c>
      <c r="C5" s="184"/>
      <c r="D5" s="191" t="str">
        <f>IF(ISERROR(VLOOKUP(H5,Teams!$B$2:$C$44,2,FALSE)),"Visitor Team",VLOOKUP(H5,Teams!$B$2:$C$44,2,FALSE))</f>
        <v>FC Barcelona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87"/>
      <c r="N5" s="188"/>
      <c r="O5" s="2"/>
      <c r="P5" s="2"/>
      <c r="Q5" s="89" t="s">
        <v>34</v>
      </c>
      <c r="R5" s="94">
        <f>R4*R3</f>
        <v>0.86206896551724133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35</v>
      </c>
      <c r="C6" s="168"/>
      <c r="D6" s="158" t="s">
        <v>36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37</v>
      </c>
      <c r="C7" s="170"/>
      <c r="D7" s="158" t="s">
        <v>38</v>
      </c>
      <c r="E7" s="159"/>
      <c r="F7" s="159"/>
      <c r="G7" s="160"/>
      <c r="H7" s="129" t="s">
        <v>39</v>
      </c>
      <c r="I7" s="129" t="s">
        <v>40</v>
      </c>
      <c r="J7" s="129" t="s">
        <v>41</v>
      </c>
      <c r="K7" s="129" t="s">
        <v>42</v>
      </c>
      <c r="L7" s="129" t="s">
        <v>43</v>
      </c>
      <c r="M7" s="58">
        <f>Q7</f>
        <v>4.3620689655172411</v>
      </c>
      <c r="N7" s="58"/>
      <c r="O7" s="2"/>
      <c r="P7" s="2"/>
      <c r="Q7" s="86">
        <f>SUM(R5,S5,AC16)</f>
        <v>4.3620689655172411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44</v>
      </c>
      <c r="C8" s="172"/>
      <c r="D8" s="161" t="s">
        <v>45</v>
      </c>
      <c r="E8" s="162"/>
      <c r="F8" s="162"/>
      <c r="G8" s="163"/>
      <c r="H8" s="129" t="s">
        <v>36</v>
      </c>
      <c r="I8" s="129" t="s">
        <v>36</v>
      </c>
      <c r="J8" s="129" t="s">
        <v>46</v>
      </c>
      <c r="K8" s="129" t="s">
        <v>47</v>
      </c>
      <c r="L8" s="129" t="s">
        <v>48</v>
      </c>
      <c r="M8" s="129" t="s">
        <v>49</v>
      </c>
      <c r="N8" s="2"/>
      <c r="O8" s="2"/>
      <c r="P8" s="2"/>
      <c r="Q8" s="85">
        <f>SUM(R5:BA5)</f>
        <v>4.3620689655172411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50</v>
      </c>
      <c r="C9" s="173"/>
      <c r="D9" s="158" t="s">
        <v>51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52</v>
      </c>
      <c r="C10" s="172"/>
      <c r="D10" s="161" t="s">
        <v>53</v>
      </c>
      <c r="E10" s="162"/>
      <c r="F10" s="162"/>
      <c r="G10" s="163"/>
      <c r="H10" s="8"/>
      <c r="I10" s="10" t="s">
        <v>11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49</v>
      </c>
      <c r="C11" s="157"/>
      <c r="D11" s="174" t="s">
        <v>47</v>
      </c>
      <c r="E11" s="175"/>
      <c r="F11" s="175"/>
      <c r="G11" s="176"/>
      <c r="H11" s="28" t="s">
        <v>54</v>
      </c>
      <c r="I11" s="18" t="s">
        <v>55</v>
      </c>
      <c r="J11" s="19" t="s">
        <v>56</v>
      </c>
      <c r="K11" s="19" t="s">
        <v>57</v>
      </c>
      <c r="L11" s="19" t="s">
        <v>58</v>
      </c>
      <c r="M11" s="7" t="s">
        <v>59</v>
      </c>
      <c r="N11" s="7" t="s">
        <v>60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35</v>
      </c>
      <c r="H12" s="40" t="str">
        <f>$I$10</f>
        <v>LOGISTICS</v>
      </c>
      <c r="I12" s="14" t="s">
        <v>61</v>
      </c>
      <c r="J12" s="15" t="s">
        <v>62</v>
      </c>
      <c r="K12" s="15" t="s">
        <v>63</v>
      </c>
      <c r="L12" s="15" t="s">
        <v>64</v>
      </c>
      <c r="M12" s="16" t="s">
        <v>65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66</v>
      </c>
      <c r="C14" s="157"/>
      <c r="D14" s="164" t="s">
        <v>67</v>
      </c>
      <c r="E14" s="165"/>
      <c r="F14" s="165"/>
      <c r="G14" s="166"/>
      <c r="H14" s="5"/>
      <c r="I14" s="10" t="s">
        <v>68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69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70</v>
      </c>
      <c r="C16" s="22" t="s">
        <v>71</v>
      </c>
      <c r="D16" s="6" t="s">
        <v>72</v>
      </c>
      <c r="E16" s="6" t="s">
        <v>73</v>
      </c>
      <c r="F16" s="6" t="s">
        <v>74</v>
      </c>
      <c r="G16" s="6" t="s">
        <v>75</v>
      </c>
      <c r="H16" s="6" t="s">
        <v>54</v>
      </c>
      <c r="I16" s="23" t="s">
        <v>76</v>
      </c>
      <c r="J16" s="9" t="s">
        <v>77</v>
      </c>
      <c r="K16" s="9" t="s">
        <v>78</v>
      </c>
      <c r="L16" s="9" t="s">
        <v>79</v>
      </c>
      <c r="M16" s="9" t="s">
        <v>80</v>
      </c>
      <c r="N16" s="6" t="s">
        <v>60</v>
      </c>
      <c r="O16" s="60" t="s">
        <v>81</v>
      </c>
      <c r="P16" s="60" t="s">
        <v>82</v>
      </c>
      <c r="Q16" s="90" t="s">
        <v>24</v>
      </c>
      <c r="R16" s="93">
        <f>SUM(Q17:Q106)</f>
        <v>0</v>
      </c>
      <c r="S16" s="67"/>
      <c r="T16" s="70">
        <f>AF26+AF29</f>
        <v>0</v>
      </c>
      <c r="U16" s="76" t="s">
        <v>23</v>
      </c>
      <c r="V16" s="75">
        <f>SUM(V17:V24)</f>
        <v>0</v>
      </c>
      <c r="X16" s="67" t="s">
        <v>83</v>
      </c>
      <c r="Y16" s="75">
        <f>SUM(Y17:Y24)</f>
        <v>5</v>
      </c>
      <c r="Z16" s="90" t="s">
        <v>84</v>
      </c>
      <c r="AA16" s="75">
        <f>SUM(AA17:AA24)</f>
        <v>5</v>
      </c>
      <c r="AB16" s="76" t="s">
        <v>85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75">
        <f>SUM(AD17:AD24)</f>
        <v>45</v>
      </c>
      <c r="AE16" s="76" t="s">
        <v>80</v>
      </c>
      <c r="AF16" s="75">
        <f>SUM(AF17:AF24)</f>
        <v>3</v>
      </c>
      <c r="AG16" s="75">
        <f>SUM(AG17:AG21)</f>
        <v>5</v>
      </c>
      <c r="AH16" s="67"/>
      <c r="AI16" s="67"/>
      <c r="AK16" s="77" t="s">
        <v>86</v>
      </c>
      <c r="AM16" s="67" t="s">
        <v>87</v>
      </c>
      <c r="AN16" s="67" t="s">
        <v>73</v>
      </c>
      <c r="AO16" s="67"/>
      <c r="AP16" s="67" t="s">
        <v>88</v>
      </c>
      <c r="AQ16" s="67"/>
      <c r="AR16" s="67" t="s">
        <v>89</v>
      </c>
      <c r="AS16" s="67"/>
      <c r="AT16" s="67" t="s">
        <v>57</v>
      </c>
      <c r="AU16" s="67"/>
      <c r="AV16" s="67" t="s">
        <v>90</v>
      </c>
      <c r="AW16" s="67"/>
      <c r="AX16" s="67"/>
      <c r="AY16" s="67"/>
      <c r="AZ16" s="67"/>
      <c r="BA16" s="77" t="s">
        <v>91</v>
      </c>
      <c r="BB16" s="67"/>
      <c r="BC16" s="67" t="s">
        <v>92</v>
      </c>
      <c r="BE16" s="78" t="s">
        <v>93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>IF(I17="","",$C$2)</f>
        <v>35</v>
      </c>
      <c r="D17" s="32" t="s">
        <v>94</v>
      </c>
      <c r="E17" s="33" t="s">
        <v>95</v>
      </c>
      <c r="F17" s="36">
        <v>12</v>
      </c>
      <c r="G17" s="36">
        <v>25</v>
      </c>
      <c r="H17" s="38" t="str">
        <f>IF(I17="","",$I$14)</f>
        <v>SCOUTING</v>
      </c>
      <c r="I17" s="34">
        <v>107</v>
      </c>
      <c r="J17" s="13" t="s">
        <v>96</v>
      </c>
      <c r="K17" s="13" t="s">
        <v>97</v>
      </c>
      <c r="L17" s="13" t="s">
        <v>12</v>
      </c>
      <c r="M17" s="13" t="s">
        <v>98</v>
      </c>
      <c r="N17" s="35"/>
      <c r="O17" s="5" t="s">
        <v>20</v>
      </c>
      <c r="P17" s="5">
        <v>10</v>
      </c>
      <c r="Q17" s="84">
        <f t="shared" ref="Q17:Q48" si="3">IF(AND(OR(L17="MISSING",L17="PART OF A SEQUENCE",L17="NOT HAPPENED"),OR(M17=$AE$37,M17=$AE$38,M17=$AE$43,M17=$AE$40,M17=$AE$25)),1,0)</f>
        <v>0</v>
      </c>
      <c r="R17" s="5" t="s">
        <v>99</v>
      </c>
      <c r="U17" s="66" t="s">
        <v>100</v>
      </c>
      <c r="V17" s="65">
        <f>COUNTIF($M$17:$M$106,U17)</f>
        <v>0</v>
      </c>
      <c r="X17" s="79" t="s">
        <v>96</v>
      </c>
      <c r="Y17" s="62">
        <f>COUNTIF($J$17:$J$106,X17)</f>
        <v>5</v>
      </c>
      <c r="Z17" s="105" t="s">
        <v>101</v>
      </c>
      <c r="AA17" s="62">
        <f>COUNTIF($K$17:$K$106,Z17)</f>
        <v>2</v>
      </c>
      <c r="AB17" s="66" t="s">
        <v>20</v>
      </c>
      <c r="AC17" s="61">
        <f t="shared" ref="AC17:AC29" si="4">COUNTIF($L$17:$L$106,AB17)</f>
        <v>0</v>
      </c>
      <c r="AD17" s="61">
        <f t="shared" ref="AD17:AD25" si="5">P17</f>
        <v>10</v>
      </c>
      <c r="AE17" s="66" t="s">
        <v>98</v>
      </c>
      <c r="AF17" s="65">
        <f t="shared" ref="AF17:AF48" si="6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102</v>
      </c>
      <c r="AN17" s="65">
        <v>1</v>
      </c>
      <c r="AO17" s="65"/>
      <c r="AP17" s="65" t="s">
        <v>61</v>
      </c>
      <c r="AQ17" s="65">
        <v>0</v>
      </c>
      <c r="AR17" s="65" t="s">
        <v>62</v>
      </c>
      <c r="AS17" s="65">
        <v>0</v>
      </c>
      <c r="AT17" s="65" t="s">
        <v>63</v>
      </c>
      <c r="AU17" s="65">
        <v>0</v>
      </c>
      <c r="AV17" s="65" t="s">
        <v>64</v>
      </c>
      <c r="AW17" s="65">
        <v>0</v>
      </c>
      <c r="AX17" s="65"/>
      <c r="AY17" s="65"/>
      <c r="AZ17" s="65"/>
      <c r="BA17" s="81" t="s">
        <v>103</v>
      </c>
      <c r="BB17" s="65"/>
      <c r="BC17" s="79">
        <v>0</v>
      </c>
      <c r="BE17" s="65" t="s">
        <v>104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>IF(I18="","",$C$2)</f>
        <v>35</v>
      </c>
      <c r="D18" s="32" t="s">
        <v>105</v>
      </c>
      <c r="E18" s="33" t="s">
        <v>106</v>
      </c>
      <c r="F18" s="36">
        <v>24</v>
      </c>
      <c r="G18" s="36">
        <v>35</v>
      </c>
      <c r="H18" s="38" t="str">
        <f>IF(I18="","",$I$14)</f>
        <v>SCOUTING</v>
      </c>
      <c r="I18" s="34">
        <v>191</v>
      </c>
      <c r="J18" s="13" t="s">
        <v>96</v>
      </c>
      <c r="K18" s="13" t="s">
        <v>97</v>
      </c>
      <c r="L18" s="13" t="s">
        <v>13</v>
      </c>
      <c r="M18" s="13" t="s">
        <v>107</v>
      </c>
      <c r="N18" s="35"/>
      <c r="O18" s="5" t="s">
        <v>12</v>
      </c>
      <c r="P18" s="5">
        <v>0.5</v>
      </c>
      <c r="Q18" s="84">
        <f t="shared" si="3"/>
        <v>0</v>
      </c>
      <c r="R18" s="5" t="s">
        <v>108</v>
      </c>
      <c r="U18" s="66" t="s">
        <v>109</v>
      </c>
      <c r="V18" s="65">
        <f t="shared" ref="V18:V24" si="7">COUNTIF($M$17:$M$106,$U18)</f>
        <v>0</v>
      </c>
      <c r="W18" s="70"/>
      <c r="X18" s="79" t="s">
        <v>110</v>
      </c>
      <c r="Y18" s="62">
        <f>COUNTIF($J$17:$J$106,X18)</f>
        <v>0</v>
      </c>
      <c r="Z18" s="105" t="s">
        <v>97</v>
      </c>
      <c r="AA18" s="62">
        <f>COUNTIF($K$17:$K$106,Z18)</f>
        <v>3</v>
      </c>
      <c r="AB18" s="66" t="s">
        <v>12</v>
      </c>
      <c r="AC18" s="61">
        <f t="shared" si="4"/>
        <v>3</v>
      </c>
      <c r="AD18" s="61">
        <f t="shared" si="5"/>
        <v>0.5</v>
      </c>
      <c r="AE18" s="66" t="s">
        <v>111</v>
      </c>
      <c r="AF18" s="65">
        <f t="shared" si="6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112</v>
      </c>
      <c r="AN18" s="65">
        <v>2</v>
      </c>
      <c r="AO18" s="65"/>
      <c r="AP18" s="65" t="s">
        <v>113</v>
      </c>
      <c r="AQ18" s="65">
        <v>2</v>
      </c>
      <c r="AR18" s="65" t="s">
        <v>65</v>
      </c>
      <c r="AS18" s="65">
        <v>5</v>
      </c>
      <c r="AT18" s="65" t="s">
        <v>61</v>
      </c>
      <c r="AU18" s="65">
        <v>1</v>
      </c>
      <c r="AV18" s="65" t="s">
        <v>61</v>
      </c>
      <c r="AW18" s="65">
        <v>1</v>
      </c>
      <c r="AX18" s="65"/>
      <c r="AY18" s="65"/>
      <c r="AZ18" s="65"/>
      <c r="BA18" s="81" t="s">
        <v>114</v>
      </c>
      <c r="BB18" s="65"/>
      <c r="BC18" s="79">
        <v>1</v>
      </c>
      <c r="BE18" s="65" t="s">
        <v>115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ref="C19:C48" si="8">IF(I19="","",$C$2)</f>
        <v>35</v>
      </c>
      <c r="D19" s="32" t="s">
        <v>116</v>
      </c>
      <c r="E19" s="33" t="s">
        <v>117</v>
      </c>
      <c r="F19" s="36">
        <v>34</v>
      </c>
      <c r="G19" s="36">
        <v>64</v>
      </c>
      <c r="H19" s="38" t="str">
        <f t="shared" ref="H19:H81" si="9">IF(I19="","",$I$14)</f>
        <v>SCOUTING</v>
      </c>
      <c r="I19" s="34">
        <v>321</v>
      </c>
      <c r="J19" s="13" t="s">
        <v>96</v>
      </c>
      <c r="K19" s="13" t="s">
        <v>101</v>
      </c>
      <c r="L19" s="13" t="s">
        <v>12</v>
      </c>
      <c r="M19" s="13" t="s">
        <v>98</v>
      </c>
      <c r="N19" s="35"/>
      <c r="O19" s="5" t="s">
        <v>23</v>
      </c>
      <c r="P19" s="5">
        <v>15</v>
      </c>
      <c r="Q19" s="84">
        <f t="shared" si="3"/>
        <v>0</v>
      </c>
      <c r="R19" s="5" t="s">
        <v>99</v>
      </c>
      <c r="U19" s="66" t="s">
        <v>118</v>
      </c>
      <c r="V19" s="65">
        <f t="shared" si="7"/>
        <v>0</v>
      </c>
      <c r="W19" s="75"/>
      <c r="X19" s="82"/>
      <c r="Y19" s="83"/>
      <c r="Z19" s="105" t="s">
        <v>119</v>
      </c>
      <c r="AA19" s="62">
        <f>COUNTIF($K$17:$K$106,Z19)</f>
        <v>0</v>
      </c>
      <c r="AB19" s="66" t="s">
        <v>23</v>
      </c>
      <c r="AC19" s="61">
        <f t="shared" si="4"/>
        <v>0</v>
      </c>
      <c r="AD19" s="61">
        <f t="shared" si="5"/>
        <v>15</v>
      </c>
      <c r="AE19" s="66" t="s">
        <v>20</v>
      </c>
      <c r="AF19" s="65">
        <f t="shared" si="6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120</v>
      </c>
      <c r="AU19" s="74">
        <v>2</v>
      </c>
      <c r="AV19" s="65" t="s">
        <v>121</v>
      </c>
      <c r="AW19" s="74">
        <v>2</v>
      </c>
      <c r="AX19" s="74"/>
      <c r="AY19" s="74"/>
      <c r="AZ19" s="74"/>
      <c r="BA19" s="81" t="s">
        <v>122</v>
      </c>
      <c r="BB19" s="74"/>
      <c r="BC19" s="79">
        <v>2</v>
      </c>
      <c r="BE19" s="65" t="s">
        <v>123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8"/>
        <v>35</v>
      </c>
      <c r="D20" s="32" t="s">
        <v>124</v>
      </c>
      <c r="E20" s="33" t="s">
        <v>117</v>
      </c>
      <c r="F20" s="36">
        <v>34</v>
      </c>
      <c r="G20" s="36">
        <v>66</v>
      </c>
      <c r="H20" s="38" t="str">
        <f t="shared" si="9"/>
        <v>SCOUTING</v>
      </c>
      <c r="I20" s="34">
        <v>332</v>
      </c>
      <c r="J20" s="13" t="s">
        <v>96</v>
      </c>
      <c r="K20" s="13" t="s">
        <v>101</v>
      </c>
      <c r="L20" s="13" t="s">
        <v>13</v>
      </c>
      <c r="M20" s="13" t="s">
        <v>125</v>
      </c>
      <c r="N20" s="35"/>
      <c r="O20" s="5" t="s">
        <v>21</v>
      </c>
      <c r="P20" s="5">
        <v>10</v>
      </c>
      <c r="Q20" s="84">
        <f t="shared" si="3"/>
        <v>0</v>
      </c>
      <c r="R20" s="5" t="s">
        <v>108</v>
      </c>
      <c r="U20" s="66" t="s">
        <v>126</v>
      </c>
      <c r="V20" s="65">
        <f t="shared" si="7"/>
        <v>0</v>
      </c>
      <c r="X20" s="82"/>
      <c r="Y20" s="83"/>
      <c r="Z20" s="88"/>
      <c r="AA20" s="65"/>
      <c r="AB20" s="66" t="s">
        <v>21</v>
      </c>
      <c r="AC20" s="61">
        <f t="shared" si="4"/>
        <v>0</v>
      </c>
      <c r="AD20" s="61">
        <f t="shared" si="5"/>
        <v>10</v>
      </c>
      <c r="AE20" s="66" t="s">
        <v>107</v>
      </c>
      <c r="AF20" s="65">
        <f t="shared" si="6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127</v>
      </c>
      <c r="BB20" s="74"/>
      <c r="BC20" s="79">
        <v>3</v>
      </c>
      <c r="BE20" s="65" t="s">
        <v>128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8"/>
        <v>35</v>
      </c>
      <c r="D21" s="32" t="s">
        <v>129</v>
      </c>
      <c r="E21" s="33" t="s">
        <v>130</v>
      </c>
      <c r="F21" s="36">
        <v>65</v>
      </c>
      <c r="G21" s="36">
        <v>87</v>
      </c>
      <c r="H21" s="38" t="str">
        <f t="shared" si="9"/>
        <v>SCOUTING</v>
      </c>
      <c r="I21" s="34">
        <v>540</v>
      </c>
      <c r="J21" s="13" t="s">
        <v>96</v>
      </c>
      <c r="K21" s="13" t="s">
        <v>97</v>
      </c>
      <c r="L21" s="13" t="s">
        <v>12</v>
      </c>
      <c r="M21" s="13" t="s">
        <v>131</v>
      </c>
      <c r="N21" s="35"/>
      <c r="O21" s="5" t="s">
        <v>18</v>
      </c>
      <c r="P21" s="5">
        <v>5</v>
      </c>
      <c r="Q21" s="84">
        <f t="shared" si="3"/>
        <v>0</v>
      </c>
      <c r="R21" s="5" t="s">
        <v>99</v>
      </c>
      <c r="U21" s="66" t="s">
        <v>132</v>
      </c>
      <c r="V21" s="65">
        <f t="shared" si="7"/>
        <v>0</v>
      </c>
      <c r="X21" s="82"/>
      <c r="Y21" s="83"/>
      <c r="Z21" s="105"/>
      <c r="AA21" s="65"/>
      <c r="AB21" s="66" t="s">
        <v>18</v>
      </c>
      <c r="AC21" s="61">
        <f t="shared" si="4"/>
        <v>0</v>
      </c>
      <c r="AD21" s="61">
        <f t="shared" si="5"/>
        <v>5</v>
      </c>
      <c r="AE21" s="66" t="s">
        <v>100</v>
      </c>
      <c r="AF21" s="65">
        <f t="shared" si="6"/>
        <v>0</v>
      </c>
      <c r="AG21" s="62">
        <f>COUNTIF($E$17:$E$106,$AK21)</f>
        <v>0</v>
      </c>
      <c r="AH21" s="65"/>
      <c r="AI21" s="65"/>
      <c r="AK21" s="80" t="s">
        <v>133</v>
      </c>
      <c r="AM21" s="65"/>
      <c r="AN21" s="65" t="s">
        <v>133</v>
      </c>
      <c r="AO21" s="65"/>
      <c r="AT21" s="65"/>
      <c r="AU21" s="74"/>
      <c r="AV21" s="65"/>
      <c r="AW21" s="74"/>
      <c r="AX21" s="74"/>
      <c r="AY21" s="74"/>
      <c r="AZ21" s="74"/>
      <c r="BA21" s="81" t="s">
        <v>134</v>
      </c>
      <c r="BB21" s="74"/>
      <c r="BC21" s="79">
        <v>4</v>
      </c>
      <c r="BE21" s="65" t="s">
        <v>135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8"/>
        <v/>
      </c>
      <c r="D22" s="32"/>
      <c r="E22" s="33"/>
      <c r="F22" s="36"/>
      <c r="G22" s="36"/>
      <c r="H22" s="38" t="str">
        <f t="shared" si="9"/>
        <v/>
      </c>
      <c r="I22" s="34"/>
      <c r="J22" s="13"/>
      <c r="K22" s="13"/>
      <c r="L22" s="13"/>
      <c r="M22" s="13"/>
      <c r="N22" s="35"/>
      <c r="O22" s="5" t="s">
        <v>13</v>
      </c>
      <c r="P22" s="5">
        <v>1</v>
      </c>
      <c r="Q22" s="84">
        <f t="shared" si="3"/>
        <v>0</v>
      </c>
      <c r="R22" s="5"/>
      <c r="U22" s="66" t="s">
        <v>136</v>
      </c>
      <c r="V22" s="65">
        <f t="shared" si="7"/>
        <v>0</v>
      </c>
      <c r="X22" s="82"/>
      <c r="Y22" s="83"/>
      <c r="Z22" s="105"/>
      <c r="AA22" s="65"/>
      <c r="AB22" s="66" t="s">
        <v>13</v>
      </c>
      <c r="AC22" s="61">
        <f t="shared" si="4"/>
        <v>2</v>
      </c>
      <c r="AD22" s="61">
        <f t="shared" si="5"/>
        <v>1</v>
      </c>
      <c r="AE22" s="66" t="s">
        <v>137</v>
      </c>
      <c r="AF22" s="65">
        <f t="shared" si="6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138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8"/>
        <v/>
      </c>
      <c r="D23" s="32"/>
      <c r="E23" s="33"/>
      <c r="F23" s="36"/>
      <c r="G23" s="36"/>
      <c r="H23" s="38" t="str">
        <f t="shared" si="9"/>
        <v/>
      </c>
      <c r="I23" s="34"/>
      <c r="J23" s="13"/>
      <c r="K23" s="13"/>
      <c r="L23" s="13"/>
      <c r="M23" s="13"/>
      <c r="N23" s="35"/>
      <c r="O23" s="5" t="s">
        <v>17</v>
      </c>
      <c r="P23" s="5">
        <v>2.5</v>
      </c>
      <c r="Q23" s="84">
        <f t="shared" si="3"/>
        <v>0</v>
      </c>
      <c r="R23" s="5"/>
      <c r="U23" s="66" t="s">
        <v>139</v>
      </c>
      <c r="V23" s="65">
        <f t="shared" si="7"/>
        <v>0</v>
      </c>
      <c r="X23" s="82"/>
      <c r="Y23" s="83"/>
      <c r="Z23" s="105"/>
      <c r="AA23" s="65"/>
      <c r="AB23" s="66" t="s">
        <v>17</v>
      </c>
      <c r="AC23" s="61">
        <f t="shared" si="4"/>
        <v>0</v>
      </c>
      <c r="AD23" s="61">
        <f t="shared" si="5"/>
        <v>2.5</v>
      </c>
      <c r="AE23" s="66" t="s">
        <v>109</v>
      </c>
      <c r="AF23" s="65">
        <f t="shared" si="6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140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8"/>
        <v/>
      </c>
      <c r="D24" s="32"/>
      <c r="E24" s="33"/>
      <c r="F24" s="36"/>
      <c r="G24" s="36"/>
      <c r="H24" s="38" t="str">
        <f t="shared" si="9"/>
        <v/>
      </c>
      <c r="I24" s="34"/>
      <c r="J24" s="13"/>
      <c r="K24" s="13"/>
      <c r="L24" s="13"/>
      <c r="M24" s="13"/>
      <c r="N24" s="35"/>
      <c r="O24" s="5" t="s">
        <v>14</v>
      </c>
      <c r="P24" s="5">
        <v>1</v>
      </c>
      <c r="Q24" s="84">
        <f t="shared" si="3"/>
        <v>0</v>
      </c>
      <c r="R24" s="5" t="s">
        <v>108</v>
      </c>
      <c r="U24" s="66" t="s">
        <v>141</v>
      </c>
      <c r="V24" s="65">
        <f t="shared" si="7"/>
        <v>0</v>
      </c>
      <c r="X24" s="82"/>
      <c r="Y24" s="83"/>
      <c r="Z24" s="105"/>
      <c r="AA24" s="65"/>
      <c r="AB24" s="66" t="s">
        <v>14</v>
      </c>
      <c r="AC24" s="61">
        <f t="shared" si="4"/>
        <v>0</v>
      </c>
      <c r="AD24" s="61">
        <f t="shared" si="5"/>
        <v>1</v>
      </c>
      <c r="AE24" s="66" t="s">
        <v>118</v>
      </c>
      <c r="AF24" s="65">
        <f t="shared" si="6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8"/>
        <v/>
      </c>
      <c r="D25" s="32"/>
      <c r="E25" s="33"/>
      <c r="F25" s="36"/>
      <c r="G25" s="36"/>
      <c r="H25" s="38" t="str">
        <f t="shared" si="9"/>
        <v/>
      </c>
      <c r="I25" s="34"/>
      <c r="J25" s="13"/>
      <c r="K25" s="13"/>
      <c r="L25" s="13"/>
      <c r="M25" s="13"/>
      <c r="N25" s="35"/>
      <c r="O25" s="5" t="s">
        <v>16</v>
      </c>
      <c r="P25" s="5">
        <v>2</v>
      </c>
      <c r="Q25" s="84">
        <f t="shared" si="3"/>
        <v>0</v>
      </c>
      <c r="R25" s="5"/>
      <c r="U25" s="73"/>
      <c r="X25" s="82"/>
      <c r="Y25" s="83"/>
      <c r="Z25" s="105"/>
      <c r="AA25" s="65"/>
      <c r="AB25" s="66" t="s">
        <v>16</v>
      </c>
      <c r="AC25" s="61">
        <f t="shared" si="4"/>
        <v>0</v>
      </c>
      <c r="AD25" s="61">
        <f t="shared" si="5"/>
        <v>2</v>
      </c>
      <c r="AE25" s="66" t="s">
        <v>125</v>
      </c>
      <c r="AF25" s="65">
        <f t="shared" si="6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8"/>
        <v/>
      </c>
      <c r="D26" s="32"/>
      <c r="E26" s="33"/>
      <c r="F26" s="36"/>
      <c r="G26" s="36"/>
      <c r="H26" s="38" t="str">
        <f t="shared" si="9"/>
        <v/>
      </c>
      <c r="I26" s="34"/>
      <c r="J26" s="13"/>
      <c r="K26" s="13"/>
      <c r="L26" s="13"/>
      <c r="M26" s="13"/>
      <c r="N26" s="35"/>
      <c r="O26" s="5" t="s">
        <v>93</v>
      </c>
      <c r="P26" s="5">
        <v>20</v>
      </c>
      <c r="Q26" s="84">
        <f t="shared" si="3"/>
        <v>0</v>
      </c>
      <c r="R26" s="5" t="s">
        <v>99</v>
      </c>
      <c r="U26" s="73"/>
      <c r="X26" s="82"/>
      <c r="Y26" s="83"/>
      <c r="Z26" s="105"/>
      <c r="AA26" s="65"/>
      <c r="AB26" s="66" t="s">
        <v>93</v>
      </c>
      <c r="AC26" s="61">
        <f t="shared" si="4"/>
        <v>0</v>
      </c>
      <c r="AD26" s="61">
        <v>20</v>
      </c>
      <c r="AE26" s="66" t="s">
        <v>135</v>
      </c>
      <c r="AF26" s="65">
        <f t="shared" si="6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8"/>
        <v/>
      </c>
      <c r="D27" s="32"/>
      <c r="E27" s="33"/>
      <c r="F27" s="36"/>
      <c r="G27" s="36"/>
      <c r="H27" s="38" t="str">
        <f t="shared" si="9"/>
        <v/>
      </c>
      <c r="I27" s="34"/>
      <c r="J27" s="13"/>
      <c r="K27" s="13"/>
      <c r="L27" s="13"/>
      <c r="M27" s="13"/>
      <c r="N27" s="35"/>
      <c r="O27" s="5" t="s">
        <v>19</v>
      </c>
      <c r="P27" s="5">
        <v>5</v>
      </c>
      <c r="Q27" s="84">
        <f t="shared" si="3"/>
        <v>0</v>
      </c>
      <c r="R27" s="5" t="s">
        <v>99</v>
      </c>
      <c r="U27" s="73"/>
      <c r="X27" s="82"/>
      <c r="Y27" s="83"/>
      <c r="Z27" s="105"/>
      <c r="AA27" s="65"/>
      <c r="AB27" s="66" t="s">
        <v>19</v>
      </c>
      <c r="AC27" s="61">
        <f t="shared" si="4"/>
        <v>0</v>
      </c>
      <c r="AD27" s="61">
        <f>P27</f>
        <v>5</v>
      </c>
      <c r="AE27" s="66" t="s">
        <v>21</v>
      </c>
      <c r="AF27" s="65">
        <f t="shared" si="6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8"/>
        <v/>
      </c>
      <c r="D28" s="32"/>
      <c r="E28" s="33"/>
      <c r="F28" s="36"/>
      <c r="G28" s="36"/>
      <c r="H28" s="38" t="str">
        <f t="shared" si="9"/>
        <v/>
      </c>
      <c r="I28" s="34"/>
      <c r="J28" s="13"/>
      <c r="K28" s="13"/>
      <c r="L28" s="13"/>
      <c r="M28" s="13"/>
      <c r="N28" s="35"/>
      <c r="O28" s="5" t="s">
        <v>22</v>
      </c>
      <c r="P28" s="5">
        <v>10</v>
      </c>
      <c r="Q28" s="84">
        <f t="shared" si="3"/>
        <v>0</v>
      </c>
      <c r="R28" s="5" t="s">
        <v>99</v>
      </c>
      <c r="U28" s="73"/>
      <c r="X28" s="82"/>
      <c r="Y28" s="83"/>
      <c r="Z28" s="105"/>
      <c r="AA28" s="65"/>
      <c r="AB28" s="66" t="s">
        <v>22</v>
      </c>
      <c r="AC28" s="61">
        <f t="shared" si="4"/>
        <v>0</v>
      </c>
      <c r="AD28" s="61">
        <f>P28</f>
        <v>10</v>
      </c>
      <c r="AE28" s="66" t="s">
        <v>18</v>
      </c>
      <c r="AF28" s="65">
        <f t="shared" si="6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8"/>
        <v/>
      </c>
      <c r="D29" s="32"/>
      <c r="E29" s="33"/>
      <c r="F29" s="36"/>
      <c r="G29" s="36"/>
      <c r="H29" s="38" t="str">
        <f t="shared" si="9"/>
        <v/>
      </c>
      <c r="I29" s="34"/>
      <c r="J29" s="13"/>
      <c r="K29" s="13"/>
      <c r="L29" s="13"/>
      <c r="M29" s="13"/>
      <c r="N29" s="35"/>
      <c r="O29" s="5" t="s">
        <v>15</v>
      </c>
      <c r="P29" s="5">
        <v>1</v>
      </c>
      <c r="Q29" s="84">
        <f t="shared" si="3"/>
        <v>0</v>
      </c>
      <c r="R29" s="5" t="s">
        <v>108</v>
      </c>
      <c r="U29" s="73"/>
      <c r="X29" s="82"/>
      <c r="Y29" s="83"/>
      <c r="Z29" s="105"/>
      <c r="AA29" s="65"/>
      <c r="AB29" s="66" t="s">
        <v>15</v>
      </c>
      <c r="AC29" s="61">
        <f t="shared" si="4"/>
        <v>0</v>
      </c>
      <c r="AD29" s="61">
        <f>P29</f>
        <v>1</v>
      </c>
      <c r="AE29" s="66" t="s">
        <v>142</v>
      </c>
      <c r="AF29" s="65">
        <f t="shared" si="6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8"/>
        <v/>
      </c>
      <c r="D30" s="32"/>
      <c r="E30" s="33"/>
      <c r="F30" s="36"/>
      <c r="G30" s="36"/>
      <c r="H30" s="38" t="str">
        <f t="shared" si="9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3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143</v>
      </c>
      <c r="AF30" s="65">
        <f t="shared" si="6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8"/>
        <v/>
      </c>
      <c r="D31" s="32"/>
      <c r="E31" s="33"/>
      <c r="F31" s="36"/>
      <c r="G31" s="36"/>
      <c r="H31" s="38" t="str">
        <f t="shared" si="9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3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144</v>
      </c>
      <c r="AF31" s="65">
        <f t="shared" si="6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8"/>
        <v/>
      </c>
      <c r="D32" s="32"/>
      <c r="E32" s="33"/>
      <c r="F32" s="36"/>
      <c r="G32" s="36"/>
      <c r="H32" s="38" t="str">
        <f t="shared" si="9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3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126</v>
      </c>
      <c r="AF32" s="65">
        <f t="shared" si="6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8"/>
        <v/>
      </c>
      <c r="D33" s="32"/>
      <c r="E33" s="33"/>
      <c r="F33" s="36"/>
      <c r="G33" s="36"/>
      <c r="H33" s="38" t="str">
        <f t="shared" si="9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3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145</v>
      </c>
      <c r="AF33" s="65">
        <f t="shared" si="6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8"/>
        <v/>
      </c>
      <c r="D34" s="32"/>
      <c r="E34" s="33"/>
      <c r="F34" s="36"/>
      <c r="G34" s="36"/>
      <c r="H34" s="38" t="str">
        <f t="shared" si="9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3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146</v>
      </c>
      <c r="AF34" s="65">
        <f t="shared" si="6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8"/>
        <v/>
      </c>
      <c r="D35" s="32"/>
      <c r="E35" s="33"/>
      <c r="F35" s="36"/>
      <c r="G35" s="36"/>
      <c r="H35" s="38" t="str">
        <f t="shared" si="9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3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131</v>
      </c>
      <c r="AF35" s="65">
        <f t="shared" si="6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8"/>
        <v/>
      </c>
      <c r="D36" s="32"/>
      <c r="E36" s="33"/>
      <c r="F36" s="36"/>
      <c r="G36" s="36"/>
      <c r="H36" s="38" t="str">
        <f t="shared" si="9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3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19</v>
      </c>
      <c r="AF36" s="65">
        <f t="shared" si="6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8"/>
        <v/>
      </c>
      <c r="D37" s="32"/>
      <c r="E37" s="33"/>
      <c r="F37" s="36"/>
      <c r="G37" s="36"/>
      <c r="H37" s="38" t="str">
        <f t="shared" si="9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3"/>
        <v>0</v>
      </c>
      <c r="R37" s="5"/>
      <c r="U37" s="73"/>
      <c r="X37" s="82"/>
      <c r="Y37" s="83"/>
      <c r="Z37" s="105"/>
      <c r="AA37" s="65"/>
      <c r="AB37" s="66" t="s">
        <v>24</v>
      </c>
      <c r="AC37" s="61">
        <f>COUNTIF($L$17:$L$106,AB37)</f>
        <v>0</v>
      </c>
      <c r="AD37" s="61">
        <v>20</v>
      </c>
      <c r="AE37" s="66" t="s">
        <v>132</v>
      </c>
      <c r="AF37" s="65">
        <f t="shared" si="6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8"/>
        <v/>
      </c>
      <c r="D38" s="32"/>
      <c r="E38" s="33"/>
      <c r="F38" s="36"/>
      <c r="G38" s="36"/>
      <c r="H38" s="38" t="str">
        <f t="shared" si="9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3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136</v>
      </c>
      <c r="AF38" s="65">
        <f t="shared" si="6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8"/>
        <v/>
      </c>
      <c r="D39" s="32"/>
      <c r="E39" s="33"/>
      <c r="F39" s="36"/>
      <c r="G39" s="36"/>
      <c r="H39" s="38" t="str">
        <f t="shared" si="9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3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139</v>
      </c>
      <c r="AF39" s="65">
        <f t="shared" si="6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8"/>
        <v/>
      </c>
      <c r="D40" s="32"/>
      <c r="E40" s="33"/>
      <c r="F40" s="36"/>
      <c r="G40" s="36"/>
      <c r="H40" s="38" t="str">
        <f t="shared" si="9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3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104</v>
      </c>
      <c r="AF40" s="65">
        <f t="shared" si="6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8"/>
        <v/>
      </c>
      <c r="D41" s="32"/>
      <c r="E41" s="33"/>
      <c r="F41" s="36"/>
      <c r="G41" s="36"/>
      <c r="H41" s="38" t="str">
        <f t="shared" si="9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3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115</v>
      </c>
      <c r="AF41" s="65">
        <f t="shared" si="6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8"/>
        <v/>
      </c>
      <c r="D42" s="32"/>
      <c r="E42" s="33"/>
      <c r="F42" s="36"/>
      <c r="G42" s="36"/>
      <c r="H42" s="38" t="str">
        <f t="shared" si="9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3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147</v>
      </c>
      <c r="AF42" s="65">
        <f t="shared" si="6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8"/>
        <v/>
      </c>
      <c r="D43" s="32"/>
      <c r="E43" s="33"/>
      <c r="F43" s="36"/>
      <c r="G43" s="36"/>
      <c r="H43" s="38" t="str">
        <f t="shared" si="9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3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22</v>
      </c>
      <c r="AF43" s="65">
        <f t="shared" si="6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8"/>
        <v/>
      </c>
      <c r="D44" s="32"/>
      <c r="E44" s="33"/>
      <c r="F44" s="36"/>
      <c r="G44" s="36"/>
      <c r="H44" s="38" t="str">
        <f t="shared" si="9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3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128</v>
      </c>
      <c r="AF44" s="65">
        <f t="shared" si="6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8"/>
        <v/>
      </c>
      <c r="D45" s="32"/>
      <c r="E45" s="33"/>
      <c r="F45" s="36"/>
      <c r="G45" s="36"/>
      <c r="H45" s="38" t="str">
        <f t="shared" si="9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3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148</v>
      </c>
      <c r="AF45" s="65">
        <f t="shared" si="6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8"/>
        <v/>
      </c>
      <c r="D46" s="32"/>
      <c r="E46" s="33"/>
      <c r="F46" s="36"/>
      <c r="G46" s="36"/>
      <c r="H46" s="38" t="str">
        <f t="shared" si="9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3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149</v>
      </c>
      <c r="AF46" s="65">
        <f t="shared" si="6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8"/>
        <v/>
      </c>
      <c r="D47" s="32"/>
      <c r="E47" s="33"/>
      <c r="F47" s="36"/>
      <c r="G47" s="36"/>
      <c r="H47" s="38" t="str">
        <f t="shared" si="9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3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123</v>
      </c>
      <c r="AF47" s="65">
        <f t="shared" si="6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8"/>
        <v/>
      </c>
      <c r="D48" s="32"/>
      <c r="E48" s="33"/>
      <c r="F48" s="36"/>
      <c r="G48" s="36"/>
      <c r="H48" s="38" t="str">
        <f t="shared" si="9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3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141</v>
      </c>
      <c r="AF48" s="65">
        <f t="shared" si="6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9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9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9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9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9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9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9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9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9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9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9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9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9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9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9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9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9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9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9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9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9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9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9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9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9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9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9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9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9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9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9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9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9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150</v>
      </c>
      <c r="D2" s="126" t="s">
        <v>39</v>
      </c>
      <c r="E2" s="127" t="s">
        <v>40</v>
      </c>
      <c r="F2" s="127" t="s">
        <v>41</v>
      </c>
      <c r="G2" s="127" t="s">
        <v>42</v>
      </c>
      <c r="H2" s="128" t="s">
        <v>43</v>
      </c>
      <c r="I2" s="127" t="s">
        <v>151</v>
      </c>
      <c r="J2" s="126" t="s">
        <v>39</v>
      </c>
      <c r="K2" s="127" t="s">
        <v>40</v>
      </c>
      <c r="L2" s="127" t="s">
        <v>41</v>
      </c>
      <c r="M2" s="127" t="s">
        <v>42</v>
      </c>
      <c r="N2" s="128" t="s">
        <v>43</v>
      </c>
      <c r="O2" s="128" t="s">
        <v>151</v>
      </c>
    </row>
    <row r="3" spans="2:15" x14ac:dyDescent="0.25">
      <c r="B3" s="151" t="s">
        <v>152</v>
      </c>
      <c r="C3" s="152" t="s">
        <v>153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154</v>
      </c>
      <c r="C4" s="150" t="s">
        <v>155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156</v>
      </c>
      <c r="C5" s="150" t="s">
        <v>157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158</v>
      </c>
      <c r="C6" s="150" t="s">
        <v>159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160</v>
      </c>
      <c r="C7" s="150" t="s">
        <v>161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162</v>
      </c>
      <c r="C8" s="150" t="s">
        <v>163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164</v>
      </c>
      <c r="K8" s="137" t="s">
        <v>165</v>
      </c>
      <c r="L8" s="137" t="s">
        <v>166</v>
      </c>
      <c r="M8" s="137" t="s">
        <v>167</v>
      </c>
      <c r="N8" s="140" t="s">
        <v>168</v>
      </c>
      <c r="O8" s="138" t="s">
        <v>169</v>
      </c>
    </row>
    <row r="9" spans="2:15" x14ac:dyDescent="0.25">
      <c r="B9" s="153" t="s">
        <v>170</v>
      </c>
      <c r="C9" s="150" t="s">
        <v>171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172</v>
      </c>
      <c r="C10" s="150" t="s">
        <v>173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174</v>
      </c>
      <c r="C11" s="150" t="s">
        <v>175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176</v>
      </c>
      <c r="C12" s="150" t="s">
        <v>177</v>
      </c>
      <c r="D12" s="136" t="s">
        <v>178</v>
      </c>
      <c r="E12" s="137" t="s">
        <v>179</v>
      </c>
      <c r="F12" s="137" t="s">
        <v>180</v>
      </c>
      <c r="G12" s="137" t="s">
        <v>181</v>
      </c>
      <c r="H12" s="137" t="s">
        <v>182</v>
      </c>
      <c r="I12" s="138" t="s">
        <v>183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184</v>
      </c>
      <c r="C13" s="150" t="s">
        <v>185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186</v>
      </c>
      <c r="C14" s="150" t="s">
        <v>187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188</v>
      </c>
      <c r="C15" s="150" t="s">
        <v>189</v>
      </c>
      <c r="D15" s="136" t="s">
        <v>190</v>
      </c>
      <c r="E15" s="137" t="s">
        <v>191</v>
      </c>
      <c r="F15" s="137" t="s">
        <v>192</v>
      </c>
      <c r="G15" s="137" t="s">
        <v>193</v>
      </c>
      <c r="H15" s="137" t="s">
        <v>194</v>
      </c>
      <c r="I15" s="138" t="s">
        <v>195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196</v>
      </c>
      <c r="C16" s="150" t="s">
        <v>197</v>
      </c>
      <c r="D16" s="136" t="s">
        <v>36</v>
      </c>
      <c r="E16" s="137" t="s">
        <v>38</v>
      </c>
      <c r="F16" s="137" t="s">
        <v>46</v>
      </c>
      <c r="G16" s="137" t="s">
        <v>47</v>
      </c>
      <c r="H16" s="137" t="s">
        <v>48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198</v>
      </c>
      <c r="C17" s="150" t="s">
        <v>199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200</v>
      </c>
      <c r="C18" s="150" t="s">
        <v>201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202</v>
      </c>
      <c r="C19" s="150" t="s">
        <v>203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204</v>
      </c>
      <c r="C20" s="150" t="s">
        <v>205</v>
      </c>
      <c r="D20" s="136" t="s">
        <v>206</v>
      </c>
      <c r="E20" s="137" t="s">
        <v>207</v>
      </c>
      <c r="F20" s="137" t="s">
        <v>208</v>
      </c>
      <c r="G20" s="137" t="s">
        <v>209</v>
      </c>
      <c r="H20" s="137" t="s">
        <v>210</v>
      </c>
      <c r="I20" s="138" t="s">
        <v>211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212</v>
      </c>
      <c r="C21" s="150" t="s">
        <v>213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214</v>
      </c>
      <c r="C22" s="155" t="s">
        <v>215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216</v>
      </c>
      <c r="C23" s="152" t="s">
        <v>217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218</v>
      </c>
      <c r="C24" s="150" t="s">
        <v>219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220</v>
      </c>
      <c r="C25" s="150" t="s">
        <v>221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222</v>
      </c>
      <c r="C26" s="150" t="s">
        <v>223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224</v>
      </c>
      <c r="C27" s="150" t="s">
        <v>225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226</v>
      </c>
      <c r="C28" s="150" t="s">
        <v>227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228</v>
      </c>
      <c r="C29" s="150" t="s">
        <v>229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230</v>
      </c>
      <c r="C30" s="150" t="s">
        <v>231</v>
      </c>
      <c r="D30" s="136" t="s">
        <v>36</v>
      </c>
      <c r="E30" s="137" t="s">
        <v>38</v>
      </c>
      <c r="F30" s="137" t="s">
        <v>46</v>
      </c>
      <c r="G30" s="137" t="s">
        <v>47</v>
      </c>
      <c r="H30" s="137" t="s">
        <v>48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232</v>
      </c>
      <c r="C31" s="150" t="s">
        <v>233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234</v>
      </c>
      <c r="C32" s="150" t="s">
        <v>235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236</v>
      </c>
      <c r="C33" s="150" t="s">
        <v>237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238</v>
      </c>
      <c r="C34" s="150" t="s">
        <v>239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240</v>
      </c>
      <c r="C35" s="150" t="s">
        <v>241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242</v>
      </c>
      <c r="C36" s="150" t="s">
        <v>243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244</v>
      </c>
      <c r="C37" s="150" t="s">
        <v>245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246</v>
      </c>
      <c r="C38" s="150" t="s">
        <v>247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248</v>
      </c>
      <c r="C39" s="150" t="s">
        <v>249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250</v>
      </c>
      <c r="C40" s="150" t="s">
        <v>251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252</v>
      </c>
      <c r="C41" s="150" t="s">
        <v>253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254</v>
      </c>
      <c r="C42" s="150" t="s">
        <v>255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256</v>
      </c>
      <c r="C43" s="150" t="s">
        <v>257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258</v>
      </c>
      <c r="C44" s="155" t="s">
        <v>259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260</v>
      </c>
      <c r="E46" s="25" t="s">
        <v>165</v>
      </c>
      <c r="F46" s="25" t="s">
        <v>166</v>
      </c>
      <c r="G46" s="25" t="s">
        <v>167</v>
      </c>
      <c r="H46" s="25" t="s">
        <v>168</v>
      </c>
      <c r="I46" s="134" t="s">
        <v>169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150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162</v>
      </c>
      <c r="G3" s="108" t="s">
        <v>202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156</v>
      </c>
      <c r="G4" s="108" t="s">
        <v>184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200</v>
      </c>
      <c r="G5" s="108" t="s">
        <v>174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158</v>
      </c>
      <c r="G6" s="108" t="s">
        <v>196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160</v>
      </c>
      <c r="G7" s="108" t="s">
        <v>154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188</v>
      </c>
      <c r="G8" s="108" t="s">
        <v>176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212</v>
      </c>
      <c r="G9" s="108" t="s">
        <v>170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204</v>
      </c>
      <c r="G10" s="108" t="s">
        <v>198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172</v>
      </c>
      <c r="G11" s="108" t="s">
        <v>214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152</v>
      </c>
      <c r="G12" s="108" t="s">
        <v>186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176</v>
      </c>
      <c r="G13" s="108" t="s">
        <v>200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196</v>
      </c>
      <c r="G14" s="108" t="s">
        <v>174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170</v>
      </c>
      <c r="G15" s="108" t="s">
        <v>184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162</v>
      </c>
      <c r="G16" s="108" t="s">
        <v>160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202</v>
      </c>
      <c r="G17" s="108" t="s">
        <v>198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172</v>
      </c>
      <c r="G18" s="108" t="s">
        <v>158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152</v>
      </c>
      <c r="G19" s="108" t="s">
        <v>156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188</v>
      </c>
      <c r="G20" s="108" t="s">
        <v>154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186</v>
      </c>
      <c r="G21" s="108" t="s">
        <v>212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214</v>
      </c>
      <c r="G22" s="108" t="s">
        <v>204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160</v>
      </c>
      <c r="G23" s="108" t="s">
        <v>202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156</v>
      </c>
      <c r="G24" s="108" t="s">
        <v>188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174</v>
      </c>
      <c r="G25" s="108" t="s">
        <v>172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198</v>
      </c>
      <c r="G26" s="108" t="s">
        <v>212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170</v>
      </c>
      <c r="G27" s="108" t="s">
        <v>152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196</v>
      </c>
      <c r="G28" s="108" t="s">
        <v>162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184</v>
      </c>
      <c r="G29" s="108" t="s">
        <v>158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154</v>
      </c>
      <c r="G30" s="108" t="s">
        <v>186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176</v>
      </c>
      <c r="G31" s="108" t="s">
        <v>214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204</v>
      </c>
      <c r="G32" s="108" t="s">
        <v>200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200</v>
      </c>
      <c r="G33" s="108" t="s">
        <v>214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176</v>
      </c>
      <c r="G34" s="108" t="s">
        <v>174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204</v>
      </c>
      <c r="G35" s="108" t="s">
        <v>158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184</v>
      </c>
      <c r="G36" s="108" t="s">
        <v>162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202</v>
      </c>
      <c r="G37" s="108" t="s">
        <v>154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188</v>
      </c>
      <c r="G38" s="108" t="s">
        <v>152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198</v>
      </c>
      <c r="G39" s="108" t="s">
        <v>156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170</v>
      </c>
      <c r="G40" s="108" t="s">
        <v>196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186</v>
      </c>
      <c r="G41" s="108" t="s">
        <v>160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212</v>
      </c>
      <c r="G42" s="108" t="s">
        <v>172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158</v>
      </c>
      <c r="G43" s="108" t="s">
        <v>154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204</v>
      </c>
      <c r="G44" s="108" t="s">
        <v>176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202</v>
      </c>
      <c r="G45" s="108" t="s">
        <v>184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214</v>
      </c>
      <c r="G46" s="108" t="s">
        <v>174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162</v>
      </c>
      <c r="G47" s="108" t="s">
        <v>188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172</v>
      </c>
      <c r="G48" s="108" t="s">
        <v>186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156</v>
      </c>
      <c r="G49" s="108" t="s">
        <v>196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200</v>
      </c>
      <c r="G50" s="108" t="s">
        <v>170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152</v>
      </c>
      <c r="G51" s="108" t="s">
        <v>212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198</v>
      </c>
      <c r="G52" s="108" t="s">
        <v>160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202</v>
      </c>
      <c r="G53" s="108" t="s">
        <v>170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200</v>
      </c>
      <c r="G54" s="108" t="s">
        <v>156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174</v>
      </c>
      <c r="G55" s="108" t="s">
        <v>186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154</v>
      </c>
      <c r="G56" s="108" t="s">
        <v>214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160</v>
      </c>
      <c r="G57" s="108" t="s">
        <v>172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152</v>
      </c>
      <c r="G58" s="108" t="s">
        <v>158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162</v>
      </c>
      <c r="G59" s="108" t="s">
        <v>204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176</v>
      </c>
      <c r="G60" s="108" t="s">
        <v>184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196</v>
      </c>
      <c r="G61" s="108" t="s">
        <v>198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212</v>
      </c>
      <c r="G62" s="108" t="s">
        <v>188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156</v>
      </c>
      <c r="G63" s="108" t="s">
        <v>158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200</v>
      </c>
      <c r="G64" s="108" t="s">
        <v>152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154</v>
      </c>
      <c r="G65" s="108" t="s">
        <v>174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176</v>
      </c>
      <c r="G66" s="108" t="s">
        <v>170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188</v>
      </c>
      <c r="G67" s="108" t="s">
        <v>202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198</v>
      </c>
      <c r="G68" s="108" t="s">
        <v>162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186</v>
      </c>
      <c r="G69" s="108" t="s">
        <v>204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214</v>
      </c>
      <c r="G70" s="108" t="s">
        <v>212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160</v>
      </c>
      <c r="G71" s="108" t="s">
        <v>196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184</v>
      </c>
      <c r="G72" s="108" t="s">
        <v>172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174</v>
      </c>
      <c r="G73" s="108" t="s">
        <v>198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176</v>
      </c>
      <c r="G74" s="108" t="s">
        <v>212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202</v>
      </c>
      <c r="G75" s="108" t="s">
        <v>200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170</v>
      </c>
      <c r="G76" s="108" t="s">
        <v>204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186</v>
      </c>
      <c r="G77" s="108" t="s">
        <v>158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214</v>
      </c>
      <c r="G78" s="108" t="s">
        <v>152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172</v>
      </c>
      <c r="G79" s="108" t="s">
        <v>188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156</v>
      </c>
      <c r="G80" s="108" t="s">
        <v>162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184</v>
      </c>
      <c r="G81" s="108" t="s">
        <v>160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196</v>
      </c>
      <c r="G82" s="108" t="s">
        <v>154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198</v>
      </c>
      <c r="G83" s="108" t="s">
        <v>176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156</v>
      </c>
      <c r="G84" s="108" t="s">
        <v>212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200</v>
      </c>
      <c r="G85" s="108" t="s">
        <v>188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158</v>
      </c>
      <c r="G86" s="108" t="s">
        <v>160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204</v>
      </c>
      <c r="G87" s="108" t="s">
        <v>152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202</v>
      </c>
      <c r="G88" s="108" t="s">
        <v>172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162</v>
      </c>
      <c r="G89" s="108" t="s">
        <v>174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154</v>
      </c>
      <c r="G90" s="108" t="s">
        <v>170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184</v>
      </c>
      <c r="G91" s="108" t="s">
        <v>196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214</v>
      </c>
      <c r="G92" s="108" t="s">
        <v>186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204</v>
      </c>
      <c r="G93" s="108" t="s">
        <v>202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160</v>
      </c>
      <c r="G94" s="108" t="s">
        <v>156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198</v>
      </c>
      <c r="G95" s="108" t="s">
        <v>188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186</v>
      </c>
      <c r="G96" s="108" t="s">
        <v>170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212</v>
      </c>
      <c r="G97" s="108" t="s">
        <v>162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158</v>
      </c>
      <c r="G98" s="108" t="s">
        <v>200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196</v>
      </c>
      <c r="G99" s="108" t="s">
        <v>172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174</v>
      </c>
      <c r="G100" s="108" t="s">
        <v>152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176</v>
      </c>
      <c r="G101" s="108" t="s">
        <v>154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184</v>
      </c>
      <c r="G102" s="108" t="s">
        <v>214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204</v>
      </c>
      <c r="G103" s="108" t="s">
        <v>160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202</v>
      </c>
      <c r="G104" s="108" t="s">
        <v>156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198</v>
      </c>
      <c r="G105" s="108" t="s">
        <v>186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170</v>
      </c>
      <c r="G106" s="108" t="s">
        <v>188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200</v>
      </c>
      <c r="G107" s="108" t="s">
        <v>172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162</v>
      </c>
      <c r="G108" s="108" t="s">
        <v>176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158</v>
      </c>
      <c r="G109" s="108" t="s">
        <v>214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174</v>
      </c>
      <c r="G110" s="108" t="s">
        <v>184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154</v>
      </c>
      <c r="G111" s="108" t="s">
        <v>212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152</v>
      </c>
      <c r="G112" s="108" t="s">
        <v>196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152</v>
      </c>
      <c r="G113" s="108" t="s">
        <v>172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162</v>
      </c>
      <c r="G114" s="108" t="s">
        <v>154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174</v>
      </c>
      <c r="G115" s="108" t="s">
        <v>160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188</v>
      </c>
      <c r="G116" s="108" t="s">
        <v>158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170</v>
      </c>
      <c r="G117" s="108" t="s">
        <v>214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156</v>
      </c>
      <c r="G118" s="108" t="s">
        <v>176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184</v>
      </c>
      <c r="G119" s="108" t="s">
        <v>198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196</v>
      </c>
      <c r="G120" s="108" t="s">
        <v>204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186</v>
      </c>
      <c r="G121" s="108" t="s">
        <v>200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212</v>
      </c>
      <c r="G122" s="108" t="s">
        <v>202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158</v>
      </c>
      <c r="G123" s="108" t="s">
        <v>198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160</v>
      </c>
      <c r="G124" s="108" t="s">
        <v>170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188</v>
      </c>
      <c r="G125" s="108" t="s">
        <v>196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186</v>
      </c>
      <c r="G126" s="108" t="s">
        <v>176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214</v>
      </c>
      <c r="G127" s="108" t="s">
        <v>156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204</v>
      </c>
      <c r="G128" s="108" t="s">
        <v>212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172</v>
      </c>
      <c r="G129" s="108" t="s">
        <v>162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200</v>
      </c>
      <c r="G130" s="108" t="s">
        <v>184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154</v>
      </c>
      <c r="G131" s="108" t="s">
        <v>152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202</v>
      </c>
      <c r="G132" s="108" t="s">
        <v>174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172</v>
      </c>
      <c r="G133" s="108" t="s">
        <v>198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196</v>
      </c>
      <c r="G134" s="108" t="s">
        <v>176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160</v>
      </c>
      <c r="G135" s="108" t="s">
        <v>152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184</v>
      </c>
      <c r="G136" s="108" t="s">
        <v>204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214</v>
      </c>
      <c r="G137" s="108" t="s">
        <v>202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162</v>
      </c>
      <c r="G138" s="108" t="s">
        <v>170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200</v>
      </c>
      <c r="G139" s="108" t="s">
        <v>154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156</v>
      </c>
      <c r="G140" s="108" t="s">
        <v>174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188</v>
      </c>
      <c r="G141" s="108" t="s">
        <v>186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212</v>
      </c>
      <c r="G142" s="108" t="s">
        <v>158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202</v>
      </c>
      <c r="G143" s="108" t="s">
        <v>152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158</v>
      </c>
      <c r="G144" s="108" t="s">
        <v>176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174</v>
      </c>
      <c r="G145" s="108" t="s">
        <v>188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198</v>
      </c>
      <c r="G146" s="108" t="s">
        <v>214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170</v>
      </c>
      <c r="G147" s="108" t="s">
        <v>156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186</v>
      </c>
      <c r="G148" s="108" t="s">
        <v>162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172</v>
      </c>
      <c r="G149" s="108" t="s">
        <v>204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154</v>
      </c>
      <c r="G150" s="108" t="s">
        <v>184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196</v>
      </c>
      <c r="G151" s="108" t="s">
        <v>200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212</v>
      </c>
      <c r="G152" s="108" t="s">
        <v>160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158</v>
      </c>
      <c r="G153" s="108" t="s">
        <v>202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174</v>
      </c>
      <c r="G154" s="108" t="s">
        <v>170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204</v>
      </c>
      <c r="G155" s="108" t="s">
        <v>188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160</v>
      </c>
      <c r="G156" s="108" t="s">
        <v>200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184</v>
      </c>
      <c r="G157" s="108" t="s">
        <v>186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198</v>
      </c>
      <c r="G158" s="108" t="s">
        <v>154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156</v>
      </c>
      <c r="G159" s="108" t="s">
        <v>172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152</v>
      </c>
      <c r="G160" s="108" t="s">
        <v>176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196</v>
      </c>
      <c r="G161" s="108" t="s">
        <v>212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214</v>
      </c>
      <c r="G162" s="108" t="s">
        <v>162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174</v>
      </c>
      <c r="G163" s="108" t="s">
        <v>204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202</v>
      </c>
      <c r="G164" s="108" t="s">
        <v>186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188</v>
      </c>
      <c r="G165" s="108" t="s">
        <v>160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170</v>
      </c>
      <c r="G166" s="108" t="s">
        <v>198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162</v>
      </c>
      <c r="G167" s="108" t="s">
        <v>158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172</v>
      </c>
      <c r="G168" s="108" t="s">
        <v>176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200</v>
      </c>
      <c r="G169" s="108" t="s">
        <v>212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154</v>
      </c>
      <c r="G170" s="108" t="s">
        <v>156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184</v>
      </c>
      <c r="G171" s="108" t="s">
        <v>152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214</v>
      </c>
      <c r="G172" s="108" t="s">
        <v>196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176</v>
      </c>
      <c r="G173" s="108" t="s">
        <v>160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204</v>
      </c>
      <c r="G174" s="108" t="s">
        <v>154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152</v>
      </c>
      <c r="G175" s="108" t="s">
        <v>162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198</v>
      </c>
      <c r="G176" s="108" t="s">
        <v>200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186</v>
      </c>
      <c r="G177" s="108" t="s">
        <v>156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214</v>
      </c>
      <c r="G178" s="108" t="s">
        <v>188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158</v>
      </c>
      <c r="G179" s="108" t="s">
        <v>174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172</v>
      </c>
      <c r="G180" s="108" t="s">
        <v>170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196</v>
      </c>
      <c r="G181" s="108" t="s">
        <v>202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212</v>
      </c>
      <c r="G182" s="108" t="s">
        <v>184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154</v>
      </c>
      <c r="G183" s="108" t="s">
        <v>172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160</v>
      </c>
      <c r="G184" s="108" t="s">
        <v>214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152</v>
      </c>
      <c r="G185" s="108" t="s">
        <v>198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186</v>
      </c>
      <c r="G186" s="108" t="s">
        <v>196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162</v>
      </c>
      <c r="G187" s="108" t="s">
        <v>200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156</v>
      </c>
      <c r="G188" s="108" t="s">
        <v>204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176</v>
      </c>
      <c r="G189" s="108" t="s">
        <v>202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188</v>
      </c>
      <c r="G190" s="108" t="s">
        <v>184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170</v>
      </c>
      <c r="G191" s="108" t="s">
        <v>158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212</v>
      </c>
      <c r="G192" s="108" t="s">
        <v>174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172</v>
      </c>
      <c r="G193" s="108" t="s">
        <v>196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200</v>
      </c>
      <c r="G194" s="108" t="s">
        <v>186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154</v>
      </c>
      <c r="G195" s="108" t="s">
        <v>202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204</v>
      </c>
      <c r="G196" s="108" t="s">
        <v>184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160</v>
      </c>
      <c r="G197" s="108" t="s">
        <v>158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152</v>
      </c>
      <c r="G198" s="108" t="s">
        <v>170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188</v>
      </c>
      <c r="G199" s="108" t="s">
        <v>174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212</v>
      </c>
      <c r="G200" s="108" t="s">
        <v>214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162</v>
      </c>
      <c r="G201" s="108" t="s">
        <v>198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176</v>
      </c>
      <c r="G202" s="108" t="s">
        <v>156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158</v>
      </c>
      <c r="G203" s="108" t="s">
        <v>204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170</v>
      </c>
      <c r="G204" s="108" t="s">
        <v>202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186</v>
      </c>
      <c r="G205" s="108" t="s">
        <v>172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188</v>
      </c>
      <c r="G206" s="108" t="s">
        <v>212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160</v>
      </c>
      <c r="G207" s="108" t="s">
        <v>198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156</v>
      </c>
      <c r="G208" s="108" t="s">
        <v>152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174</v>
      </c>
      <c r="G209" s="108" t="s">
        <v>162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154</v>
      </c>
      <c r="G210" s="108" t="s">
        <v>196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184</v>
      </c>
      <c r="G211" s="108" t="s">
        <v>176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214</v>
      </c>
      <c r="G212" s="108" t="s">
        <v>200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162</v>
      </c>
      <c r="G213" s="108" t="s">
        <v>156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176</v>
      </c>
      <c r="G214" s="108" t="s">
        <v>188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202</v>
      </c>
      <c r="G215" s="108" t="s">
        <v>214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198</v>
      </c>
      <c r="G216" s="108" t="s">
        <v>172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158</v>
      </c>
      <c r="G217" s="108" t="s">
        <v>212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174</v>
      </c>
      <c r="G218" s="108" t="s">
        <v>200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204</v>
      </c>
      <c r="G219" s="108" t="s">
        <v>186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152</v>
      </c>
      <c r="G220" s="108" t="s">
        <v>160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196</v>
      </c>
      <c r="G221" s="108" t="s">
        <v>184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170</v>
      </c>
      <c r="G222" s="108" t="s">
        <v>154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172</v>
      </c>
      <c r="G223" s="108" t="s">
        <v>200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154</v>
      </c>
      <c r="G224" s="108" t="s">
        <v>158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160</v>
      </c>
      <c r="G225" s="108" t="s">
        <v>162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184</v>
      </c>
      <c r="G226" s="108" t="s">
        <v>202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188</v>
      </c>
      <c r="G227" s="108" t="s">
        <v>156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176</v>
      </c>
      <c r="G228" s="108" t="s">
        <v>196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170</v>
      </c>
      <c r="G229" s="108" t="s">
        <v>174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186</v>
      </c>
      <c r="G230" s="108" t="s">
        <v>198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152</v>
      </c>
      <c r="G231" s="108" t="s">
        <v>214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212</v>
      </c>
      <c r="G232" s="108" t="s">
        <v>204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162</v>
      </c>
      <c r="G233" s="108" t="s">
        <v>184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176</v>
      </c>
      <c r="G234" s="108" t="s">
        <v>186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202</v>
      </c>
      <c r="G235" s="108" t="s">
        <v>188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198</v>
      </c>
      <c r="G236" s="108" t="s">
        <v>158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170</v>
      </c>
      <c r="G237" s="108" t="s">
        <v>172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174</v>
      </c>
      <c r="G238" s="108" t="s">
        <v>214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204</v>
      </c>
      <c r="G239" s="108" t="s">
        <v>156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152</v>
      </c>
      <c r="G240" s="108" t="s">
        <v>154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196</v>
      </c>
      <c r="G241" s="108" t="s">
        <v>160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212</v>
      </c>
      <c r="G242" s="108" t="s">
        <v>200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198</v>
      </c>
      <c r="G243" s="108" t="s">
        <v>170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204</v>
      </c>
      <c r="G244" s="108" t="s">
        <v>162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160</v>
      </c>
      <c r="G245" s="108" t="s">
        <v>176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184</v>
      </c>
      <c r="G246" s="108" t="s">
        <v>154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186</v>
      </c>
      <c r="G247" s="108" t="s">
        <v>202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174</v>
      </c>
      <c r="G248" s="108" t="s">
        <v>196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172</v>
      </c>
      <c r="G249" s="108" t="s">
        <v>212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156</v>
      </c>
      <c r="G250" s="108" t="s">
        <v>214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200</v>
      </c>
      <c r="G251" s="108" t="s">
        <v>158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152</v>
      </c>
      <c r="G252" s="108" t="s">
        <v>188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162</v>
      </c>
      <c r="G253" s="108" t="s">
        <v>186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200</v>
      </c>
      <c r="G254" s="108" t="s">
        <v>160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158</v>
      </c>
      <c r="G255" s="108" t="s">
        <v>184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174</v>
      </c>
      <c r="G256" s="108" t="s">
        <v>156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154</v>
      </c>
      <c r="G257" s="108" t="s">
        <v>204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176</v>
      </c>
      <c r="G258" s="108" t="s">
        <v>198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202</v>
      </c>
      <c r="G259" s="108" t="s">
        <v>196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188</v>
      </c>
      <c r="G260" s="108" t="s">
        <v>170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214</v>
      </c>
      <c r="G261" s="108" t="s">
        <v>172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212</v>
      </c>
      <c r="G262" s="108" t="s">
        <v>152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158</v>
      </c>
      <c r="G263" s="108" t="s">
        <v>170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176</v>
      </c>
      <c r="G264" s="108" t="s">
        <v>172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160</v>
      </c>
      <c r="G265" s="108" t="s">
        <v>186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198</v>
      </c>
      <c r="G266" s="108" t="s">
        <v>204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196</v>
      </c>
      <c r="G267" s="108" t="s">
        <v>188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162</v>
      </c>
      <c r="G268" s="108" t="s">
        <v>214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156</v>
      </c>
      <c r="G269" s="108" t="s">
        <v>154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200</v>
      </c>
      <c r="G270" s="108" t="s">
        <v>202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152</v>
      </c>
      <c r="G271" s="108" t="s">
        <v>174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184</v>
      </c>
      <c r="G272" s="108" t="s">
        <v>212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162</v>
      </c>
      <c r="G273" s="108" t="s">
        <v>212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184</v>
      </c>
      <c r="G274" s="108" t="s">
        <v>200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202</v>
      </c>
      <c r="G275" s="108" t="s">
        <v>176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186</v>
      </c>
      <c r="G276" s="108" t="s">
        <v>152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154</v>
      </c>
      <c r="G277" s="108" t="s">
        <v>198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196</v>
      </c>
      <c r="G278" s="108" t="s">
        <v>170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172</v>
      </c>
      <c r="G279" s="108" t="s">
        <v>156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174</v>
      </c>
      <c r="G280" s="108" t="s">
        <v>158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188</v>
      </c>
      <c r="G281" s="108" t="s">
        <v>204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214</v>
      </c>
      <c r="G282" s="108" t="s">
        <v>160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204</v>
      </c>
      <c r="G283" s="108" t="s">
        <v>196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212</v>
      </c>
      <c r="G284" s="108" t="s">
        <v>154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214</v>
      </c>
      <c r="G285" s="108" t="s">
        <v>184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172</v>
      </c>
      <c r="G286" s="108" t="s">
        <v>202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156</v>
      </c>
      <c r="G287" s="108" t="s">
        <v>186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200</v>
      </c>
      <c r="G288" s="108" t="s">
        <v>162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158</v>
      </c>
      <c r="G289" s="108" t="s">
        <v>152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160</v>
      </c>
      <c r="G290" s="108" t="s">
        <v>174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188</v>
      </c>
      <c r="G291" s="108" t="s">
        <v>198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170</v>
      </c>
      <c r="G292" s="108" t="s">
        <v>176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174</v>
      </c>
      <c r="G293" s="108" t="s">
        <v>154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204</v>
      </c>
      <c r="G294" s="108" t="s">
        <v>172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202</v>
      </c>
      <c r="G295" s="108" t="s">
        <v>160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196</v>
      </c>
      <c r="G296" s="108" t="s">
        <v>158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170</v>
      </c>
      <c r="G297" s="108" t="s">
        <v>212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186</v>
      </c>
      <c r="G298" s="108" t="s">
        <v>214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162</v>
      </c>
      <c r="G299" s="108" t="s">
        <v>152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156</v>
      </c>
      <c r="G300" s="108" t="s">
        <v>198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200</v>
      </c>
      <c r="G301" s="108" t="s">
        <v>176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184</v>
      </c>
      <c r="G302" s="108" t="s">
        <v>188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176</v>
      </c>
      <c r="G303" s="108" t="s">
        <v>162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198</v>
      </c>
      <c r="G304" s="108" t="s">
        <v>152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170</v>
      </c>
      <c r="G305" s="108" t="s">
        <v>186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212</v>
      </c>
      <c r="G306" s="108" t="s">
        <v>196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188</v>
      </c>
      <c r="G307" s="108" t="s">
        <v>214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172</v>
      </c>
      <c r="G308" s="108" t="s">
        <v>184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200</v>
      </c>
      <c r="G309" s="108" t="s">
        <v>204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158</v>
      </c>
      <c r="G310" s="108" t="s">
        <v>156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174</v>
      </c>
      <c r="G311" s="108" t="s">
        <v>202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154</v>
      </c>
      <c r="G312" s="108" t="s">
        <v>160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176</v>
      </c>
      <c r="G313" s="108" t="s">
        <v>158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160</v>
      </c>
      <c r="G314" s="108" t="s">
        <v>212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184</v>
      </c>
      <c r="G315" s="108" t="s">
        <v>156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198</v>
      </c>
      <c r="G316" s="108" t="s">
        <v>196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186</v>
      </c>
      <c r="G317" s="108" t="s">
        <v>154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162</v>
      </c>
      <c r="G318" s="108" t="s">
        <v>172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204</v>
      </c>
      <c r="G319" s="108" t="s">
        <v>174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152</v>
      </c>
      <c r="G320" s="108" t="s">
        <v>202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188</v>
      </c>
      <c r="G321" s="108" t="s">
        <v>200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214</v>
      </c>
      <c r="G322" s="108" t="s">
        <v>170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172</v>
      </c>
      <c r="G323" s="108" t="s">
        <v>174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158</v>
      </c>
      <c r="G324" s="108" t="s">
        <v>188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154</v>
      </c>
      <c r="G325" s="108" t="s">
        <v>162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202</v>
      </c>
      <c r="G326" s="108" t="s">
        <v>204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196</v>
      </c>
      <c r="G327" s="108" t="s">
        <v>152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170</v>
      </c>
      <c r="G328" s="108" t="s">
        <v>160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186</v>
      </c>
      <c r="G329" s="108" t="s">
        <v>184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212</v>
      </c>
      <c r="G330" s="108" t="s">
        <v>198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214</v>
      </c>
      <c r="G331" s="108" t="s">
        <v>176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156</v>
      </c>
      <c r="G332" s="108" t="s">
        <v>200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174</v>
      </c>
      <c r="G333" s="108" t="s">
        <v>212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176</v>
      </c>
      <c r="G334" s="108" t="s">
        <v>152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202</v>
      </c>
      <c r="G335" s="108" t="s">
        <v>158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198</v>
      </c>
      <c r="G336" s="108" t="s">
        <v>184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170</v>
      </c>
      <c r="G337" s="108" t="s">
        <v>162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156</v>
      </c>
      <c r="G338" s="108" t="s">
        <v>160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154</v>
      </c>
      <c r="G339" s="108" t="s">
        <v>200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204</v>
      </c>
      <c r="G340" s="108" t="s">
        <v>214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188</v>
      </c>
      <c r="G341" s="108" t="s">
        <v>172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196</v>
      </c>
      <c r="G342" s="108" t="s">
        <v>186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202</v>
      </c>
      <c r="G343" s="108" t="s">
        <v>162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200</v>
      </c>
      <c r="G344" s="108" t="s">
        <v>196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160</v>
      </c>
      <c r="G345" s="108" t="s">
        <v>188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198</v>
      </c>
      <c r="G346" s="108" t="s">
        <v>174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214</v>
      </c>
      <c r="G347" s="108" t="s">
        <v>154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156</v>
      </c>
      <c r="G348" s="108" t="s">
        <v>170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158</v>
      </c>
      <c r="G349" s="108" t="s">
        <v>172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176</v>
      </c>
      <c r="G350" s="108" t="s">
        <v>204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152</v>
      </c>
      <c r="G351" s="108" t="s">
        <v>184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212</v>
      </c>
      <c r="G352" s="108" t="s">
        <v>186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156</v>
      </c>
      <c r="G353" s="108" t="s">
        <v>202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200</v>
      </c>
      <c r="G354" s="108" t="s">
        <v>198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154</v>
      </c>
      <c r="G355" s="108" t="s">
        <v>188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160</v>
      </c>
      <c r="G356" s="108" t="s">
        <v>204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184</v>
      </c>
      <c r="G357" s="108" t="s">
        <v>170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186</v>
      </c>
      <c r="G358" s="108" t="s">
        <v>174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212</v>
      </c>
      <c r="G359" s="108" t="s">
        <v>176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214</v>
      </c>
      <c r="G360" s="108" t="s">
        <v>158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162</v>
      </c>
      <c r="G361" s="108" t="s">
        <v>196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172</v>
      </c>
      <c r="G362" s="108" t="s">
        <v>152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174</v>
      </c>
      <c r="G363" s="108" t="s">
        <v>176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204</v>
      </c>
      <c r="G364" s="108" t="s">
        <v>170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160</v>
      </c>
      <c r="G365" s="108" t="s">
        <v>184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198</v>
      </c>
      <c r="G366" s="108" t="s">
        <v>202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186</v>
      </c>
      <c r="G367" s="108" t="s">
        <v>188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172</v>
      </c>
      <c r="G368" s="108" t="s">
        <v>154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158</v>
      </c>
      <c r="G369" s="108" t="s">
        <v>162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152</v>
      </c>
      <c r="G370" s="108" t="s">
        <v>200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196</v>
      </c>
      <c r="G371" s="108" t="s">
        <v>214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212</v>
      </c>
      <c r="G372" s="108" t="s">
        <v>156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152</v>
      </c>
      <c r="G373" s="108" t="s">
        <v>204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202</v>
      </c>
      <c r="G374" s="108" t="s">
        <v>212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196</v>
      </c>
      <c r="G375" s="108" t="s">
        <v>156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170</v>
      </c>
      <c r="G376" s="108" t="s">
        <v>200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184</v>
      </c>
      <c r="G377" s="108" t="s">
        <v>174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188</v>
      </c>
      <c r="G378" s="108" t="s">
        <v>162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172</v>
      </c>
      <c r="G379" s="108" t="s">
        <v>160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158</v>
      </c>
      <c r="G380" s="108" t="s">
        <v>186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154</v>
      </c>
      <c r="G381" s="108" t="s">
        <v>176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214</v>
      </c>
      <c r="G382" s="108" t="s">
        <v>198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254</v>
      </c>
      <c r="G383" s="111" t="s">
        <v>232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226</v>
      </c>
      <c r="G384" s="111" t="s">
        <v>218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252</v>
      </c>
      <c r="G385" s="111" t="s">
        <v>216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228</v>
      </c>
      <c r="G386" s="111" t="s">
        <v>230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234</v>
      </c>
      <c r="G387" s="111" t="s">
        <v>240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238</v>
      </c>
      <c r="G388" s="111" t="s">
        <v>224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246</v>
      </c>
      <c r="G389" s="111" t="s">
        <v>222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248</v>
      </c>
      <c r="G390" s="111" t="s">
        <v>250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244</v>
      </c>
      <c r="G391" s="111" t="s">
        <v>242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236</v>
      </c>
      <c r="G392" s="111" t="s">
        <v>220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240</v>
      </c>
      <c r="G393" s="111" t="s">
        <v>254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230</v>
      </c>
      <c r="G394" s="111" t="s">
        <v>234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216</v>
      </c>
      <c r="G395" s="111" t="s">
        <v>228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218</v>
      </c>
      <c r="G396" s="111" t="s">
        <v>252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232</v>
      </c>
      <c r="G397" s="111" t="s">
        <v>226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220</v>
      </c>
      <c r="G398" s="111" t="s">
        <v>238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242</v>
      </c>
      <c r="G399" s="111" t="s">
        <v>236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250</v>
      </c>
      <c r="G400" s="111" t="s">
        <v>244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222</v>
      </c>
      <c r="G401" s="111" t="s">
        <v>248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224</v>
      </c>
      <c r="G402" s="111" t="s">
        <v>246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254</v>
      </c>
      <c r="G403" s="111" t="s">
        <v>226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252</v>
      </c>
      <c r="G404" s="111" t="s">
        <v>232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228</v>
      </c>
      <c r="G405" s="111" t="s">
        <v>218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234</v>
      </c>
      <c r="G406" s="111" t="s">
        <v>216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240</v>
      </c>
      <c r="G407" s="111" t="s">
        <v>230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238</v>
      </c>
      <c r="G408" s="111" t="s">
        <v>246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248</v>
      </c>
      <c r="G409" s="111" t="s">
        <v>224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244</v>
      </c>
      <c r="G410" s="111" t="s">
        <v>222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236</v>
      </c>
      <c r="G411" s="111" t="s">
        <v>250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220</v>
      </c>
      <c r="G412" s="111" t="s">
        <v>242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230</v>
      </c>
      <c r="G413" s="111" t="s">
        <v>254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216</v>
      </c>
      <c r="G414" s="111" t="s">
        <v>240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218</v>
      </c>
      <c r="G415" s="111" t="s">
        <v>234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232</v>
      </c>
      <c r="G416" s="111" t="s">
        <v>228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226</v>
      </c>
      <c r="G417" s="111" t="s">
        <v>252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242</v>
      </c>
      <c r="G418" s="111" t="s">
        <v>238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250</v>
      </c>
      <c r="G419" s="111" t="s">
        <v>220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222</v>
      </c>
      <c r="G420" s="111" t="s">
        <v>236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224</v>
      </c>
      <c r="G421" s="111" t="s">
        <v>244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246</v>
      </c>
      <c r="G422" s="111" t="s">
        <v>248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254</v>
      </c>
      <c r="G423" s="111" t="s">
        <v>252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228</v>
      </c>
      <c r="G424" s="111" t="s">
        <v>226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234</v>
      </c>
      <c r="G425" s="111" t="s">
        <v>232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240</v>
      </c>
      <c r="G426" s="111" t="s">
        <v>218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230</v>
      </c>
      <c r="G427" s="111" t="s">
        <v>216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238</v>
      </c>
      <c r="G428" s="111" t="s">
        <v>248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244</v>
      </c>
      <c r="G429" s="111" t="s">
        <v>246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236</v>
      </c>
      <c r="G430" s="111" t="s">
        <v>224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220</v>
      </c>
      <c r="G431" s="111" t="s">
        <v>222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242</v>
      </c>
      <c r="G432" s="111" t="s">
        <v>250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216</v>
      </c>
      <c r="G433" s="111" t="s">
        <v>254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218</v>
      </c>
      <c r="G434" s="111" t="s">
        <v>230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232</v>
      </c>
      <c r="G435" s="111" t="s">
        <v>240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226</v>
      </c>
      <c r="G436" s="111" t="s">
        <v>234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252</v>
      </c>
      <c r="G437" s="111" t="s">
        <v>228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250</v>
      </c>
      <c r="G438" s="111" t="s">
        <v>238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222</v>
      </c>
      <c r="G439" s="111" t="s">
        <v>242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224</v>
      </c>
      <c r="G440" s="111" t="s">
        <v>220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246</v>
      </c>
      <c r="G441" s="111" t="s">
        <v>236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248</v>
      </c>
      <c r="G442" s="111" t="s">
        <v>244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254</v>
      </c>
      <c r="G443" s="111" t="s">
        <v>228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234</v>
      </c>
      <c r="G444" s="111" t="s">
        <v>252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226</v>
      </c>
      <c r="G445" s="111" t="s">
        <v>240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230</v>
      </c>
      <c r="G446" s="111" t="s">
        <v>232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216</v>
      </c>
      <c r="G447" s="111" t="s">
        <v>218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238</v>
      </c>
      <c r="G448" s="111" t="s">
        <v>244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236</v>
      </c>
      <c r="G449" s="111" t="s">
        <v>248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220</v>
      </c>
      <c r="G450" s="111" t="s">
        <v>246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242</v>
      </c>
      <c r="G451" s="111" t="s">
        <v>224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250</v>
      </c>
      <c r="G452" s="111" t="s">
        <v>222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254</v>
      </c>
      <c r="G453" s="111" t="s">
        <v>218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232</v>
      </c>
      <c r="G454" s="111" t="s">
        <v>216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226</v>
      </c>
      <c r="G455" s="111" t="s">
        <v>230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252</v>
      </c>
      <c r="G456" s="111" t="s">
        <v>240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234</v>
      </c>
      <c r="G457" s="111" t="s">
        <v>228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238</v>
      </c>
      <c r="G458" s="111" t="s">
        <v>222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224</v>
      </c>
      <c r="G459" s="111" t="s">
        <v>250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246</v>
      </c>
      <c r="G460" s="111" t="s">
        <v>242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248</v>
      </c>
      <c r="G461" s="111" t="s">
        <v>220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244</v>
      </c>
      <c r="G462" s="111" t="s">
        <v>236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234</v>
      </c>
      <c r="G463" s="111" t="s">
        <v>254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240</v>
      </c>
      <c r="G464" s="111" t="s">
        <v>228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230</v>
      </c>
      <c r="G465" s="111" t="s">
        <v>252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216</v>
      </c>
      <c r="G466" s="111" t="s">
        <v>226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218</v>
      </c>
      <c r="G467" s="111" t="s">
        <v>232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236</v>
      </c>
      <c r="G468" s="111" t="s">
        <v>238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220</v>
      </c>
      <c r="G469" s="111" t="s">
        <v>244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242</v>
      </c>
      <c r="G470" s="111" t="s">
        <v>248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250</v>
      </c>
      <c r="G471" s="111" t="s">
        <v>246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222</v>
      </c>
      <c r="G472" s="111" t="s">
        <v>224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232</v>
      </c>
      <c r="G473" s="111" t="s">
        <v>254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218</v>
      </c>
      <c r="G474" s="111" t="s">
        <v>226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216</v>
      </c>
      <c r="G475" s="111" t="s">
        <v>252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230</v>
      </c>
      <c r="G476" s="111" t="s">
        <v>228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240</v>
      </c>
      <c r="G477" s="111" t="s">
        <v>234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224</v>
      </c>
      <c r="G478" s="111" t="s">
        <v>238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222</v>
      </c>
      <c r="G479" s="111" t="s">
        <v>246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250</v>
      </c>
      <c r="G480" s="111" t="s">
        <v>248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242</v>
      </c>
      <c r="G481" s="111" t="s">
        <v>244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220</v>
      </c>
      <c r="G482" s="111" t="s">
        <v>236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254</v>
      </c>
      <c r="G483" s="111" t="s">
        <v>240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234</v>
      </c>
      <c r="G484" s="111" t="s">
        <v>230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228</v>
      </c>
      <c r="G485" s="111" t="s">
        <v>216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252</v>
      </c>
      <c r="G486" s="111" t="s">
        <v>218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226</v>
      </c>
      <c r="G487" s="111" t="s">
        <v>232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238</v>
      </c>
      <c r="G488" s="111" t="s">
        <v>220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236</v>
      </c>
      <c r="G489" s="111" t="s">
        <v>242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244</v>
      </c>
      <c r="G490" s="111" t="s">
        <v>250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248</v>
      </c>
      <c r="G491" s="111" t="s">
        <v>222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246</v>
      </c>
      <c r="G492" s="111" t="s">
        <v>224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226</v>
      </c>
      <c r="G493" s="111" t="s">
        <v>254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232</v>
      </c>
      <c r="G494" s="111" t="s">
        <v>252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218</v>
      </c>
      <c r="G495" s="111" t="s">
        <v>228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216</v>
      </c>
      <c r="G496" s="111" t="s">
        <v>234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230</v>
      </c>
      <c r="G497" s="111" t="s">
        <v>240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246</v>
      </c>
      <c r="G498" s="111" t="s">
        <v>238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224</v>
      </c>
      <c r="G499" s="111" t="s">
        <v>248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222</v>
      </c>
      <c r="G500" s="111" t="s">
        <v>244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250</v>
      </c>
      <c r="G501" s="111" t="s">
        <v>236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242</v>
      </c>
      <c r="G502" s="111" t="s">
        <v>220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254</v>
      </c>
      <c r="G503" s="111" t="s">
        <v>230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240</v>
      </c>
      <c r="G504" s="111" t="s">
        <v>216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234</v>
      </c>
      <c r="G505" s="111" t="s">
        <v>218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228</v>
      </c>
      <c r="G506" s="111" t="s">
        <v>232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252</v>
      </c>
      <c r="G507" s="111" t="s">
        <v>226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238</v>
      </c>
      <c r="G508" s="111" t="s">
        <v>242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220</v>
      </c>
      <c r="G509" s="111" t="s">
        <v>250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236</v>
      </c>
      <c r="G510" s="111" t="s">
        <v>222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244</v>
      </c>
      <c r="G511" s="111" t="s">
        <v>224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248</v>
      </c>
      <c r="G512" s="111" t="s">
        <v>246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252</v>
      </c>
      <c r="G513" s="111" t="s">
        <v>254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226</v>
      </c>
      <c r="G514" s="111" t="s">
        <v>228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232</v>
      </c>
      <c r="G515" s="111" t="s">
        <v>234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218</v>
      </c>
      <c r="G516" s="111" t="s">
        <v>240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216</v>
      </c>
      <c r="G517" s="111" t="s">
        <v>230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248</v>
      </c>
      <c r="G518" s="111" t="s">
        <v>238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246</v>
      </c>
      <c r="G519" s="111" t="s">
        <v>244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224</v>
      </c>
      <c r="G520" s="111" t="s">
        <v>236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222</v>
      </c>
      <c r="G521" s="111" t="s">
        <v>220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250</v>
      </c>
      <c r="G522" s="111" t="s">
        <v>242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254</v>
      </c>
      <c r="G523" s="111" t="s">
        <v>216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230</v>
      </c>
      <c r="G524" s="111" t="s">
        <v>218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240</v>
      </c>
      <c r="G525" s="111" t="s">
        <v>232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234</v>
      </c>
      <c r="G526" s="111" t="s">
        <v>226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228</v>
      </c>
      <c r="G527" s="111" t="s">
        <v>252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238</v>
      </c>
      <c r="G528" s="111" t="s">
        <v>250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242</v>
      </c>
      <c r="G529" s="111" t="s">
        <v>222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220</v>
      </c>
      <c r="G530" s="111" t="s">
        <v>224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236</v>
      </c>
      <c r="G531" s="111" t="s">
        <v>246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244</v>
      </c>
      <c r="G532" s="111" t="s">
        <v>248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228</v>
      </c>
      <c r="G533" s="111" t="s">
        <v>254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252</v>
      </c>
      <c r="G534" s="111" t="s">
        <v>234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240</v>
      </c>
      <c r="G535" s="111" t="s">
        <v>226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232</v>
      </c>
      <c r="G536" s="111" t="s">
        <v>230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218</v>
      </c>
      <c r="G537" s="111" t="s">
        <v>216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244</v>
      </c>
      <c r="G538" s="111" t="s">
        <v>238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248</v>
      </c>
      <c r="G539" s="111" t="s">
        <v>236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246</v>
      </c>
      <c r="G540" s="111" t="s">
        <v>220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224</v>
      </c>
      <c r="G541" s="111" t="s">
        <v>242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222</v>
      </c>
      <c r="G542" s="111" t="s">
        <v>250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218</v>
      </c>
      <c r="G543" s="111" t="s">
        <v>254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216</v>
      </c>
      <c r="G544" s="111" t="s">
        <v>232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230</v>
      </c>
      <c r="G545" s="111" t="s">
        <v>226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240</v>
      </c>
      <c r="G546" s="111" t="s">
        <v>252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228</v>
      </c>
      <c r="G547" s="111" t="s">
        <v>234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222</v>
      </c>
      <c r="G548" s="111" t="s">
        <v>238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250</v>
      </c>
      <c r="G549" s="111" t="s">
        <v>224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242</v>
      </c>
      <c r="G550" s="111" t="s">
        <v>246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220</v>
      </c>
      <c r="G551" s="111" t="s">
        <v>248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236</v>
      </c>
      <c r="G552" s="111" t="s">
        <v>244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254</v>
      </c>
      <c r="G553" s="111" t="s">
        <v>234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228</v>
      </c>
      <c r="G554" s="111" t="s">
        <v>240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252</v>
      </c>
      <c r="G555" s="111" t="s">
        <v>230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226</v>
      </c>
      <c r="G556" s="111" t="s">
        <v>216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232</v>
      </c>
      <c r="G557" s="111" t="s">
        <v>218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238</v>
      </c>
      <c r="G558" s="111" t="s">
        <v>236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244</v>
      </c>
      <c r="G559" s="111" t="s">
        <v>220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248</v>
      </c>
      <c r="G560" s="111" t="s">
        <v>242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246</v>
      </c>
      <c r="G561" s="111" t="s">
        <v>250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224</v>
      </c>
      <c r="G562" s="111" t="s">
        <v>222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REPORT_E2025035</v>
      </c>
    </row>
    <row r="2" spans="2:6" x14ac:dyDescent="0.25">
      <c r="F2" s="45" t="s">
        <v>705</v>
      </c>
    </row>
    <row r="3" spans="2:6" x14ac:dyDescent="0.25">
      <c r="B3" s="43" t="s">
        <v>706</v>
      </c>
      <c r="C3" s="43" t="str">
        <f>""""&amp;'SCOUT &amp; LOGISTICS'!B2&amp;TEXT('SCOUT &amp; LOGISTICS'!C2,"000")&amp;""""</f>
        <v>"E2025035"</v>
      </c>
      <c r="F3" s="45" t="str">
        <f t="shared" ref="F3:F16" si="0">""""&amp;B3&amp;"""" &amp; " : " &amp;C3&amp;","</f>
        <v>"name" : "E2025035",</v>
      </c>
    </row>
    <row r="4" spans="2:6" x14ac:dyDescent="0.25">
      <c r="B4" s="43" t="s">
        <v>707</v>
      </c>
      <c r="C4" s="43" t="str">
        <f>""""&amp;LEFT('SCOUT &amp; LOGISTICS'!B2,1) &amp; TEXT('SCOUT &amp; LOGISTICS'!C2,"000")&amp;""""</f>
        <v>"E035"</v>
      </c>
      <c r="F4" s="45" t="str">
        <f t="shared" si="0"/>
        <v>"cod" : "E035",</v>
      </c>
    </row>
    <row r="5" spans="2:6" x14ac:dyDescent="0.25">
      <c r="B5" s="43" t="s">
        <v>708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709</v>
      </c>
      <c r="C6" s="43" t="str">
        <f>TEXT('SCOUT &amp; LOGISTICS'!C2,"000")</f>
        <v>035</v>
      </c>
      <c r="F6" s="45" t="str">
        <f t="shared" si="0"/>
        <v>"number" : 035,</v>
      </c>
    </row>
    <row r="7" spans="2:6" x14ac:dyDescent="0.25">
      <c r="B7" s="43" t="s">
        <v>710</v>
      </c>
      <c r="C7" s="43" t="str">
        <f ca="1">""""&amp;TEXT('SCOUT &amp; LOGISTICS'!B3,"dd/mm/aaaa")&amp;""""</f>
        <v>"14/10/Tuesday"</v>
      </c>
      <c r="F7" s="45" t="str">
        <f t="shared" ca="1" si="0"/>
        <v>"date" : "14/10/Tuesday",</v>
      </c>
    </row>
    <row r="8" spans="2:6" x14ac:dyDescent="0.25">
      <c r="B8" s="43" t="s">
        <v>711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5">
      <c r="B9" s="43" t="s">
        <v>712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5">
      <c r="B10" s="43" t="s">
        <v>713</v>
      </c>
      <c r="C10" s="43" t="str">
        <f>""""&amp;IF('SCOUT &amp; LOGISTICS'!D6="","",'SCOUT &amp; LOGISTICS'!D6)&amp;""""</f>
        <v>"PETAR VASILJEVIC"</v>
      </c>
      <c r="F10" s="45" t="str">
        <f t="shared" si="0"/>
        <v>"Data_entry" : "PETAR VASILJEVIC",</v>
      </c>
    </row>
    <row r="11" spans="2:6" x14ac:dyDescent="0.25">
      <c r="B11" s="43" t="s">
        <v>714</v>
      </c>
      <c r="C11" s="43" t="str">
        <f>""""&amp;IF('SCOUT &amp; LOGISTICS'!D7="","",'SCOUT &amp; LOGISTICS'!D7)&amp;""""</f>
        <v>"IVANA VASILJEVIC"</v>
      </c>
      <c r="F11" s="45" t="str">
        <f t="shared" si="0"/>
        <v>"Caller_1" : "IVANA VASILJEVIC",</v>
      </c>
    </row>
    <row r="12" spans="2:6" x14ac:dyDescent="0.25">
      <c r="B12" s="43" t="s">
        <v>715</v>
      </c>
      <c r="C12" s="43" t="str">
        <f>""""&amp;IF('SCOUT &amp; LOGISTICS'!D8="","",'SCOUT &amp; LOGISTICS'!D8)&amp;""""</f>
        <v>"LUKA ANDRIC"</v>
      </c>
      <c r="F12" s="45" t="str">
        <f t="shared" si="0"/>
        <v>"Caller_2" : "LUKA ANDRIC",</v>
      </c>
    </row>
    <row r="13" spans="2:6" x14ac:dyDescent="0.25">
      <c r="B13" s="43" t="s">
        <v>50</v>
      </c>
      <c r="C13" s="43" t="str">
        <f>""""&amp;IF('SCOUT &amp; LOGISTICS'!D9="","",'SCOUT &amp; LOGISTICS'!D9)&amp;""""</f>
        <v>"BOJANA KRALJEVIC"</v>
      </c>
      <c r="F13" s="45" t="str">
        <f t="shared" si="0"/>
        <v>"Timerkeeper" : "BOJANA KRALJEVIC",</v>
      </c>
    </row>
    <row r="14" spans="2:6" x14ac:dyDescent="0.25">
      <c r="B14" s="43" t="s">
        <v>52</v>
      </c>
      <c r="C14" s="43" t="str">
        <f>""""&amp;IF('SCOUT &amp; LOGISTICS'!D10="","",'SCOUT &amp; LOGISTICS'!D10)&amp;""""</f>
        <v>"TEODORA DIMIC"</v>
      </c>
      <c r="F14" s="45" t="str">
        <f t="shared" si="0"/>
        <v>"Shotclock" : "TEODORA DIMIC",</v>
      </c>
    </row>
    <row r="15" spans="2:6" x14ac:dyDescent="0.25">
      <c r="B15" s="43" t="s">
        <v>49</v>
      </c>
      <c r="C15" s="43" t="str">
        <f>""""&amp;IF('SCOUT &amp; LOGISTICS'!D11="","",'SCOUT &amp; LOGISTICS'!D11)&amp;""""</f>
        <v>"ANA KRSTIC"</v>
      </c>
      <c r="F15" s="45" t="str">
        <f t="shared" si="0"/>
        <v>"IRS" : "ANA KRSTIC",</v>
      </c>
    </row>
    <row r="16" spans="2:6" x14ac:dyDescent="0.25">
      <c r="B16" s="43" t="s">
        <v>716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102</v>
      </c>
      <c r="C17" s="43" t="s">
        <v>705</v>
      </c>
      <c r="F17" s="45" t="str">
        <f>""""&amp;B17&amp;"""" &amp; " : " &amp;C17</f>
        <v>"logistics" : {</v>
      </c>
    </row>
    <row r="18" spans="2:6" x14ac:dyDescent="0.25">
      <c r="C18" s="43" t="s">
        <v>717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718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719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720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721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722</v>
      </c>
    </row>
    <row r="24" spans="2:6" x14ac:dyDescent="0.25">
      <c r="B24" s="43" t="s">
        <v>112</v>
      </c>
      <c r="C24" s="43" t="s">
        <v>705</v>
      </c>
      <c r="F24" s="45" t="str">
        <f>""""&amp;B24&amp;"""" &amp; " : " &amp;C24</f>
        <v>"scouting" : {</v>
      </c>
    </row>
    <row r="25" spans="2:6" x14ac:dyDescent="0.25">
      <c r="C25" s="43" t="s">
        <v>723</v>
      </c>
      <c r="D25" s="43">
        <f>'SCOUT &amp; LOGISTICS'!D3</f>
        <v>580</v>
      </c>
      <c r="F25" s="45" t="str">
        <f t="shared" ref="F25:F48" si="1">""""&amp;C25&amp;"""" &amp; " : " &amp;D25&amp;","</f>
        <v>"total_actions" : 580,</v>
      </c>
    </row>
    <row r="26" spans="2:6" x14ac:dyDescent="0.25">
      <c r="C26" s="43" t="s">
        <v>724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725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711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726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712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727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728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729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730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133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731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732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733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734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735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736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737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738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739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740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741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742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743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744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722</v>
      </c>
    </row>
    <row r="51" spans="2:6" x14ac:dyDescent="0.25">
      <c r="B51" s="43" t="s">
        <v>745</v>
      </c>
      <c r="C51" s="43" t="str">
        <f>""""&amp;IF('SCOUT &amp; LOGISTICS'!M4="","",'SCOUT &amp; LOGISTICS'!M4)&amp;""""</f>
        <v>"Excellent job! We'll manage to make some videos to clarify the criteria for assists."</v>
      </c>
      <c r="F51" s="45" t="str">
        <f>""""&amp;B51&amp;"""" &amp; " : " &amp;C51&amp;","</f>
        <v>"comments" : "Excellent job! We'll manage to make some videos to clarify the criteria for assists.",</v>
      </c>
    </row>
    <row r="52" spans="2:6" x14ac:dyDescent="0.25">
      <c r="B52" s="43" t="s">
        <v>746</v>
      </c>
      <c r="C52" s="43" t="str">
        <f>TEXT('SCOUT &amp; LOGISTICS'!F1,"0,0")</f>
        <v>04_035_TEL_BAR_E2025</v>
      </c>
      <c r="F52" s="45" t="str">
        <f>""""&amp;B52&amp;"""" &amp; " : " &amp;C52</f>
        <v>"result" : 04_035_TEL_BAR_E2025</v>
      </c>
    </row>
    <row r="53" spans="2:6" x14ac:dyDescent="0.25">
      <c r="F53" s="45" t="s">
        <v>747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748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E035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14/10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97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101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Maccabi Rapyd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Barcelona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PETAR VASILJEVIC</v>
      </c>
      <c r="C8" s="201"/>
      <c r="D8" s="201"/>
      <c r="E8" s="201"/>
      <c r="F8" s="201"/>
      <c r="G8" s="201" t="str">
        <f>IF('SCOUT &amp; LOGISTICS'!D7="","",'SCOUT &amp; LOGISTICS'!D7)</f>
        <v>IVANA VASILJEVIC</v>
      </c>
      <c r="H8" s="201"/>
      <c r="I8" s="201"/>
      <c r="J8" s="201"/>
      <c r="K8" s="201"/>
      <c r="L8" s="201" t="str">
        <f>IF('SCOUT &amp; LOGISTICS'!D8="","",'SCOUT &amp; LOGISTICS'!D8)</f>
        <v>LUKA ANDRIC</v>
      </c>
      <c r="M8" s="201"/>
      <c r="N8" s="201"/>
      <c r="O8" s="201"/>
      <c r="P8" s="201"/>
      <c r="Q8" s="201" t="str">
        <f>IF('SCOUT &amp; LOGISTICS'!D9="","",'SCOUT &amp; LOGISTICS'!D9)</f>
        <v>BOJANA KRALJEVIC</v>
      </c>
      <c r="R8" s="201"/>
      <c r="S8" s="201"/>
      <c r="T8" s="201"/>
      <c r="U8" s="201"/>
      <c r="V8" s="201" t="str">
        <f>IF('SCOUT &amp; LOGISTICS'!D10="","",'SCOUT &amp; LOGISTICS'!D10)</f>
        <v>TEODORA DIMIC</v>
      </c>
      <c r="W8" s="201"/>
      <c r="X8" s="201"/>
      <c r="Y8" s="201"/>
      <c r="Z8" s="201"/>
      <c r="AA8" s="201" t="str">
        <f>IF('SCOUT &amp; LOGISTICS'!D11="","",'SCOUT &amp; LOGISTICS'!D11)</f>
        <v>ANA KRSTIC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11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68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749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750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751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752</v>
      </c>
    </row>
    <row r="17" spans="1:32" ht="20.149999999999999" customHeight="1" thickBot="1" x14ac:dyDescent="0.3">
      <c r="A17" s="48"/>
      <c r="B17" s="203">
        <f>'SCOUT &amp; LOGISTICS'!D3</f>
        <v>580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5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8.6206896551724137E-3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101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3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753</v>
      </c>
      <c r="C21" s="198"/>
      <c r="D21" s="198"/>
      <c r="E21" s="198"/>
      <c r="F21" s="198"/>
      <c r="G21" s="198"/>
      <c r="H21" s="198" t="s">
        <v>754</v>
      </c>
      <c r="I21" s="198"/>
      <c r="J21" s="198"/>
      <c r="K21" s="198"/>
      <c r="L21" s="198"/>
      <c r="M21" s="198"/>
      <c r="N21" s="198" t="s">
        <v>755</v>
      </c>
      <c r="O21" s="198"/>
      <c r="P21" s="198"/>
      <c r="Q21" s="198"/>
      <c r="R21" s="198"/>
      <c r="S21" s="198"/>
      <c r="T21" s="198" t="s">
        <v>756</v>
      </c>
      <c r="U21" s="198"/>
      <c r="V21" s="198"/>
      <c r="W21" s="198"/>
      <c r="X21" s="198"/>
      <c r="Y21" s="198"/>
      <c r="Z21" s="198" t="s">
        <v>757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2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758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759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5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12</v>
      </c>
      <c r="C26" s="198"/>
      <c r="D26" s="198"/>
      <c r="E26" s="198"/>
      <c r="F26" s="198"/>
      <c r="G26" s="198" t="s">
        <v>13</v>
      </c>
      <c r="H26" s="198"/>
      <c r="I26" s="198"/>
      <c r="J26" s="198"/>
      <c r="K26" s="198"/>
      <c r="L26" s="198" t="s">
        <v>17</v>
      </c>
      <c r="M26" s="198"/>
      <c r="N26" s="198"/>
      <c r="O26" s="198"/>
      <c r="P26" s="198"/>
      <c r="Q26" s="198" t="s">
        <v>760</v>
      </c>
      <c r="R26" s="198"/>
      <c r="S26" s="198"/>
      <c r="T26" s="198"/>
      <c r="U26" s="198"/>
      <c r="V26" s="198" t="s">
        <v>761</v>
      </c>
      <c r="W26" s="198"/>
      <c r="X26" s="198"/>
      <c r="Y26" s="198"/>
      <c r="Z26" s="198"/>
      <c r="AA26" s="207" t="s">
        <v>762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3</v>
      </c>
      <c r="C27" s="199"/>
      <c r="D27" s="199"/>
      <c r="E27" s="199"/>
      <c r="F27" s="199"/>
      <c r="G27" s="199">
        <f>'SCOUT &amp; LOGISTICS'!AC22</f>
        <v>2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16</v>
      </c>
      <c r="C28" s="198"/>
      <c r="D28" s="198"/>
      <c r="E28" s="198"/>
      <c r="F28" s="198"/>
      <c r="G28" s="198" t="s">
        <v>14</v>
      </c>
      <c r="H28" s="198"/>
      <c r="I28" s="198"/>
      <c r="J28" s="198"/>
      <c r="K28" s="198"/>
      <c r="L28" s="207" t="s">
        <v>15</v>
      </c>
      <c r="M28" s="198"/>
      <c r="N28" s="198"/>
      <c r="O28" s="198"/>
      <c r="P28" s="198"/>
      <c r="Q28" s="198" t="s">
        <v>22</v>
      </c>
      <c r="R28" s="198"/>
      <c r="S28" s="198"/>
      <c r="T28" s="198"/>
      <c r="U28" s="198"/>
      <c r="V28" s="198" t="s">
        <v>23</v>
      </c>
      <c r="W28" s="198"/>
      <c r="X28" s="198"/>
      <c r="Y28" s="198"/>
      <c r="Z28" s="198"/>
      <c r="AA28" s="198" t="s">
        <v>93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763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Excellent job! We'll manage to make some videos to clarify the criteria for assists.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764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4.3620689655172411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2EB2CBE-A1BA-4E43-B0A2-522CFEED2F33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Propietario</dc:creator>
  <cp:keywords/>
  <dc:description/>
  <cp:lastModifiedBy>Xavi Mateu</cp:lastModifiedBy>
  <cp:revision/>
  <cp:lastPrinted>2025-10-16T14:43:52Z</cp:lastPrinted>
  <dcterms:created xsi:type="dcterms:W3CDTF">2023-09-19T19:50:35Z</dcterms:created>
  <dcterms:modified xsi:type="dcterms:W3CDTF">2025-10-16T14:44:26Z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