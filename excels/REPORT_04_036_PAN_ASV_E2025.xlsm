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37" documentId="8_{8294BDCC-2840-43D9-8681-B4B3507A8F1D}" xr6:coauthVersionLast="47" xr6:coauthVersionMax="47" xr10:uidLastSave="{BF700168-AAE2-4A80-96EE-9DEBE343A33D}"/>
  <bookViews>
    <workbookView xWindow="0" yWindow="-16200" windowWidth="28860" windowHeight="1590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<sst xmlns="http://schemas.openxmlformats.org/spreadsheetml/2006/main" count="3250" uniqueCount="758">
  <si>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</si>
  <si>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</si>
  <si>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</si>
  <si>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</si>
  <si>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</si>
  <si>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</si>
  <si>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</si>
  <si>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</si>
  <si>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</si>
  <si>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</si>
  <si>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</si>
  <si>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</si>
  <si>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</si>
  <si>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</si>
  <si>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</si>
  <si>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</si>
  <si>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</si>
  <si>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</si>
  <si>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</si>
  <si>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</si>
  <si>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</si>
  <si>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</si>
  <si>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</si>
  <si>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</si>
  <si>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</si>
  <si>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</si>
  <si>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</si>
  <si>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</si>
  <si>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</si>
  <si>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</si>
  <si>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</si>
  <si>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</si>
  <si>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</si>
  <si>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</si>
  <si>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</si>
  <si>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</si>
  <si>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</si>
  <si>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</si>
  <si>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</si>
  <si>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</si>
  <si>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</si>
  <si>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</si>
  <si>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</si>
  <si>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</si>
  <si>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</si>
  <si>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</si>
  <si>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</si>
  <si>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</si>
  <si>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</si>
  <si>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</si>
  <si>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</si>
  <si>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</si>
  <si>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</si>
  <si>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</si>
  <si>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</si>
  <si>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</si>
  <si>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</si>
  <si>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</si>
  <si>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</si>
  <si>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</si>
  <si>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</si>
  <si>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</si>
  <si>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</si>
  <si>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</si>
  <si>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</si>
  <si>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</si>
  <si>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</si>
  <si>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</si>
  <si>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</si>
  <si>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</si>
  <si>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</si>
  <si>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</si>
  <si>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</si>
  <si>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</si>
  <si>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</si>
  <si>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</si>
  <si>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</si>
  <si>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</si>
  <si>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</si>
  <si>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</si>
  <si>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</si>
  <si>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</si>
  <si>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</si>
  <si>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</si>
  <si>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</si>
  <si>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</si>
  <si>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</si>
  <si>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</si>
  <si>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</si>
  <si>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</si>
  <si>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</si>
  <si>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</si>
  <si>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</si>
  <si>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</si>
  <si>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</si>
  <si>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</si>
  <si>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</si>
  <si>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</si>
  <si>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</si>
  <si>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</si>
  <si>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</si>
  <si>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</si>
  <si>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</si>
  <si>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</si>
  <si>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</si>
  <si>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</si>
  <si>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</si>
  <si>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</si>
  <si>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</si>
  <si>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</si>
  <si>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</si>
  <si>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</si>
  <si>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</si>
  <si>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</si>
  <si>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</si>
  <si>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</si>
  <si>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</si>
  <si>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</si>
  <si>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</si>
  <si>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</si>
  <si>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</si>
  <si>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</si>
  <si>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</si>
  <si>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</si>
  <si>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</si>
  <si>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</si>
  <si>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</si>
  <si>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</si>
  <si>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</si>
  <si>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</si>
  <si>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</si>
  <si>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</si>
  <si>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</si>
  <si>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</si>
  <si>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</si>
  <si>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</si>
  <si>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</si>
  <si>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</si>
  <si>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</si>
  <si>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</si>
  <si>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</si>
  <si>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</si>
  <si>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</si>
  <si>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</si>
  <si>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</si>
  <si>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</si>
  <si>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</si>
  <si>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</si>
  <si>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</si>
  <si>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</si>
  <si>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</si>
  <si>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</si>
  <si>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</si>
  <si>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</si>
  <si>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</si>
  <si>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</si>
  <si>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</si>
  <si>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</si>
  <si>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</si>
  <si>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</si>
  <si>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</si>
  <si>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</si>
  <si>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</si>
  <si>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</si>
  <si>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</si>
  <si>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</si>
  <si>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</si>
  <si>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</si>
  <si>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</si>
  <si>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</si>
  <si>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</si>
  <si>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</si>
  <si>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</si>
  <si>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</si>
  <si>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</si>
  <si>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</si>
  <si>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</si>
  <si>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</si>
  <si>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</si>
  <si>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</si>
  <si>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</si>
  <si>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</si>
  <si>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</si>
  <si>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</si>
  <si>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</si>
  <si>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</si>
  <si>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</si>
  <si>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</si>
  <si>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</si>
  <si>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</si>
  <si>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</si>
  <si>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</si>
  <si>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</si>
  <si>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</si>
  <si>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</si>
  <si>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</si>
  <si>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</si>
  <si>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</si>
  <si>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</si>
  <si>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</si>
  <si>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</si>
  <si>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</si>
  <si>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</si>
  <si>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</si>
  <si>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</si>
  <si>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</si>
  <si>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</si>
  <si>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</si>
  <si>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</si>
  <si>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</si>
  <si>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</si>
  <si>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</si>
  <si>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</si>
  <si>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</si>
  <si>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</si>
  <si>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</si>
  <si>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</si>
  <si>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</si>
  <si>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</si>
  <si>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</si>
  <si>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</si>
  <si>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</si>
  <si>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</si>
  <si>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</si>
  <si>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</si>
  <si>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</si>
  <si>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</si>
  <si>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</si>
  <si>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</si>
  <si>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</si>
  <si>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</si>
  <si>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</si>
  <si>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</si>
  <si>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</si>
  <si>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</si>
  <si>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</si>
  <si>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</si>
  <si>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</si>
  <si>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</si>
  <si>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</si>
  <si>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</si>
  <si>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</si>
  <si>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</si>
  <si>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</si>
  <si>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</si>
  <si>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</si>
  <si>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</si>
  <si>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</si>
  <si>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</si>
  <si>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</si>
  <si>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</si>
  <si>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</si>
  <si>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</si>
  <si>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</si>
  <si>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</si>
  <si>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</si>
  <si>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</si>
  <si>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</si>
  <si>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</si>
  <si>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</si>
  <si>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</si>
  <si>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</si>
  <si>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</si>
  <si>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</si>
  <si>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</si>
  <si>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</si>
  <si>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</si>
  <si>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</si>
  <si>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</si>
  <si>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</si>
  <si>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</si>
  <si>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</si>
  <si>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</si>
  <si>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</si>
  <si>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</si>
  <si>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</si>
  <si>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</si>
  <si>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</si>
  <si>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</si>
  <si>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</si>
  <si>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</si>
  <si>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</si>
  <si>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</si>
  <si>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</si>
  <si>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</si>
  <si>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</si>
  <si>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</si>
  <si>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</si>
  <si>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</si>
  <si>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</si>
  <si>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</si>
  <si>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</si>
  <si>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</si>
  <si>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</si>
  <si>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</si>
  <si>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</si>
  <si>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</si>
  <si>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</si>
  <si>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</si>
  <si>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</si>
  <si>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</si>
  <si>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</si>
  <si>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</si>
  <si>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</si>
  <si>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</si>
  <si>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</si>
  <si>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</si>
  <si>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</si>
  <si>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</si>
  <si>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</si>
  <si>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</si>
  <si>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</si>
  <si>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</si>
  <si>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</si>
  <si>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</si>
  <si>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</si>
  <si>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</si>
  <si>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</si>
  <si>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</si>
  <si>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</si>
  <si>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</si>
  <si>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</si>
  <si>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</si>
  <si>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</si>
  <si>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</si>
  <si>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</si>
  <si>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</si>
  <si>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</si>
  <si>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</si>
  <si>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</si>
  <si>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</si>
  <si>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</si>
  <si>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</si>
  <si>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</si>
  <si>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</si>
  <si>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</si>
  <si>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</si>
  <si>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</si>
  <si>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</si>
  <si>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</si>
  <si>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</si>
  <si>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</si>
  <si>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</si>
  <si>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</si>
  <si>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</si>
  <si>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</si>
  <si>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</si>
  <si>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</si>
  <si>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</si>
  <si>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</si>
  <si>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</si>
  <si>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</si>
  <si>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</si>
  <si>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</si>
  <si>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</si>
  <si>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</si>
  <si>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</si>
  <si>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</si>
  <si>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</si>
  <si>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</si>
  <si>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</si>
  <si>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</si>
  <si>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</si>
  <si>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</si>
  <si>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</si>
  <si>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</si>
  <si>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</si>
  <si>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</si>
  <si>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</si>
  <si>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</si>
  <si>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</si>
  <si>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</si>
  <si>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</si>
  <si>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</si>
  <si>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</si>
  <si>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</si>
  <si>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</si>
  <si>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</si>
  <si>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</si>
  <si>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</si>
  <si>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</si>
  <si>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</si>
  <si>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</si>
  <si>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</si>
  <si>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</si>
  <si>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</si>
  <si>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</si>
  <si>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</si>
  <si>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</si>
  <si>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</si>
  <si>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</si>
  <si>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</si>
  <si>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</si>
  <si>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</si>
  <si>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</si>
  <si>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</si>
  <si>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</si>
  <si>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</si>
  <si>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</si>
  <si>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</si>
  <si>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</si>
  <si>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</si>
  <si>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</si>
  <si>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</si>
  <si>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</si>
  <si>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</si>
  <si>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</si>
  <si>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</si>
  <si>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</si>
  <si>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</si>
  <si>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</si>
  <si>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</si>
  <si>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</si>
  <si>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</si>
  <si>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</si>
  <si>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</si>
  <si>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</si>
  <si>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</si>
  <si>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</si>
  <si>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</si>
  <si>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</si>
  <si>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</si>
  <si>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</si>
  <si>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</si>
  <si>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</si>
  <si>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</si>
  <si>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</si>
  <si>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</si>
  <si>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</si>
  <si>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</si>
  <si>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</si>
  <si>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</si>
  <si>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</si>
  <si>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</si>
  <si>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</si>
  <si>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</si>
  <si>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</si>
  <si>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</si>
  <si>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</si>
  <si>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</si>
  <si>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</si>
  <si>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</si>
  <si>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</si>
  <si>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</si>
  <si>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</si>
  <si>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</si>
  <si>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</si>
  <si>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</si>
  <si>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</si>
  <si>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</si>
  <si>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</si>
  <si>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</si>
  <si>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</si>
  <si>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</si>
  <si>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</si>
  <si>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</si>
  <si>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</si>
  <si>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</si>
  <si>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</si>
  <si>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</si>
  <si>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</si>
  <si>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</si>
  <si>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</si>
  <si>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</si>
  <si>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</si>
  <si>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</si>
  <si>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</si>
  <si>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</si>
  <si>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</si>
  <si>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</si>
  <si>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</si>
  <si>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</si>
  <si>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</si>
  <si>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</si>
  <si>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</si>
  <si>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</si>
  <si>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</si>
  <si>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</si>
  <si>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</si>
  <si>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</si>
  <si>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</si>
  <si>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</si>
  <si>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</si>
  <si>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</si>
  <si>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</si>
  <si>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</si>
  <si>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</si>
  <si>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</si>
  <si>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</si>
  <si>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</si>
  <si>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</si>
  <si>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</si>
  <si>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</si>
  <si>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</si>
  <si>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</si>
  <si>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</si>
  <si>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</si>
  <si>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</si>
  <si>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</si>
  <si>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</si>
  <si>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</si>
  <si>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</si>
  <si>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</si>
  <si>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</si>
  <si>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</si>
  <si>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</si>
  <si>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</si>
  <si>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</si>
  <si>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</si>
  <si>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</si>
  <si>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</si>
  <si>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</si>
  <si>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</si>
  <si>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</si>
  <si>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</si>
  <si>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</si>
  <si>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</si>
  <si>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</si>
  <si>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</si>
  <si>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</si>
  <si>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</si>
  <si>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</si>
  <si>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</si>
  <si>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</si>
  <si>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</si>
  <si>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</si>
  <si>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</si>
  <si>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</si>
  <si>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</si>
  <si>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</si>
  <si>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</si>
  <si>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</si>
  <si>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</si>
  <si>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</si>
  <si>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</si>
  <si>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</si>
  <si>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</si>
  <si>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</si>
  <si>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</si>
  <si>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</si>
  <si>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</si>
  <si>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</si>
  <si>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</si>
  <si>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</si>
  <si>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</si>
  <si>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</si>
  <si>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</si>
  <si>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</si>
  <si>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</si>
  <si>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</si>
  <si>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</si>
  <si>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</si>
  <si>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</si>
  <si>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</si>
  <si>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</si>
  <si>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</si>
  <si>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</si>
  <si>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</si>
  <si>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</si>
  <si>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</si>
  <si>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</si>
  <si>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</si>
  <si>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</si>
  <si>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</si>
  <si>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</si>
  <si>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</si>
  <si>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</si>
  <si>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</si>
  <si>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</si>
  <si>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</si>
  <si>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</si>
  <si>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</si>
  <si>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</si>
  <si>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</si>
  <si>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</si>
  <si>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</si>
  <si>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</si>
  <si>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</si>
  <si>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</si>
  <si>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</si>
  <si>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</si>
  <si>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</si>
  <si>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</si>
  <si>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</si>
  <si>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</si>
  <si>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</si>
  <si>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</si>
  <si>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</si>
  <si>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</si>
  <si>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</si>
  <si>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</si>
  <si>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</si>
  <si>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</si>
  <si>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</si>
  <si>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</si>
  <si>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</si>
  <si>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</si>
  <si>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</si>
  <si>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</si>
  <si>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</si>
  <si>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</si>
  <si>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</si>
  <si>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</si>
  <si>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</si>
  <si>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</si>
  <si>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</si>
  <si>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</si>
  <si>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</si>
  <si>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</si>
  <si>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</si>
  <si>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</si>
  <si>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</si>
  <si>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</si>
  <si>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</si>
  <si>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</si>
  <si>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</si>
  <si>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</si>
  <si>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</si>
  <si>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</si>
  <si>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</si>
  <si>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</si>
  <si>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</si>
  <si>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</si>
  <si>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</si>
  <si>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</si>
  <si>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</si>
  <si>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</si>
  <si>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</si>
  <si>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</si>
  <si>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</si>
  <si>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</si>
  <si>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</si>
  <si>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</si>
  <si>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</si>
  <si>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</si>
  <si>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</si>
  <si>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</si>
  <si>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</si>
  <si>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</si>
  <si>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</si>
  <si>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</si>
  <si>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</si>
  <si>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</si>
  <si>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</si>
  <si>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</si>
  <si>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</si>
  <si>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</si>
  <si>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</si>
  <si>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</si>
  <si>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</si>
  <si>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</si>
  <si>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</si>
  <si>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</si>
  <si>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</si>
  <si>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</si>
  <si>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</si>
  <si>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</si>
  <si>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</si>
  <si>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</si>
  <si>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</si>
  <si>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</si>
  <si>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</si>
  <si>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</si>
  <si>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</si>
  <si>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</si>
  <si>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</si>
  <si>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</si>
  <si>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</si>
  <si>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</si>
  <si>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</si>
  <si>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</si>
  <si>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</si>
  <si>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</si>
  <si>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</si>
  <si>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</si>
  <si>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</si>
  <si>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</si>
  <si>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</si>
  <si>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</si>
  <si>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</si>
  <si>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</si>
  <si>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</si>
  <si>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</si>
  <si>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</si>
  <si>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</si>
  <si>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</si>
  <si>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</si>
  <si>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</si>
  <si>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</si>
  <si>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</si>
  <si>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</si>
  <si>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</si>
  <si>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</si>
  <si>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</si>
  <si>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</si>
  <si>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</si>
  <si>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</si>
  <si>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</si>
  <si>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</si>
  <si>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</si>
  <si>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</si>
  <si>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</si>
  <si>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</si>
  <si>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</si>
  <si>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</si>
  <si>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</si>
  <si>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</si>
  <si>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</si>
  <si>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</si>
  <si>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</si>
  <si>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</si>
  <si>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</si>
  <si>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</si>
  <si>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</si>
  <si>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</si>
  <si>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</si>
  <si>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</si>
  <si>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</si>
  <si>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</si>
  <si>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</si>
  <si>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</si>
  <si>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</si>
  <si>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</si>
  <si>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</si>
  <si>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</si>
  <si>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</si>
  <si>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</si>
  <si>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</si>
  <si>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</si>
  <si>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</si>
  <si>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</si>
  <si>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</si>
  <si>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</si>
  <si>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</si>
  <si>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</si>
  <si>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</si>
  <si>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</si>
  <si>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</si>
  <si>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</si>
  <si>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</si>
  <si>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</si>
  <si>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</si>
  <si>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</si>
  <si>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</si>
  <si>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</si>
  <si>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</si>
  <si>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</si>
  <si>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</si>
  <si>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</si>
  <si>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NEREA FRAILE</t>
  </si>
  <si>
    <t>PANAGIOTIS MORATIS</t>
  </si>
  <si>
    <t>MARIA TRIANTAFYLLOU</t>
  </si>
  <si>
    <t>THEODOROS TZAMALOUKAS</t>
  </si>
  <si>
    <t>ANASTASIOS KALESIORIS</t>
  </si>
  <si>
    <t>C:\Users\nerea.fraile\EUROLEAGUE\EB STATS - Documents\General\SEASON 2025-26\Reports\Euroleague\PDF</t>
  </si>
  <si>
    <t>04:05</t>
  </si>
  <si>
    <t>Very good job! Good comunication and very good decisions. It was a pleasure.</t>
  </si>
  <si>
    <t>C:\Users\nerea.fraile\EUROLEAGUE\EB STATS - Documents\General\SEASON 2025-26\Reports\Euroleague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</si>
</sst>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04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04_036_PAN_ASV_E2025</v>
      </c>
      <c r="G1" s="5"/>
      <c r="H1" s="5"/>
      <c r="I1" s="5"/>
      <c r="J1" s="8" t="s">
        <v>707</v>
      </c>
      <c r="K1" s="121" t="s">
        <v>757</v>
      </c>
      <c r="L1" s="121"/>
      <c r="M1" s="122" t="s">
        <v>239</v>
      </c>
      <c r="N1" s="121" t="s">
        <v>754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36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45945.885416666664</v>
      </c>
      <c r="C3" s="178"/>
      <c r="D3" s="39">
        <v>570</v>
      </c>
      <c r="E3" s="29"/>
      <c r="F3" s="26">
        <f>SUBTOTAL(3,I17:I106)</f>
        <v>1</v>
      </c>
      <c r="G3" s="27">
        <f>IF(OR(D3="",D3=0),"",F3/D3)</f>
        <v>1.7543859649122807E-3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Panathinaikos AKTOR Athens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PAN</v>
      </c>
      <c r="I4" s="5"/>
      <c r="J4" s="119" t="s">
        <v>714</v>
      </c>
      <c r="K4" s="54" t="s">
        <v>742</v>
      </c>
      <c r="L4" s="5"/>
      <c r="M4" s="185" t="s">
        <v>756</v>
      </c>
      <c r="N4" s="186"/>
      <c r="O4" s="2"/>
      <c r="P4" s="2"/>
      <c r="Q4" s="84" t="s">
        <v>175</v>
      </c>
      <c r="R4" s="94">
        <f>(IF(G3="",0,G3))</f>
        <v>1.7543859649122807E-3</v>
      </c>
      <c r="S4" s="61">
        <f>SUM(I13:M13)</f>
        <v>0</v>
      </c>
      <c r="T4" s="78"/>
      <c r="U4" s="61">
        <f>AC18</f>
        <v>0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LDLC ASVEL Villeurbanne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ASV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0.17543859649122806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729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730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1.1754385964912282</v>
      </c>
      <c r="N7" s="58"/>
      <c r="O7" s="2"/>
      <c r="P7" s="2"/>
      <c r="Q7" s="86">
        <f>SUM(R5,S5,AC16)</f>
        <v>1.1754385964912282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750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1.1754385964912282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751</v>
      </c>
      <c r="E9" s="159"/>
      <c r="F9" s="159"/>
      <c r="G9" s="160"/>
      <c r="H9" s="130" t="str">
        <f>VLOOKUP($H$4,Teams!$B$3:$O$44,3,FALSE)</f>
        <v>EMMANOUIL SMPOKOS</v>
      </c>
      <c r="I9" s="130" t="str">
        <f>VLOOKUP($H$4,Teams!$B$3:$O$44,3,FALSE)</f>
        <v>EMMANOUIL SMPOKOS</v>
      </c>
      <c r="J9" s="130" t="str">
        <f>VLOOKUP($H$4,Teams!$B$3:$O$44,5,FALSE)</f>
        <v>PANAGIOTIS MORAITIS</v>
      </c>
      <c r="K9" s="130" t="str">
        <f>VLOOKUP($H$4,Teams!$B$3:$O$44,6,FALSE)</f>
        <v>MARIA MERIKA</v>
      </c>
      <c r="L9" s="130" t="str">
        <f>VLOOKUP($H$4,Teams!$B$3:$O$44,7,FALSE)</f>
        <v>PANAGIOTA TSICHLI</v>
      </c>
      <c r="M9" s="131" t="str">
        <f>VLOOKUP($H$4,Teams!$B$3:$O$44,8,FALSE)</f>
        <v>KONSTANTINOS TROUPIS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752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 t="s">
        <v>753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36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</v>
      </c>
      <c r="J15" s="24">
        <f>SUBTOTAL(3,J17:J106)</f>
        <v>1</v>
      </c>
      <c r="K15" s="24">
        <f>SUBTOTAL(3,K17:K106)</f>
        <v>1</v>
      </c>
      <c r="L15" s="24">
        <f>SUBTOTAL(3,L17:L106)</f>
        <v>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</v>
      </c>
      <c r="Z16" s="90" t="s">
        <v>110</v>
      </c>
      <c r="AA16" s="75">
        <f>SUM(AA17:AA24)</f>
        <v>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36</v>
      </c>
      <c r="D17" s="32" t="s">
        <v>755</v>
      </c>
      <c r="E17" s="33">
        <v>2</v>
      </c>
      <c r="F17" s="36">
        <v>38</v>
      </c>
      <c r="G17" s="36">
        <v>34</v>
      </c>
      <c r="H17" s="38" t="str">
        <f>IF(I17="","",$I$14)</f>
        <v>SCOUTING</v>
      </c>
      <c r="I17" s="34">
        <v>210</v>
      </c>
      <c r="J17" s="13" t="s">
        <v>4</v>
      </c>
      <c r="K17" s="13" t="s">
        <v>63</v>
      </c>
      <c r="L17" s="13" t="s">
        <v>6</v>
      </c>
      <c r="M17" s="13" t="s">
        <v>22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disablePrompts="1"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REPORT_E2025036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"E2025036"</v>
      </c>
      <c r="F3" s="45" t="str">
        <f t="shared" ref="F3:F16" si="0">""""&amp;B3&amp;"""" &amp; " : " &amp;C3&amp;","</f>
        <v>"name" : "E2025036",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"E036"</v>
      </c>
      <c r="F4" s="45" t="str">
        <f t="shared" si="0"/>
        <v>"cod" : "E036",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036</v>
      </c>
      <c r="F6" s="45" t="str">
        <f t="shared" si="0"/>
        <v>"number" : 036,</v>
      </c>
    </row>
    <row r="7" spans="2:6" x14ac:dyDescent="0.25">
      <c r="B7" s="43" t="s">
        <v>116</v>
      </c>
      <c r="C7" s="43" t="str">
        <f ca="1">""""&amp;TEXT('SCOUT &amp; LOGISTICS'!B3,"dd/mm/aaaa")&amp;""""</f>
        <v>"15/10/Wednesday"</v>
      </c>
      <c r="F7" s="45" t="str">
        <f t="shared" ca="1" si="0"/>
        <v>"date" : "15/10/Wednesday",</v>
      </c>
    </row>
    <row r="8" spans="2:6" x14ac:dyDescent="0.25">
      <c r="B8" s="43" t="s">
        <v>125</v>
      </c>
      <c r="C8" s="43" t="str">
        <f>""""&amp;'SCOUT &amp; LOGISTICS'!D4 &amp;""""</f>
        <v>"Panathinaikos AKTOR Athens"</v>
      </c>
      <c r="F8" s="45" t="str">
        <f t="shared" si="0"/>
        <v>"home_team" : "Panathinaikos AKTOR Athens",</v>
      </c>
    </row>
    <row r="9" spans="2:6" x14ac:dyDescent="0.25">
      <c r="B9" s="43" t="s">
        <v>126</v>
      </c>
      <c r="C9" s="43" t="str">
        <f>""""&amp;'SCOUT &amp; LOGISTICS'!D5&amp;""""</f>
        <v>"LDLC ASVEL Villeurbanne"</v>
      </c>
      <c r="F9" s="45" t="str">
        <f t="shared" si="0"/>
        <v>"away_team" : "LDLC ASVEL Villeurbanne",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"EMMANOUIL SMPOKOS"</v>
      </c>
      <c r="F10" s="45" t="str">
        <f t="shared" si="0"/>
        <v>"Data_entry" : "EMMANOUIL SMPOKOS",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"TILEMACHOS KAVVADIAS"</v>
      </c>
      <c r="F11" s="45" t="str">
        <f t="shared" si="0"/>
        <v>"Caller_1" : "TILEMACHOS KAVVADIAS",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"PANAGIOTIS MORATIS"</v>
      </c>
      <c r="F12" s="45" t="str">
        <f t="shared" si="0"/>
        <v>"Caller_2" : "PANAGIOTIS MORATIS",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"MARIA TRIANTAFYLLOU"</v>
      </c>
      <c r="F13" s="45" t="str">
        <f t="shared" si="0"/>
        <v>"Timerkeeper" : "MARIA TRIANTAFYLLOU",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"THEODOROS TZAMALOUKAS"</v>
      </c>
      <c r="F14" s="45" t="str">
        <f t="shared" si="0"/>
        <v>"Shotclock" : "THEODOROS TZAMALOUKAS",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"ANASTASIOS KALESIORIS"</v>
      </c>
      <c r="F15" s="45" t="str">
        <f t="shared" si="0"/>
        <v>"IRS" : "ANASTASIOS KALESIORIS",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"NEREA FRAILE"</v>
      </c>
      <c r="F16" s="45" t="str">
        <f t="shared" si="0"/>
        <v>"Live_Game_Manager" : "NEREA FRAILE",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570</v>
      </c>
      <c r="F25" s="45" t="str">
        <f t="shared" ref="F25:F48" si="1">""""&amp;C25&amp;"""" &amp; " : " &amp;D25&amp;","</f>
        <v>"total_actions" : 570,</v>
      </c>
    </row>
    <row r="26" spans="2:6" x14ac:dyDescent="0.25">
      <c r="C26" s="43" t="s">
        <v>132</v>
      </c>
      <c r="D26" s="43">
        <f>'SCOUT &amp; LOGISTICS'!F3</f>
        <v>1</v>
      </c>
      <c r="F26" s="45" t="str">
        <f t="shared" si="1"/>
        <v>"total_correcions" : 1,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</v>
      </c>
      <c r="F37" s="45" t="str">
        <f t="shared" si="1"/>
        <v>"scoresheet_corrections" : 1,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 Good comunication and very good decisions. It was a pleasure."</v>
      </c>
      <c r="F51" s="45" t="str">
        <f>""""&amp;B51&amp;"""" &amp; " : " &amp;C51&amp;","</f>
        <v>"comments" : "Very good job! Good comunication and very good decisions. It was a pleasure.",</v>
      </c>
    </row>
    <row r="52" spans="2:6" x14ac:dyDescent="0.25">
      <c r="B52" s="43" t="s">
        <v>153</v>
      </c>
      <c r="C52" s="43" t="str">
        <f>TEXT('SCOUT &amp; LOGISTICS'!F1,"0,0")</f>
        <v>04_036_PAN_ASV_E2025</v>
      </c>
      <c r="F52" s="45" t="str">
        <f>""""&amp;B52&amp;"""" &amp; " : " &amp;C52</f>
        <v>"result" : 04_036_PAN_ASV_E2025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3">
      <c r="A3" s="48"/>
      <c r="B3" s="202" t="str">
        <f>"GAME: "&amp; LEFT('SCOUT &amp; LOGISTICS'!B2,1) &amp; TEXT('SCOUT &amp; LOGISTICS'!C2,"000") &amp; " " &amp; IF(LEFT('SCOUT &amp; LOGISTICS'!B2,1)="U","(EUROCUP)","(EUROLEAGUE)")</f>
        <v>GAME: E036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3">
      <c r="A4" s="48"/>
      <c r="B4" s="200" t="str">
        <f ca="1">"DATE: " &amp; TEXT('SCOUT &amp; LOGISTICS'!B3,"dd/mm")</f>
        <v>DATE: 15/10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3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3">
      <c r="A6" s="48"/>
      <c r="B6" s="197" t="str">
        <f>PROPER('SCOUT &amp; LOGISTICS'!D4)</f>
        <v>Panathinaikos Aktor Athens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Ldlc Asvel Villeurbanne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3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3">
      <c r="A8" s="48"/>
      <c r="B8" s="201" t="str">
        <f>IF('SCOUT &amp; LOGISTICS'!D6="","",'SCOUT &amp; LOGISTICS'!D6)</f>
        <v>EMMANOUIL SMPOKOS</v>
      </c>
      <c r="C8" s="201"/>
      <c r="D8" s="201"/>
      <c r="E8" s="201"/>
      <c r="F8" s="201"/>
      <c r="G8" s="201" t="str">
        <f>IF('SCOUT &amp; LOGISTICS'!D7="","",'SCOUT &amp; LOGISTICS'!D7)</f>
        <v>TILEMACHOS KAVVADIAS</v>
      </c>
      <c r="H8" s="201"/>
      <c r="I8" s="201"/>
      <c r="J8" s="201"/>
      <c r="K8" s="201"/>
      <c r="L8" s="201" t="str">
        <f>IF('SCOUT &amp; LOGISTICS'!D8="","",'SCOUT &amp; LOGISTICS'!D8)</f>
        <v>PANAGIOTIS MORATIS</v>
      </c>
      <c r="M8" s="201"/>
      <c r="N8" s="201"/>
      <c r="O8" s="201"/>
      <c r="P8" s="201"/>
      <c r="Q8" s="201" t="str">
        <f>IF('SCOUT &amp; LOGISTICS'!D9="","",'SCOUT &amp; LOGISTICS'!D9)</f>
        <v>MARIA TRIANTAFYLLOU</v>
      </c>
      <c r="R8" s="201"/>
      <c r="S8" s="201"/>
      <c r="T8" s="201"/>
      <c r="U8" s="201"/>
      <c r="V8" s="201" t="str">
        <f>IF('SCOUT &amp; LOGISTICS'!D10="","",'SCOUT &amp; LOGISTICS'!D10)</f>
        <v>THEODOROS TZAMALOUKAS</v>
      </c>
      <c r="W8" s="201"/>
      <c r="X8" s="201"/>
      <c r="Y8" s="201"/>
      <c r="Z8" s="201"/>
      <c r="AA8" s="201" t="str">
        <f>IF('SCOUT &amp; LOGISTICS'!D11="","",'SCOUT &amp; LOGISTICS'!D11)</f>
        <v>ANASTASIOS KALESIORIS</v>
      </c>
      <c r="AB8" s="201"/>
      <c r="AC8" s="201"/>
      <c r="AD8" s="201"/>
      <c r="AE8" s="201"/>
      <c r="AF8" s="48"/>
    </row>
    <row r="9" spans="1:33" ht="13" thickBot="1" x14ac:dyDescent="0.3">
      <c r="A9" s="48"/>
      <c r="B9" s="209" t="str">
        <f>IF(OR('SCOUT &amp; LOGISTICS'!D14="",'SCOUT &amp; LOGISTICS'!D14=0),"",'SCOUT &amp; LOGISTICS'!B14 &amp; ": " &amp; 'SCOUT &amp; LOGISTICS'!D14) &amp; "     "</f>
        <v xml:space="preserve">L G M: : NEREA FRAILE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" thickBot="1" x14ac:dyDescent="0.3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3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" thickBot="1" x14ac:dyDescent="0.3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3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3">
        <f>'SCOUT &amp; LOGISTICS'!D3</f>
        <v>570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1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1.7543859649122807E-3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" thickBot="1" x14ac:dyDescent="0.3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1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1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9">
        <f>'SCOUT &amp; LOGISTICS'!Y17</f>
        <v>1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1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3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3">
      <c r="A32" s="48"/>
      <c r="B32" s="211" t="str">
        <f>IF('SCOUT &amp; LOGISTICS'!M4="","",'SCOUT &amp; LOGISTICS'!M4)</f>
        <v>Very good job! Good comunication and very good decisions. It was a pleasure.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3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3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212">
        <f>'SCOUT &amp; LOGISTICS'!M7</f>
        <v>1.1754385964912282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3C6413F2-584C-44FC-8F1F-1261BB7AED21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Nerea Fraile</cp:lastModifiedBy>
  <cp:lastPrinted>2025-10-15T20:49:44Z</cp:lastPrinted>
  <dcterms:created xsi:type="dcterms:W3CDTF">2023-09-19T19:50:35Z</dcterms:created>
  <dcterms:modified xsi:type="dcterms:W3CDTF">2025-10-15T20:49:59Z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