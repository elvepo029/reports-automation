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13_ncr:1_{58DE8DFE-4C69-4B92-903A-7A343817956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<sst xmlns="http://schemas.openxmlformats.org/spreadsheetml/2006/main" count="3245" uniqueCount="758">
  <si>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</si>
  <si>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</si>
  <si>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</si>
  <si>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</si>
  <si>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</si>
  <si>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</si>
  <si>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</si>
  <si>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</si>
  <si>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</si>
  <si>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</si>
  <si>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</si>
  <si>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</si>
  <si>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</si>
  <si>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</si>
  <si>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</si>
  <si>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</si>
  <si>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</si>
  <si>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</si>
  <si>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</si>
  <si>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</si>
  <si>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</si>
  <si>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</si>
  <si>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</si>
  <si>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</si>
  <si>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</si>
  <si>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</si>
  <si>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</si>
  <si>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</si>
  <si>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</si>
  <si>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</si>
  <si>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</si>
  <si>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</si>
  <si>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</si>
  <si>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</si>
  <si>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</si>
  <si>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</si>
  <si>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</si>
  <si>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</si>
  <si>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</si>
  <si>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</si>
  <si>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</si>
  <si>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</si>
  <si>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</si>
  <si>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</si>
  <si>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</si>
  <si>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</si>
  <si>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</si>
  <si>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</si>
  <si>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</si>
  <si>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</si>
  <si>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</si>
  <si>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</si>
  <si>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</si>
  <si>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</si>
  <si>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</si>
  <si>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</si>
  <si>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</si>
  <si>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</si>
  <si>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</si>
  <si>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</si>
  <si>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</si>
  <si>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</si>
  <si>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</si>
  <si>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</si>
  <si>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</si>
  <si>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</si>
  <si>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</si>
  <si>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</si>
  <si>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</si>
  <si>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</si>
  <si>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</si>
  <si>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</si>
  <si>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</si>
  <si>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</si>
  <si>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</si>
  <si>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</si>
  <si>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</si>
  <si>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</si>
  <si>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</si>
  <si>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</si>
  <si>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</si>
  <si>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</si>
  <si>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</si>
  <si>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</si>
  <si>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</si>
  <si>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</si>
  <si>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</si>
  <si>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</si>
  <si>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</si>
  <si>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</si>
  <si>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</si>
  <si>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</si>
  <si>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</si>
  <si>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</si>
  <si>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</si>
  <si>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</si>
  <si>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</si>
  <si>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</si>
  <si>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</si>
  <si>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</si>
  <si>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</si>
  <si>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</si>
  <si>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</si>
  <si>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</si>
  <si>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</si>
  <si>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</si>
  <si>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</si>
  <si>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</si>
  <si>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</si>
  <si>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</si>
  <si>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</si>
  <si>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</si>
  <si>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</si>
  <si>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</si>
  <si>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</si>
  <si>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</si>
  <si>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</si>
  <si>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</si>
  <si>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</si>
  <si>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</si>
  <si>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</si>
  <si>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</si>
  <si>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</si>
  <si>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</si>
  <si>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</si>
  <si>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</si>
  <si>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</si>
  <si>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</si>
  <si>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</si>
  <si>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</si>
  <si>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</si>
  <si>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</si>
  <si>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</si>
  <si>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</si>
  <si>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</si>
  <si>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</si>
  <si>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</si>
  <si>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</si>
  <si>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</si>
  <si>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</si>
  <si>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</si>
  <si>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</si>
  <si>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</si>
  <si>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</si>
  <si>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</si>
  <si>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</si>
  <si>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</si>
  <si>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</si>
  <si>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</si>
  <si>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</si>
  <si>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</si>
  <si>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</si>
  <si>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</si>
  <si>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</si>
  <si>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</si>
  <si>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</si>
  <si>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</si>
  <si>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</si>
  <si>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</si>
  <si>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</si>
  <si>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</si>
  <si>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</si>
  <si>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</si>
  <si>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</si>
  <si>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</si>
  <si>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</si>
  <si>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</si>
  <si>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</si>
  <si>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</si>
  <si>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</si>
  <si>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</si>
  <si>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</si>
  <si>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</si>
  <si>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</si>
  <si>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</si>
  <si>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</si>
  <si>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</si>
  <si>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</si>
  <si>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</si>
  <si>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</si>
  <si>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</si>
  <si>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</si>
  <si>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</si>
  <si>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</si>
  <si>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</si>
  <si>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</si>
  <si>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</si>
  <si>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</si>
  <si>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</si>
  <si>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</si>
  <si>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</si>
  <si>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</si>
  <si>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</si>
  <si>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</si>
  <si>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</si>
  <si>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</si>
  <si>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</si>
  <si>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</si>
  <si>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</si>
  <si>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</si>
  <si>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</si>
  <si>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</si>
  <si>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</si>
  <si>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</si>
  <si>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</si>
  <si>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</si>
  <si>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</si>
  <si>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</si>
  <si>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</si>
  <si>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</si>
  <si>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</si>
  <si>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</si>
  <si>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</si>
  <si>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</si>
  <si>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</si>
  <si>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</si>
  <si>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</si>
  <si>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</si>
  <si>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</si>
  <si>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</si>
  <si>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</si>
  <si>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</si>
  <si>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</si>
  <si>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</si>
  <si>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</si>
  <si>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</si>
  <si>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</si>
  <si>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</si>
  <si>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</si>
  <si>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</si>
  <si>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</si>
  <si>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</si>
  <si>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</si>
  <si>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</si>
  <si>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</si>
  <si>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</si>
  <si>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</si>
  <si>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</si>
  <si>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</si>
  <si>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</si>
  <si>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</si>
  <si>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</si>
  <si>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</si>
  <si>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</si>
  <si>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</si>
  <si>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</si>
  <si>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</si>
  <si>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</si>
  <si>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</si>
  <si>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</si>
  <si>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</si>
  <si>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</si>
  <si>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</si>
  <si>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</si>
  <si>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</si>
  <si>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</si>
  <si>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</si>
  <si>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</si>
  <si>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</si>
  <si>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</si>
  <si>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</si>
  <si>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</si>
  <si>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</si>
  <si>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</si>
  <si>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</si>
  <si>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</si>
  <si>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</si>
  <si>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</si>
  <si>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</si>
  <si>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</si>
  <si>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</si>
  <si>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</si>
  <si>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</si>
  <si>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</si>
  <si>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</si>
  <si>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</si>
  <si>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</si>
  <si>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</si>
  <si>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</si>
  <si>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</si>
  <si>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</si>
  <si>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</si>
  <si>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</si>
  <si>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</si>
  <si>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</si>
  <si>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</si>
  <si>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</si>
  <si>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</si>
  <si>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</si>
  <si>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</si>
  <si>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</si>
  <si>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</si>
  <si>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</si>
  <si>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</si>
  <si>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</si>
  <si>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</si>
  <si>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</si>
  <si>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</si>
  <si>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</si>
  <si>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</si>
  <si>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</si>
  <si>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</si>
  <si>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</si>
  <si>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</si>
  <si>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</si>
  <si>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</si>
  <si>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</si>
  <si>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</si>
  <si>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</si>
  <si>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</si>
  <si>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</si>
  <si>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</si>
  <si>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</si>
  <si>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</si>
  <si>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</si>
  <si>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</si>
  <si>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</si>
  <si>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</si>
  <si>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</si>
  <si>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</si>
  <si>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</si>
  <si>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</si>
  <si>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</si>
  <si>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</si>
  <si>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</si>
  <si>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</si>
  <si>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</si>
  <si>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</si>
  <si>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</si>
  <si>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</si>
  <si>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</si>
  <si>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</si>
  <si>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</si>
  <si>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</si>
  <si>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</si>
  <si>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</si>
  <si>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</si>
  <si>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</si>
  <si>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</si>
  <si>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</si>
  <si>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</si>
  <si>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</si>
  <si>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</si>
  <si>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</si>
  <si>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</si>
  <si>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</si>
  <si>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</si>
  <si>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</si>
  <si>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</si>
  <si>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</si>
  <si>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</si>
  <si>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</si>
  <si>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</si>
  <si>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</si>
  <si>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</si>
  <si>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</si>
  <si>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</si>
  <si>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</si>
  <si>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</si>
  <si>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</si>
  <si>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</si>
  <si>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</si>
  <si>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</si>
  <si>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</si>
  <si>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</si>
  <si>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</si>
  <si>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</si>
  <si>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</si>
  <si>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</si>
  <si>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</si>
  <si>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</si>
  <si>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</si>
  <si>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</si>
  <si>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</si>
  <si>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</si>
  <si>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</si>
  <si>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</si>
  <si>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</si>
  <si>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</si>
  <si>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</si>
  <si>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</si>
  <si>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</si>
  <si>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</si>
  <si>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</si>
  <si>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</si>
  <si>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</si>
  <si>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</si>
  <si>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</si>
  <si>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</si>
  <si>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</si>
  <si>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</si>
  <si>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</si>
  <si>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</si>
  <si>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</si>
  <si>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</si>
  <si>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</si>
  <si>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</si>
  <si>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</si>
  <si>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</si>
  <si>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</si>
  <si>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</si>
  <si>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</si>
  <si>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</si>
  <si>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</si>
  <si>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</si>
  <si>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</si>
  <si>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</si>
  <si>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</si>
  <si>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</si>
  <si>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</si>
  <si>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</si>
  <si>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</si>
  <si>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</si>
  <si>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</si>
  <si>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</si>
  <si>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</si>
  <si>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</si>
  <si>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</si>
  <si>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</si>
  <si>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</si>
  <si>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</si>
  <si>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</si>
  <si>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</si>
  <si>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</si>
  <si>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</si>
  <si>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</si>
  <si>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</si>
  <si>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</si>
  <si>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</si>
  <si>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</si>
  <si>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</si>
  <si>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</si>
  <si>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</si>
  <si>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</si>
  <si>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</si>
  <si>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</si>
  <si>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</si>
  <si>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</si>
  <si>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</si>
  <si>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</si>
  <si>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</si>
  <si>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</si>
  <si>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</si>
  <si>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</si>
  <si>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</si>
  <si>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</si>
  <si>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</si>
  <si>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</si>
  <si>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</si>
  <si>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</si>
  <si>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</si>
  <si>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</si>
  <si>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</si>
  <si>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</si>
  <si>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</si>
  <si>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</si>
  <si>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</si>
  <si>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</si>
  <si>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</si>
  <si>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</si>
  <si>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</si>
  <si>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</si>
  <si>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</si>
  <si>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</si>
  <si>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</si>
  <si>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</si>
  <si>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</si>
  <si>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</si>
  <si>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</si>
  <si>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</si>
  <si>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</si>
  <si>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</si>
  <si>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</si>
  <si>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</si>
  <si>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</si>
  <si>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</si>
  <si>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</si>
  <si>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</si>
  <si>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</si>
  <si>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</si>
  <si>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</si>
  <si>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</si>
  <si>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</si>
  <si>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</si>
  <si>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</si>
  <si>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</si>
  <si>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</si>
  <si>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</si>
  <si>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</si>
  <si>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</si>
  <si>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</si>
  <si>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</si>
  <si>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</si>
  <si>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</si>
  <si>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</si>
  <si>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</si>
  <si>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</si>
  <si>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</si>
  <si>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</si>
  <si>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</si>
  <si>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</si>
  <si>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</si>
  <si>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</si>
  <si>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</si>
  <si>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</si>
  <si>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</si>
  <si>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</si>
  <si>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</si>
  <si>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</si>
  <si>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</si>
  <si>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</si>
  <si>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</si>
  <si>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</si>
  <si>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</si>
  <si>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</si>
  <si>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</si>
  <si>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</si>
  <si>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</si>
  <si>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</si>
  <si>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</si>
  <si>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</si>
  <si>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</si>
  <si>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</si>
  <si>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</si>
  <si>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</si>
  <si>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</si>
  <si>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</si>
  <si>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</si>
  <si>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</si>
  <si>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</si>
  <si>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</si>
  <si>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</si>
  <si>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</si>
  <si>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</si>
  <si>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</si>
  <si>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</si>
  <si>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</si>
  <si>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</si>
  <si>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</si>
  <si>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</si>
  <si>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</si>
  <si>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</si>
  <si>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</si>
  <si>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</si>
  <si>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</si>
  <si>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</si>
  <si>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</si>
  <si>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</si>
  <si>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</si>
  <si>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</si>
  <si>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</si>
  <si>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</si>
  <si>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</si>
  <si>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</si>
  <si>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</si>
  <si>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</si>
  <si>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</si>
  <si>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</si>
  <si>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</si>
  <si>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</si>
  <si>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</si>
  <si>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</si>
  <si>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</si>
  <si>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</si>
  <si>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</si>
  <si>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</si>
  <si>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</si>
  <si>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</si>
  <si>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</si>
  <si>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</si>
  <si>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</si>
  <si>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</si>
  <si>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</si>
  <si>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</si>
  <si>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</si>
  <si>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</si>
  <si>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</si>
  <si>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</si>
  <si>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</si>
  <si>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</si>
  <si>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</si>
  <si>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</si>
  <si>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</si>
  <si>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</si>
  <si>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</si>
  <si>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</si>
  <si>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</si>
  <si>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</si>
  <si>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</si>
  <si>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</si>
  <si>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</si>
  <si>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</si>
  <si>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</si>
  <si>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</si>
  <si>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</si>
  <si>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</si>
  <si>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</si>
  <si>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</si>
  <si>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</si>
  <si>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</si>
  <si>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</si>
  <si>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</si>
  <si>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</si>
  <si>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</si>
  <si>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</si>
  <si>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</si>
  <si>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</si>
  <si>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</si>
  <si>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</si>
  <si>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</si>
  <si>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</si>
  <si>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</si>
  <si>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</si>
  <si>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</si>
  <si>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</si>
  <si>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</si>
  <si>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</si>
  <si>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</si>
  <si>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</si>
  <si>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</si>
  <si>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</si>
  <si>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</si>
  <si>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</si>
  <si>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</si>
  <si>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</si>
  <si>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</si>
  <si>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</si>
  <si>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</si>
  <si>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</si>
  <si>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</si>
  <si>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</si>
  <si>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</si>
  <si>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</si>
  <si>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</si>
  <si>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</si>
  <si>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</si>
  <si>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</si>
  <si>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</si>
  <si>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</si>
  <si>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</si>
  <si>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</si>
  <si>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</si>
  <si>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</si>
  <si>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</si>
  <si>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</si>
  <si>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</si>
  <si>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</si>
  <si>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</si>
  <si>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</si>
  <si>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</si>
  <si>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</si>
  <si>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</si>
  <si>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</si>
  <si>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</si>
  <si>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</si>
  <si>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</si>
  <si>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</si>
  <si>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</si>
  <si>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</si>
  <si>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</si>
  <si>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</si>
  <si>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</si>
  <si>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</si>
  <si>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</si>
  <si>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</si>
  <si>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</si>
  <si>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</si>
  <si>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</si>
  <si>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</si>
  <si>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</si>
  <si>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</si>
  <si>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</si>
  <si>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</si>
  <si>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</si>
  <si>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</si>
  <si>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</si>
  <si>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</si>
  <si>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</si>
  <si>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</si>
  <si>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</si>
  <si>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</si>
  <si>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</si>
  <si>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</si>
  <si>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</si>
  <si>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</si>
  <si>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</si>
  <si>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</si>
  <si>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</si>
  <si>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</si>
  <si>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</si>
  <si>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</si>
  <si>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</si>
  <si>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</si>
  <si>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</si>
  <si>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</si>
  <si>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</si>
  <si>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</si>
  <si>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</si>
  <si>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</si>
  <si>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</si>
  <si>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</si>
  <si>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</si>
  <si>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</si>
  <si>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</si>
  <si>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</si>
  <si>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</si>
  <si>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</si>
  <si>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</si>
  <si>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</si>
  <si>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</si>
  <si>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</si>
  <si>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</si>
  <si>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</si>
  <si>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</si>
  <si>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</si>
  <si>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</si>
  <si>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</si>
  <si>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</si>
  <si>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</si>
  <si>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</si>
  <si>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</si>
  <si>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</si>
  <si>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</si>
  <si>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</si>
  <si>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</si>
  <si>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</si>
  <si>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</si>
  <si>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</si>
  <si>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</si>
  <si>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</si>
  <si>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</si>
  <si>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</si>
  <si>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</si>
  <si>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</si>
  <si>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</si>
  <si>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</si>
  <si>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</si>
  <si>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</si>
  <si>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</si>
  <si>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</si>
  <si>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</si>
  <si>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</si>
  <si>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</si>
  <si>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</si>
  <si>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</si>
  <si>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</si>
  <si>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</si>
  <si>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</si>
  <si>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</si>
  <si>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</si>
  <si>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</si>
  <si>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Very good job! Self detection and fast correction. Feedback…</t>
  </si>
  <si>
    <t>DJAMEL SOUDANI</t>
  </si>
  <si>
    <t>CHRISTIAN MOLLET</t>
  </si>
  <si>
    <t>BASTIEN BONNETON</t>
  </si>
  <si>
    <t>PIERRE BERNARDO</t>
  </si>
  <si>
    <t>MAGALI CARTIER</t>
  </si>
  <si>
    <t>AXEL QUENEY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</si>
</sst>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04_037_PRS_BAS_E2025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45945.864583333336</v>
      </c>
      <c r="C3" s="157"/>
      <c r="D3" s="39">
        <v>744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67" t="s">
        <v>751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752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757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ColWidth="8.7109375"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ColWidth="8.7109375"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REPORT_E2025037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"E2025037"</v>
      </c>
      <c r="F3" s="45" t="str">
        <f t="shared" ref="F3:F16" si="0">""""&amp;B3&amp;"""" &amp; " : " &amp;C3&amp;","</f>
        <v>"name" : "E2025037",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"E037"</v>
      </c>
      <c r="F4" s="45" t="str">
        <f t="shared" si="0"/>
        <v>"cod" : "E037",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037</v>
      </c>
      <c r="F6" s="45" t="str">
        <f t="shared" si="0"/>
        <v>"number" : 037,</v>
      </c>
    </row>
    <row r="7" spans="2:6" x14ac:dyDescent="0.2">
      <c r="B7" s="43" t="s">
        <v>116</v>
      </c>
      <c r="C7" s="43" t="str">
        <f ca="1">""""&amp;TEXT('SCOUT &amp; LOGISTICS'!B3,"dd/mm/aaaa")&amp;""""</f>
        <v>"15/10/Wednesday"</v>
      </c>
      <c r="F7" s="45" t="str">
        <f t="shared" ca="1" si="0"/>
        <v>"date" : "15/10/Wednesday",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"CHRISTIAN MOLLET"</v>
      </c>
      <c r="F11" s="45" t="str">
        <f t="shared" si="0"/>
        <v>"Caller_1" : "CHRISTIAN MOLLET",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"BASTIEN BONNETON"</v>
      </c>
      <c r="F12" s="45" t="str">
        <f t="shared" si="0"/>
        <v>"Caller_2" : "BASTIEN BONNETON",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"PIERRE BERNARDO"</v>
      </c>
      <c r="F13" s="45" t="str">
        <f t="shared" si="0"/>
        <v>"Timerkeeper" : "PIERRE BERNARDO",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"MAGALI CARTIER"</v>
      </c>
      <c r="F14" s="45" t="str">
        <f t="shared" si="0"/>
        <v>"Shotclock" : "MAGALI CARTIER",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"AXEL QUENEY"</v>
      </c>
      <c r="F15" s="45" t="str">
        <f t="shared" si="0"/>
        <v>"IRS" : "AXEL QUENEY",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744</v>
      </c>
      <c r="F25" s="45" t="str">
        <f t="shared" ref="F25:F48" si="1">""""&amp;C25&amp;"""" &amp; " : " &amp;D25&amp;","</f>
        <v>"total_actions" : 744,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 Self detection and fast correction. Feedback…"</v>
      </c>
      <c r="F51" s="45" t="str">
        <f>""""&amp;B51&amp;"""" &amp; " : " &amp;C51&amp;","</f>
        <v>"comments" : "Very good job! Self detection and fast correction. Feedback…",</v>
      </c>
    </row>
    <row r="52" spans="2:6" x14ac:dyDescent="0.2">
      <c r="B52" s="43" t="s">
        <v>153</v>
      </c>
      <c r="C52" s="43" t="str">
        <f>TEXT('SCOUT &amp; LOGISTICS'!F1,"0,0")</f>
        <v>04_037_PRS_BAS_E2025</v>
      </c>
      <c r="F52" s="45" t="str">
        <f>""""&amp;B52&amp;"""" &amp; " : " &amp;C52</f>
        <v>"result" : 04_037_PRS_BAS_E2025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E037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15/10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DJAMEL SOUDANI</v>
      </c>
      <c r="C8" s="206"/>
      <c r="D8" s="206"/>
      <c r="E8" s="206"/>
      <c r="F8" s="206"/>
      <c r="G8" s="206" t="str">
        <f>IF('SCOUT &amp; LOGISTICS'!D7="","",'SCOUT &amp; LOGISTICS'!D7)</f>
        <v>CHRISTIAN MOLLET</v>
      </c>
      <c r="H8" s="206"/>
      <c r="I8" s="206"/>
      <c r="J8" s="206"/>
      <c r="K8" s="206"/>
      <c r="L8" s="206" t="str">
        <f>IF('SCOUT &amp; LOGISTICS'!D8="","",'SCOUT &amp; LOGISTICS'!D8)</f>
        <v>BASTIEN BONNETON</v>
      </c>
      <c r="M8" s="206"/>
      <c r="N8" s="206"/>
      <c r="O8" s="206"/>
      <c r="P8" s="206"/>
      <c r="Q8" s="206" t="str">
        <f>IF('SCOUT &amp; LOGISTICS'!D9="","",'SCOUT &amp; LOGISTICS'!D9)</f>
        <v>PIERRE BERNARDO</v>
      </c>
      <c r="R8" s="206"/>
      <c r="S8" s="206"/>
      <c r="T8" s="206"/>
      <c r="U8" s="206"/>
      <c r="V8" s="206" t="str">
        <f>IF('SCOUT &amp; LOGISTICS'!D10="","",'SCOUT &amp; LOGISTICS'!D10)</f>
        <v>MAGALI CARTIER</v>
      </c>
      <c r="W8" s="206"/>
      <c r="X8" s="206"/>
      <c r="Y8" s="206"/>
      <c r="Z8" s="206"/>
      <c r="AA8" s="206" t="str">
        <f>IF('SCOUT &amp; LOGISTICS'!D11="","",'SCOUT &amp; LOGISTICS'!D11)</f>
        <v>AXEL QUENEY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744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 Self detection and fast correction. Feedback…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238BDD-5F4C-4D1F-B1C4-48D8F714CEB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2025-10-16T17:58:55Z</cp:lastPrinted>
  <dcterms:created xsi:type="dcterms:W3CDTF">2023-09-19T19:50:35Z</dcterms:created>
  <dcterms:modified xsi:type="dcterms:W3CDTF">2025-10-24T16:25:07Z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