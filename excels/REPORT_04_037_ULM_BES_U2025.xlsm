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7" documentId="8_{54C812E0-0597-4032-B20E-B1EAE637883F}" xr6:coauthVersionLast="47" xr6:coauthVersionMax="47" xr10:uidLastSave="{13CE20D7-578A-4D28-9F41-300B4203EFA7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<sst xmlns="http://schemas.openxmlformats.org/spreadsheetml/2006/main" count="3250" uniqueCount="758">
  <si>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</si>
  <si>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</si>
  <si>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</si>
  <si>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</si>
  <si>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</si>
  <si>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</si>
  <si>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</si>
  <si>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</si>
  <si>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</si>
  <si>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</si>
  <si>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</si>
  <si>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</si>
  <si>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</si>
  <si>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</si>
  <si>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</si>
  <si>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</si>
  <si>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</si>
  <si>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</si>
  <si>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</si>
  <si>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</si>
  <si>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</si>
  <si>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</si>
  <si>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</si>
  <si>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</si>
  <si>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</si>
  <si>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</si>
  <si>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</si>
  <si>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</si>
  <si>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</si>
  <si>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</si>
  <si>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</si>
  <si>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</si>
  <si>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</si>
  <si>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</si>
  <si>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</si>
  <si>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</si>
  <si>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</si>
  <si>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</si>
  <si>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</si>
  <si>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</si>
  <si>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</si>
  <si>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</si>
  <si>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</si>
  <si>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</si>
  <si>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</si>
  <si>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</si>
  <si>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</si>
  <si>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</si>
  <si>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</si>
  <si>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</si>
  <si>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</si>
  <si>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</si>
  <si>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</si>
  <si>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</si>
  <si>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</si>
  <si>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</si>
  <si>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</si>
  <si>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</si>
  <si>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</si>
  <si>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</si>
  <si>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</si>
  <si>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</si>
  <si>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</si>
  <si>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</si>
  <si>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</si>
  <si>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</si>
  <si>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</si>
  <si>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</si>
  <si>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</si>
  <si>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</si>
  <si>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</si>
  <si>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</si>
  <si>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</si>
  <si>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</si>
  <si>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</si>
  <si>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</si>
  <si>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</si>
  <si>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</si>
  <si>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</si>
  <si>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</si>
  <si>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</si>
  <si>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</si>
  <si>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</si>
  <si>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</si>
  <si>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</si>
  <si>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</si>
  <si>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</si>
  <si>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</si>
  <si>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</si>
  <si>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</si>
  <si>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</si>
  <si>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</si>
  <si>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</si>
  <si>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</si>
  <si>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</si>
  <si>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</si>
  <si>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</si>
  <si>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</si>
  <si>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</si>
  <si>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</si>
  <si>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</si>
  <si>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</si>
  <si>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</si>
  <si>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</si>
  <si>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</si>
  <si>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</si>
  <si>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</si>
  <si>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</si>
  <si>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</si>
  <si>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</si>
  <si>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</si>
  <si>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</si>
  <si>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</si>
  <si>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</si>
  <si>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</si>
  <si>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</si>
  <si>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</si>
  <si>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</si>
  <si>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</si>
  <si>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</si>
  <si>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</si>
  <si>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</si>
  <si>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</si>
  <si>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</si>
  <si>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</si>
  <si>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</si>
  <si>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</si>
  <si>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</si>
  <si>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</si>
  <si>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</si>
  <si>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</si>
  <si>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</si>
  <si>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</si>
  <si>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</si>
  <si>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</si>
  <si>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</si>
  <si>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</si>
  <si>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</si>
  <si>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</si>
  <si>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</si>
  <si>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</si>
  <si>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</si>
  <si>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</si>
  <si>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</si>
  <si>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</si>
  <si>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</si>
  <si>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</si>
  <si>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</si>
  <si>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</si>
  <si>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</si>
  <si>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</si>
  <si>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</si>
  <si>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</si>
  <si>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</si>
  <si>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</si>
  <si>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</si>
  <si>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</si>
  <si>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</si>
  <si>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</si>
  <si>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</si>
  <si>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</si>
  <si>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</si>
  <si>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</si>
  <si>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</si>
  <si>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</si>
  <si>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</si>
  <si>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</si>
  <si>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</si>
  <si>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</si>
  <si>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</si>
  <si>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</si>
  <si>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</si>
  <si>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</si>
  <si>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</si>
  <si>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</si>
  <si>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</si>
  <si>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</si>
  <si>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</si>
  <si>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</si>
  <si>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</si>
  <si>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</si>
  <si>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</si>
  <si>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</si>
  <si>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</si>
  <si>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</si>
  <si>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</si>
  <si>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</si>
  <si>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</si>
  <si>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</si>
  <si>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</si>
  <si>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</si>
  <si>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</si>
  <si>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</si>
  <si>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</si>
  <si>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</si>
  <si>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</si>
  <si>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</si>
  <si>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</si>
  <si>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</si>
  <si>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</si>
  <si>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</si>
  <si>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</si>
  <si>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</si>
  <si>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</si>
  <si>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</si>
  <si>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</si>
  <si>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</si>
  <si>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</si>
  <si>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</si>
  <si>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</si>
  <si>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</si>
  <si>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</si>
  <si>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</si>
  <si>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</si>
  <si>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</si>
  <si>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</si>
  <si>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</si>
  <si>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</si>
  <si>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</si>
  <si>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</si>
  <si>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</si>
  <si>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</si>
  <si>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</si>
  <si>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</si>
  <si>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</si>
  <si>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</si>
  <si>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</si>
  <si>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</si>
  <si>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</si>
  <si>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</si>
  <si>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</si>
  <si>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</si>
  <si>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</si>
  <si>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</si>
  <si>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</si>
  <si>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</si>
  <si>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</si>
  <si>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</si>
  <si>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</si>
  <si>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</si>
  <si>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</si>
  <si>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</si>
  <si>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</si>
  <si>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</si>
  <si>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</si>
  <si>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</si>
  <si>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</si>
  <si>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</si>
  <si>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</si>
  <si>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</si>
  <si>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</si>
  <si>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</si>
  <si>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</si>
  <si>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</si>
  <si>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</si>
  <si>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</si>
  <si>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</si>
  <si>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</si>
  <si>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</si>
  <si>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</si>
  <si>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</si>
  <si>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</si>
  <si>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</si>
  <si>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</si>
  <si>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</si>
  <si>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</si>
  <si>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</si>
  <si>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</si>
  <si>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</si>
  <si>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</si>
  <si>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</si>
  <si>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</si>
  <si>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</si>
  <si>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</si>
  <si>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</si>
  <si>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</si>
  <si>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</si>
  <si>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</si>
  <si>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</si>
  <si>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</si>
  <si>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</si>
  <si>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</si>
  <si>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</si>
  <si>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</si>
  <si>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</si>
  <si>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</si>
  <si>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</si>
  <si>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</si>
  <si>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</si>
  <si>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</si>
  <si>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</si>
  <si>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</si>
  <si>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</si>
  <si>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</si>
  <si>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</si>
  <si>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</si>
  <si>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</si>
  <si>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</si>
  <si>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</si>
  <si>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</si>
  <si>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</si>
  <si>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</si>
  <si>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</si>
  <si>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</si>
  <si>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</si>
  <si>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</si>
  <si>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</si>
  <si>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</si>
  <si>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</si>
  <si>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</si>
  <si>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</si>
  <si>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</si>
  <si>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</si>
  <si>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</si>
  <si>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</si>
  <si>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</si>
  <si>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</si>
  <si>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</si>
  <si>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</si>
  <si>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</si>
  <si>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</si>
  <si>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</si>
  <si>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</si>
  <si>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</si>
  <si>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</si>
  <si>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</si>
  <si>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</si>
  <si>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</si>
  <si>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</si>
  <si>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</si>
  <si>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</si>
  <si>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</si>
  <si>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</si>
  <si>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</si>
  <si>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</si>
  <si>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</si>
  <si>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</si>
  <si>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</si>
  <si>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</si>
  <si>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</si>
  <si>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</si>
  <si>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</si>
  <si>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</si>
  <si>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</si>
  <si>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</si>
  <si>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</si>
  <si>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</si>
  <si>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</si>
  <si>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</si>
  <si>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</si>
  <si>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</si>
  <si>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</si>
  <si>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</si>
  <si>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</si>
  <si>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</si>
  <si>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</si>
  <si>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</si>
  <si>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</si>
  <si>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</si>
  <si>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</si>
  <si>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</si>
  <si>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</si>
  <si>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</si>
  <si>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</si>
  <si>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</si>
  <si>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</si>
  <si>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</si>
  <si>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</si>
  <si>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</si>
  <si>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</si>
  <si>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</si>
  <si>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</si>
  <si>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</si>
  <si>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</si>
  <si>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</si>
  <si>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</si>
  <si>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</si>
  <si>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</si>
  <si>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</si>
  <si>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</si>
  <si>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</si>
  <si>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</si>
  <si>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</si>
  <si>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</si>
  <si>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</si>
  <si>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</si>
  <si>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</si>
  <si>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</si>
  <si>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</si>
  <si>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</si>
  <si>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</si>
  <si>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</si>
  <si>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</si>
  <si>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</si>
  <si>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</si>
  <si>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</si>
  <si>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</si>
  <si>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</si>
  <si>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</si>
  <si>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</si>
  <si>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</si>
  <si>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</si>
  <si>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</si>
  <si>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</si>
  <si>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</si>
  <si>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</si>
  <si>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</si>
  <si>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</si>
  <si>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</si>
  <si>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</si>
  <si>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</si>
  <si>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</si>
  <si>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</si>
  <si>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</si>
  <si>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</si>
  <si>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</si>
  <si>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</si>
  <si>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</si>
  <si>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</si>
  <si>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</si>
  <si>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</si>
  <si>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</si>
  <si>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</si>
  <si>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</si>
  <si>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</si>
  <si>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</si>
  <si>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</si>
  <si>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</si>
  <si>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</si>
  <si>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</si>
  <si>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</si>
  <si>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</si>
  <si>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</si>
  <si>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</si>
  <si>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</si>
  <si>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</si>
  <si>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</si>
  <si>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</si>
  <si>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</si>
  <si>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</si>
  <si>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</si>
  <si>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</si>
  <si>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</si>
  <si>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</si>
  <si>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</si>
  <si>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</si>
  <si>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</si>
  <si>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</si>
  <si>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</si>
  <si>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</si>
  <si>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</si>
  <si>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</si>
  <si>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</si>
  <si>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</si>
  <si>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</si>
  <si>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</si>
  <si>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</si>
  <si>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</si>
  <si>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</si>
  <si>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</si>
  <si>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</si>
  <si>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</si>
  <si>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</si>
  <si>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</si>
  <si>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</si>
  <si>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</si>
  <si>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</si>
  <si>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</si>
  <si>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</si>
  <si>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</si>
  <si>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</si>
  <si>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</si>
  <si>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</si>
  <si>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</si>
  <si>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</si>
  <si>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</si>
  <si>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</si>
  <si>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</si>
  <si>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</si>
  <si>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</si>
  <si>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</si>
  <si>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</si>
  <si>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</si>
  <si>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</si>
  <si>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</si>
  <si>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</si>
  <si>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</si>
  <si>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</si>
  <si>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</si>
  <si>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</si>
  <si>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</si>
  <si>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</si>
  <si>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</si>
  <si>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</si>
  <si>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</si>
  <si>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</si>
  <si>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</si>
  <si>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</si>
  <si>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</si>
  <si>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</si>
  <si>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</si>
  <si>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</si>
  <si>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</si>
  <si>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</si>
  <si>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</si>
  <si>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</si>
  <si>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</si>
  <si>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</si>
  <si>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</si>
  <si>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</si>
  <si>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</si>
  <si>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</si>
  <si>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</si>
  <si>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</si>
  <si>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</si>
  <si>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</si>
  <si>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</si>
  <si>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</si>
  <si>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</si>
  <si>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</si>
  <si>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</si>
  <si>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</si>
  <si>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</si>
  <si>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</si>
  <si>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</si>
  <si>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</si>
  <si>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</si>
  <si>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</si>
  <si>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</si>
  <si>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</si>
  <si>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</si>
  <si>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</si>
  <si>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</si>
  <si>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</si>
  <si>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</si>
  <si>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</si>
  <si>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</si>
  <si>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</si>
  <si>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</si>
  <si>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</si>
  <si>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</si>
  <si>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</si>
  <si>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</si>
  <si>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</si>
  <si>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</si>
  <si>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</si>
  <si>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</si>
  <si>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</si>
  <si>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</si>
  <si>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</si>
  <si>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</si>
  <si>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</si>
  <si>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</si>
  <si>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</si>
  <si>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</si>
  <si>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</si>
  <si>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</si>
  <si>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</si>
  <si>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</si>
  <si>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</si>
  <si>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</si>
  <si>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</si>
  <si>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</si>
  <si>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</si>
  <si>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</si>
  <si>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</si>
  <si>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</si>
  <si>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</si>
  <si>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</si>
  <si>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</si>
  <si>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</si>
  <si>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</si>
  <si>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</si>
  <si>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</si>
  <si>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</si>
  <si>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</si>
  <si>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</si>
  <si>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</si>
  <si>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</si>
  <si>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</si>
  <si>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</si>
  <si>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</si>
  <si>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</si>
  <si>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</si>
  <si>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</si>
  <si>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</si>
  <si>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</si>
  <si>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</si>
  <si>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</si>
  <si>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</si>
  <si>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</si>
  <si>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</si>
  <si>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</si>
  <si>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</si>
  <si>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</si>
  <si>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</si>
  <si>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</si>
  <si>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</si>
  <si>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</si>
  <si>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</si>
  <si>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</si>
  <si>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</si>
  <si>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</si>
  <si>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</si>
  <si>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</si>
  <si>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</si>
  <si>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</si>
  <si>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</si>
  <si>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</si>
  <si>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</si>
  <si>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</si>
  <si>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</si>
  <si>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</si>
  <si>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</si>
  <si>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</si>
  <si>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</si>
  <si>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</si>
  <si>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</si>
  <si>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</si>
  <si>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</si>
  <si>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</si>
  <si>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</si>
  <si>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</si>
  <si>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</si>
  <si>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</si>
  <si>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</si>
  <si>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</si>
  <si>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</si>
  <si>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</si>
  <si>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</si>
  <si>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</si>
  <si>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</si>
  <si>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</si>
  <si>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</si>
  <si>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</si>
  <si>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</si>
  <si>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</si>
  <si>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</si>
  <si>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</si>
  <si>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</si>
  <si>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</si>
  <si>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</si>
  <si>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</si>
  <si>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</si>
  <si>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</si>
  <si>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</si>
  <si>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</si>
  <si>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</si>
  <si>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</si>
  <si>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</si>
  <si>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</si>
  <si>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</si>
  <si>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</si>
  <si>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</si>
  <si>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</si>
  <si>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</si>
  <si>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</si>
  <si>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</si>
  <si>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</si>
  <si>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</si>
  <si>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</si>
  <si>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</si>
  <si>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</si>
  <si>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</si>
  <si>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</si>
  <si>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</si>
  <si>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</si>
  <si>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</si>
  <si>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</si>
  <si>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</si>
  <si>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</si>
  <si>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</si>
  <si>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</si>
  <si>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</si>
  <si>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</si>
  <si>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</si>
  <si>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</si>
  <si>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</si>
  <si>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</si>
  <si>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</si>
  <si>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</si>
  <si>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</si>
  <si>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</si>
  <si>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</si>
  <si>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</si>
  <si>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</si>
  <si>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</si>
  <si>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</si>
  <si>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</si>
  <si>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</si>
  <si>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</si>
  <si>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</si>
  <si>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</si>
  <si>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</si>
  <si>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</si>
  <si>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</si>
  <si>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</si>
  <si>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</si>
  <si>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</si>
  <si>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</si>
  <si>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</si>
  <si>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</si>
  <si>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</si>
  <si>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</si>
  <si>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</si>
  <si>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</si>
  <si>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</si>
  <si>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</si>
  <si>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</si>
  <si>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</si>
  <si>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</si>
  <si>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</si>
  <si>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</si>
  <si>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</si>
  <si>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</si>
  <si>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</si>
  <si>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</si>
  <si>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</si>
  <si>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</si>
  <si>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</si>
  <si>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</si>
  <si>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</si>
  <si>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</si>
  <si>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</si>
  <si>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</si>
  <si>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</si>
  <si>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</si>
  <si>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</si>
  <si>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</si>
  <si>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</si>
  <si>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</si>
  <si>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</si>
  <si>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</si>
  <si>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</si>
  <si>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</si>
  <si>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</si>
  <si>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</si>
  <si>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</si>
  <si>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</si>
  <si>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</si>
  <si>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</si>
  <si>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</si>
  <si>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</si>
  <si>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</si>
  <si>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</si>
  <si>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</si>
  <si>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</si>
  <si>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</si>
  <si>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</si>
  <si>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</si>
  <si>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U</t>
  </si>
  <si>
    <t>FLORIAN GLÖCKLER</t>
  </si>
  <si>
    <t>LEONIE VALENTINA HEINRICH</t>
  </si>
  <si>
    <t>ANDREAS PAUL LANGBEIN</t>
  </si>
  <si>
    <t>CARSTEN STOCKER</t>
  </si>
  <si>
    <t>ANTONIO XIERRA LOIS</t>
  </si>
  <si>
    <t>C:\Users\mario.enjuanes\EUROLEAGUE\EB STATS - General\SEASON 2025-26\Reports\Eurocup\PDF</t>
  </si>
  <si>
    <t>08:58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</si>
</sst>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04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04_037_ULM_BES_U2025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37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45951.791666666664</v>
      </c>
      <c r="C3" s="157"/>
      <c r="D3" s="39">
        <v>662</v>
      </c>
      <c r="E3" s="29"/>
      <c r="F3" s="26">
        <f>SUBTOTAL(3,I17:I106)</f>
        <v>1</v>
      </c>
      <c r="G3" s="27">
        <f>IF(OR(D3="",D3=0),"",F3/D3)</f>
        <v>1.5105740181268882E-3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ratiopharm Ulm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ULM</v>
      </c>
      <c r="I4" s="5"/>
      <c r="J4" s="119" t="s">
        <v>714</v>
      </c>
      <c r="K4" s="54" t="s">
        <v>742</v>
      </c>
      <c r="L4" s="5"/>
      <c r="M4" s="167" t="s">
        <v>749</v>
      </c>
      <c r="N4" s="168"/>
      <c r="O4" s="2"/>
      <c r="P4" s="2"/>
      <c r="Q4" s="84" t="s">
        <v>175</v>
      </c>
      <c r="R4" s="94">
        <f>(IF(G3="",0,G3))</f>
        <v>1.5105740181268882E-3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Besiktas GAIN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BES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0.15105740181268881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2.6510574018126887</v>
      </c>
      <c r="N7" s="58"/>
      <c r="O7" s="2"/>
      <c r="P7" s="2"/>
      <c r="Q7" s="86">
        <f>SUM(R5,S5,AC16)</f>
        <v>2.6510574018126887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2.6510574018126887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37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37</v>
      </c>
      <c r="D17" s="32" t="s">
        <v>757</v>
      </c>
      <c r="E17" s="33">
        <v>2</v>
      </c>
      <c r="F17" s="36">
        <v>32</v>
      </c>
      <c r="G17" s="36">
        <v>31</v>
      </c>
      <c r="H17" s="38" t="str">
        <f>IF(I17="","",$I$14)</f>
        <v>SCOUTING</v>
      </c>
      <c r="I17" s="34">
        <v>179</v>
      </c>
      <c r="J17" s="13" t="s">
        <v>4</v>
      </c>
      <c r="K17" s="13" t="s">
        <v>63</v>
      </c>
      <c r="L17" s="13" t="s">
        <v>7</v>
      </c>
      <c r="M17" s="13" t="s">
        <v>28</v>
      </c>
      <c r="N17" s="35" t="s">
        <v>168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REPORT_U2025037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"U2025037"</v>
      </c>
      <c r="F3" s="45" t="str">
        <f t="shared" ref="F3:F16" si="0">""""&amp;B3&amp;"""" &amp; " : " &amp;C3&amp;","</f>
        <v>"name" : "U2025037",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"U037"</v>
      </c>
      <c r="F4" s="45" t="str">
        <f t="shared" si="0"/>
        <v>"cod" : "U037",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037</v>
      </c>
      <c r="F6" s="45" t="str">
        <f t="shared" si="0"/>
        <v>"number" : 037,</v>
      </c>
    </row>
    <row r="7" spans="2:6" x14ac:dyDescent="0.2">
      <c r="B7" s="43" t="s">
        <v>116</v>
      </c>
      <c r="C7" s="43" t="str">
        <f ca="1">""""&amp;TEXT('SCOUT &amp; LOGISTICS'!B3,"dd/mm/aaaa")&amp;""""</f>
        <v>"21/10/Tuesday"</v>
      </c>
      <c r="F7" s="45" t="str">
        <f t="shared" ca="1" si="0"/>
        <v>"date" : "21/10/Tuesday",</v>
      </c>
    </row>
    <row r="8" spans="2:6" x14ac:dyDescent="0.2">
      <c r="B8" s="43" t="s">
        <v>125</v>
      </c>
      <c r="C8" s="43" t="str">
        <f>""""&amp;'SCOUT &amp; LOGISTICS'!D4 &amp;""""</f>
        <v>"ratiopharm Ulm"</v>
      </c>
      <c r="F8" s="45" t="str">
        <f t="shared" si="0"/>
        <v>"home_team" : "ratiopharm Ulm",</v>
      </c>
    </row>
    <row r="9" spans="2:6" x14ac:dyDescent="0.2">
      <c r="B9" s="43" t="s">
        <v>126</v>
      </c>
      <c r="C9" s="43" t="str">
        <f>""""&amp;'SCOUT &amp; LOGISTICS'!D5&amp;""""</f>
        <v>"Besiktas GAIN Istanbul"</v>
      </c>
      <c r="F9" s="45" t="str">
        <f t="shared" si="0"/>
        <v>"away_team" : "Besiktas GAIN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"FLORIAN GLÖCKLER"</v>
      </c>
      <c r="F10" s="45" t="str">
        <f t="shared" si="0"/>
        <v>"Data_entry" : "FLORIAN GLÖCKLER",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"LEONIE VALENTINA HEINRICH"</v>
      </c>
      <c r="F11" s="45" t="str">
        <f t="shared" si="0"/>
        <v>"Caller_1" : "LEONIE VALENTINA HEINRICH",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"ANDREAS PAUL LANGBEIN"</v>
      </c>
      <c r="F12" s="45" t="str">
        <f t="shared" si="0"/>
        <v>"Caller_2" : "ANDREAS PAUL LANGBEIN",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"CARSTEN STOCKER"</v>
      </c>
      <c r="F13" s="45" t="str">
        <f t="shared" si="0"/>
        <v>"Timerkeeper" : "CARSTEN STOCKER",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"ANTONIO XIERRA LOIS"</v>
      </c>
      <c r="F14" s="45" t="str">
        <f t="shared" si="0"/>
        <v>"Shotclock" : "ANTONIO XIERRA LOIS",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662</v>
      </c>
      <c r="F25" s="45" t="str">
        <f t="shared" ref="F25:F48" si="1">""""&amp;C25&amp;"""" &amp; " : " &amp;D25&amp;","</f>
        <v>"total_actions" : 662,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04_037_ULM_BES_U2025</v>
      </c>
      <c r="F52" s="45" t="str">
        <f>""""&amp;B52&amp;"""" &amp; " : " &amp;C52</f>
        <v>"result" : 04_037_ULM_BES_U2025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U037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21/10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Ratiopharm Ulm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Besiktas Gain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FLORIAN GLÖCKLER</v>
      </c>
      <c r="C8" s="206"/>
      <c r="D8" s="206"/>
      <c r="E8" s="206"/>
      <c r="F8" s="206"/>
      <c r="G8" s="206" t="str">
        <f>IF('SCOUT &amp; LOGISTICS'!D7="","",'SCOUT &amp; LOGISTICS'!D7)</f>
        <v>LEONIE VALENTINA HEINRICH</v>
      </c>
      <c r="H8" s="206"/>
      <c r="I8" s="206"/>
      <c r="J8" s="206"/>
      <c r="K8" s="206"/>
      <c r="L8" s="206" t="str">
        <f>IF('SCOUT &amp; LOGISTICS'!D8="","",'SCOUT &amp; LOGISTICS'!D8)</f>
        <v>ANDREAS PAUL LANGBEIN</v>
      </c>
      <c r="M8" s="206"/>
      <c r="N8" s="206"/>
      <c r="O8" s="206"/>
      <c r="P8" s="206"/>
      <c r="Q8" s="206" t="str">
        <f>IF('SCOUT &amp; LOGISTICS'!D9="","",'SCOUT &amp; LOGISTICS'!D9)</f>
        <v>CARSTEN STOCKER</v>
      </c>
      <c r="R8" s="206"/>
      <c r="S8" s="206"/>
      <c r="T8" s="206"/>
      <c r="U8" s="206"/>
      <c r="V8" s="206" t="str">
        <f>IF('SCOUT &amp; LOGISTICS'!D10="","",'SCOUT &amp; LOGISTICS'!D10)</f>
        <v>ANTONIO XIERRA LOIS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662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1.5105740181268882E-3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2.6510574018126887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D831F2-3BD5-4437-9E8F-C9438CA4BCAC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2025-10-22T19:05:42Z</cp:lastPrinted>
  <dcterms:created xsi:type="dcterms:W3CDTF">2023-09-19T19:50:35Z</dcterms:created>
  <dcterms:modified xsi:type="dcterms:W3CDTF">2025-10-22T19:05:54Z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