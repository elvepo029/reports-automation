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cup/"/>
    </mc:Choice>
  </mc:AlternateContent>
  <xr:revisionPtr revIDLastSave="180" documentId="8_{1ABA1B0D-E218-4CA6-8E44-412A0BC28A70}" xr6:coauthVersionLast="47" xr6:coauthVersionMax="47" xr10:uidLastSave="{993BC323-6275-4953-B08B-BB881BF95A5E}"/>
  <bookViews>
    <workbookView xWindow="30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" i="1" l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W5" i="1" s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<sst xmlns="http://schemas.openxmlformats.org/spreadsheetml/2006/main" count="3337" uniqueCount="775">
  <si>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</si>
  <si>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</si>
  <si>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</si>
  <si>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</si>
  <si>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</si>
  <si>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</si>
  <si>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</si>
  <si>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</si>
  <si>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</si>
  <si>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</si>
  <si>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</si>
  <si>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</si>
  <si>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</si>
  <si>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</si>
  <si>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</si>
  <si>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</si>
  <si>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</si>
  <si>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</si>
  <si>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</si>
  <si>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</si>
  <si>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</si>
  <si>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</si>
  <si>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</si>
  <si>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</si>
  <si>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</si>
  <si>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</si>
  <si>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</si>
  <si>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</si>
  <si>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</si>
  <si>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</si>
  <si>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</si>
  <si>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</si>
  <si>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</si>
  <si>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</si>
  <si>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</si>
  <si>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</si>
  <si>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</si>
  <si>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</si>
  <si>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</si>
  <si>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</si>
  <si>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</si>
  <si>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</si>
  <si>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</si>
  <si>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</si>
  <si>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</si>
  <si>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</si>
  <si>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</si>
  <si>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</si>
  <si>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</si>
  <si>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</si>
  <si>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</si>
  <si>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</si>
  <si>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</si>
  <si>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</si>
  <si>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</si>
  <si>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</si>
  <si>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</si>
  <si>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</si>
  <si>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</si>
  <si>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</si>
  <si>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</si>
  <si>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</si>
  <si>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</si>
  <si>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</si>
  <si>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</si>
  <si>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</si>
  <si>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</si>
  <si>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</si>
  <si>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</si>
  <si>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</si>
  <si>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</si>
  <si>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</si>
  <si>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</si>
  <si>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</si>
  <si>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</si>
  <si>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</si>
  <si>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</si>
  <si>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</si>
  <si>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</si>
  <si>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</si>
  <si>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</si>
  <si>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</si>
  <si>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</si>
  <si>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</si>
  <si>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</si>
  <si>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</si>
  <si>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</si>
  <si>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</si>
  <si>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</si>
  <si>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</si>
  <si>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</si>
  <si>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</si>
  <si>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</si>
  <si>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</si>
  <si>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</si>
  <si>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</si>
  <si>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</si>
  <si>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</si>
  <si>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</si>
  <si>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</si>
  <si>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</si>
  <si>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</si>
  <si>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</si>
  <si>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</si>
  <si>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</si>
  <si>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</si>
  <si>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</si>
  <si>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</si>
  <si>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</si>
  <si>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</si>
  <si>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</si>
  <si>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</si>
  <si>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</si>
  <si>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</si>
  <si>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</si>
  <si>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</si>
  <si>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</si>
  <si>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</si>
  <si>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</si>
  <si>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</si>
  <si>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</si>
  <si>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</si>
  <si>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</si>
  <si>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</si>
  <si>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</si>
  <si>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</si>
  <si>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</si>
  <si>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</si>
  <si>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</si>
  <si>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</si>
  <si>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</si>
  <si>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</si>
  <si>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</si>
  <si>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</si>
  <si>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</si>
  <si>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</si>
  <si>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</si>
  <si>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</si>
  <si>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</si>
  <si>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</si>
  <si>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</si>
  <si>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</si>
  <si>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</si>
  <si>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</si>
  <si>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</si>
  <si>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</si>
  <si>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</si>
  <si>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</si>
  <si>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</si>
  <si>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</si>
  <si>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</si>
  <si>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</si>
  <si>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</si>
  <si>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</si>
  <si>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</si>
  <si>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</si>
  <si>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</si>
  <si>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</si>
  <si>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</si>
  <si>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</si>
  <si>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</si>
  <si>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</si>
  <si>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</si>
  <si>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</si>
  <si>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</si>
  <si>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</si>
  <si>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</si>
  <si>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</si>
  <si>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</si>
  <si>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</si>
  <si>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</si>
  <si>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</si>
  <si>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</si>
  <si>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</si>
  <si>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</si>
  <si>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</si>
  <si>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</si>
  <si>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</si>
  <si>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</si>
  <si>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</si>
  <si>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</si>
  <si>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</si>
  <si>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</si>
  <si>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</si>
  <si>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</si>
  <si>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</si>
  <si>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</si>
  <si>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</si>
  <si>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</si>
  <si>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</si>
  <si>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</si>
  <si>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</si>
  <si>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</si>
  <si>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</si>
  <si>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</si>
  <si>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</si>
  <si>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</si>
  <si>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</si>
  <si>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</si>
  <si>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</si>
  <si>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</si>
  <si>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</si>
  <si>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</si>
  <si>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</si>
  <si>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</si>
  <si>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</si>
  <si>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</si>
  <si>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</si>
  <si>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</si>
  <si>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</si>
  <si>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</si>
  <si>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</si>
  <si>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</si>
  <si>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</si>
  <si>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</si>
  <si>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</si>
  <si>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</si>
  <si>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</si>
  <si>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</si>
  <si>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</si>
  <si>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</si>
  <si>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</si>
  <si>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</si>
  <si>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</si>
  <si>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</si>
  <si>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</si>
  <si>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</si>
  <si>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</si>
  <si>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</si>
  <si>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</si>
  <si>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</si>
  <si>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</si>
  <si>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</si>
  <si>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</si>
  <si>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</si>
  <si>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</si>
  <si>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</si>
  <si>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</si>
  <si>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</si>
  <si>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</si>
  <si>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</si>
  <si>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</si>
  <si>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</si>
  <si>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</si>
  <si>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</si>
  <si>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</si>
  <si>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</si>
  <si>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</si>
  <si>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</si>
  <si>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</si>
  <si>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</si>
  <si>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</si>
  <si>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</si>
  <si>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</si>
  <si>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</si>
  <si>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</si>
  <si>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</si>
  <si>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</si>
  <si>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</si>
  <si>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</si>
  <si>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</si>
  <si>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</si>
  <si>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</si>
  <si>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</si>
  <si>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</si>
  <si>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</si>
  <si>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</si>
  <si>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</si>
  <si>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</si>
  <si>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</si>
  <si>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</si>
  <si>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</si>
  <si>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</si>
  <si>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</si>
  <si>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</si>
  <si>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</si>
  <si>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</si>
  <si>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</si>
  <si>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</si>
  <si>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</si>
  <si>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</si>
  <si>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</si>
  <si>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</si>
  <si>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</si>
  <si>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</si>
  <si>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</si>
  <si>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</si>
  <si>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</si>
  <si>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</si>
  <si>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</si>
  <si>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</si>
  <si>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</si>
  <si>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</si>
  <si>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</si>
  <si>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</si>
  <si>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</si>
  <si>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</si>
  <si>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</si>
  <si>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</si>
  <si>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</si>
  <si>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</si>
  <si>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</si>
  <si>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</si>
  <si>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</si>
  <si>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</si>
  <si>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</si>
  <si>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</si>
  <si>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</si>
  <si>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</si>
  <si>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</si>
  <si>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</si>
  <si>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</si>
  <si>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</si>
  <si>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</si>
  <si>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</si>
  <si>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</si>
  <si>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</si>
  <si>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</si>
  <si>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</si>
  <si>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</si>
  <si>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</si>
  <si>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</si>
  <si>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</si>
  <si>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</si>
  <si>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</si>
  <si>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</si>
  <si>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</si>
  <si>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</si>
  <si>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</si>
  <si>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</si>
  <si>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</si>
  <si>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</si>
  <si>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</si>
  <si>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</si>
  <si>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</si>
  <si>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</si>
  <si>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</si>
  <si>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</si>
  <si>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</si>
  <si>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</si>
  <si>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</si>
  <si>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</si>
  <si>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</si>
  <si>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</si>
  <si>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</si>
  <si>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</si>
  <si>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</si>
  <si>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</si>
  <si>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</si>
  <si>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</si>
  <si>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</si>
  <si>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</si>
  <si>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</si>
  <si>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</si>
  <si>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</si>
  <si>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</si>
  <si>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</si>
  <si>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</si>
  <si>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</si>
  <si>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</si>
  <si>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</si>
  <si>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</si>
  <si>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</si>
  <si>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</si>
  <si>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</si>
  <si>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</si>
  <si>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</si>
  <si>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</si>
  <si>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</si>
  <si>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</si>
  <si>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</si>
  <si>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</si>
  <si>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</si>
  <si>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</si>
  <si>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</si>
  <si>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</si>
  <si>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</si>
  <si>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</si>
  <si>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</si>
  <si>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</si>
  <si>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</si>
  <si>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</si>
  <si>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</si>
  <si>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</si>
  <si>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</si>
  <si>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</si>
  <si>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</si>
  <si>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</si>
  <si>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</si>
  <si>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</si>
  <si>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</si>
  <si>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</si>
  <si>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</si>
  <si>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</si>
  <si>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</si>
  <si>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</si>
  <si>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</si>
  <si>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</si>
  <si>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</si>
  <si>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</si>
  <si>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</si>
  <si>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</si>
  <si>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</si>
  <si>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</si>
  <si>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</si>
  <si>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</si>
  <si>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</si>
  <si>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</si>
  <si>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</si>
  <si>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</si>
  <si>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</si>
  <si>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</si>
  <si>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</si>
  <si>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</si>
  <si>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</si>
  <si>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</si>
  <si>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</si>
  <si>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</si>
  <si>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</si>
  <si>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</si>
  <si>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</si>
  <si>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</si>
  <si>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</si>
  <si>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</si>
  <si>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</si>
  <si>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</si>
  <si>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</si>
  <si>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</si>
  <si>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</si>
  <si>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</si>
  <si>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</si>
  <si>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</si>
  <si>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</si>
  <si>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</si>
  <si>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</si>
  <si>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</si>
  <si>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</si>
  <si>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</si>
  <si>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</si>
  <si>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</si>
  <si>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</si>
  <si>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</si>
  <si>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</si>
  <si>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</si>
  <si>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</si>
  <si>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</si>
  <si>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</si>
  <si>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</si>
  <si>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</si>
  <si>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</si>
  <si>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</si>
  <si>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</si>
  <si>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</si>
  <si>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</si>
  <si>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</si>
  <si>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</si>
  <si>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</si>
  <si>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</si>
  <si>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</si>
  <si>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</si>
  <si>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</si>
  <si>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</si>
  <si>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</si>
  <si>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</si>
  <si>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</si>
  <si>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</si>
  <si>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</si>
  <si>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</si>
  <si>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</si>
  <si>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</si>
  <si>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</si>
  <si>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</si>
  <si>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</si>
  <si>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</si>
  <si>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</si>
  <si>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</si>
  <si>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</si>
  <si>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</si>
  <si>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</si>
  <si>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</si>
  <si>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</si>
  <si>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</si>
  <si>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</si>
  <si>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</si>
  <si>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</si>
  <si>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</si>
  <si>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</si>
  <si>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</si>
  <si>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</si>
  <si>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</si>
  <si>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</si>
  <si>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</si>
  <si>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</si>
  <si>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</si>
  <si>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</si>
  <si>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</si>
  <si>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</si>
  <si>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</si>
  <si>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</si>
  <si>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</si>
  <si>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</si>
  <si>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</si>
  <si>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</si>
  <si>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</si>
  <si>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</si>
  <si>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</si>
  <si>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</si>
  <si>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</si>
  <si>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</si>
  <si>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</si>
  <si>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</si>
  <si>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</si>
  <si>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</si>
  <si>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</si>
  <si>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</si>
  <si>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</si>
  <si>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</si>
  <si>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</si>
  <si>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</si>
  <si>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</si>
  <si>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</si>
  <si>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</si>
  <si>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</si>
  <si>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</si>
  <si>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</si>
  <si>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</si>
  <si>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</si>
  <si>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</si>
  <si>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</si>
  <si>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</si>
  <si>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</si>
  <si>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</si>
  <si>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</si>
  <si>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</si>
  <si>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</si>
  <si>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</si>
  <si>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</si>
  <si>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</si>
  <si>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</si>
  <si>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</si>
  <si>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</si>
  <si>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</si>
  <si>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</si>
  <si>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</si>
  <si>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</si>
  <si>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</si>
  <si>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</si>
  <si>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</si>
  <si>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</si>
  <si>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</si>
  <si>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</si>
  <si>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</si>
  <si>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</si>
  <si>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</si>
  <si>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</si>
  <si>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</si>
  <si>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</si>
  <si>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</si>
  <si>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</si>
  <si>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</si>
  <si>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</si>
  <si>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</si>
  <si>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</si>
  <si>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</si>
  <si>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</si>
  <si>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</si>
  <si>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</si>
  <si>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</si>
  <si>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</si>
  <si>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</si>
  <si>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</si>
  <si>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</si>
  <si>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</si>
  <si>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</si>
  <si>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</si>
  <si>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</si>
  <si>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</si>
  <si>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</si>
  <si>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</si>
  <si>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</si>
  <si>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</si>
  <si>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</si>
  <si>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</si>
  <si>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</si>
  <si>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</si>
  <si>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</si>
  <si>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</si>
  <si>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</si>
  <si>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</si>
  <si>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</si>
  <si>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</si>
  <si>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</si>
  <si>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</si>
  <si>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</si>
  <si>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</si>
  <si>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</si>
  <si>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</si>
  <si>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</si>
  <si>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</si>
  <si>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</si>
  <si>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</si>
  <si>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</si>
  <si>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</si>
  <si>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</si>
  <si>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</si>
  <si>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</si>
  <si>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</si>
  <si>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</si>
  <si>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</si>
  <si>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</si>
  <si>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</si>
  <si>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</si>
  <si>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</si>
  <si>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</si>
  <si>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</si>
  <si>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</si>
  <si>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</si>
  <si>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</si>
  <si>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</si>
  <si>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</si>
  <si>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</si>
  <si>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</si>
  <si>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</si>
  <si>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</si>
  <si>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</si>
  <si>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</si>
  <si>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</si>
  <si>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</si>
  <si>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</si>
  <si>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</si>
  <si>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</si>
  <si>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</si>
  <si>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</si>
  <si>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</si>
  <si>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</si>
  <si>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</si>
  <si>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</si>
  <si>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</si>
  <si>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</si>
  <si>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</si>
  <si>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</si>
  <si>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</si>
  <si>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</si>
  <si>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</si>
  <si>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</si>
  <si>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</si>
  <si>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</si>
  <si>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</si>
  <si>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</si>
  <si>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</si>
  <si>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</si>
  <si>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</si>
  <si>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</si>
  <si>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</si>
  <si>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</si>
  <si>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</si>
  <si>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</si>
  <si>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</si>
  <si>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</si>
  <si>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</si>
  <si>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</si>
  <si>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</si>
  <si>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</si>
  <si>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</si>
  <si>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</si>
  <si>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</si>
  <si>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</si>
  <si>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</si>
  <si>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</si>
  <si>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</si>
  <si>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</si>
  <si>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</si>
  <si>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</si>
  <si>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</si>
  <si>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</si>
  <si>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</si>
  <si>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</si>
  <si>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</si>
  <si>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</si>
  <si>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</si>
  <si>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</si>
  <si>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</si>
  <si>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</si>
  <si>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</si>
  <si>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</si>
  <si>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</si>
  <si>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</si>
  <si>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</si>
  <si>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</si>
  <si>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</si>
  <si>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</si>
  <si>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</si>
  <si>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</si>
  <si>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</si>
  <si>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</si>
  <si>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</si>
  <si>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</si>
  <si>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</si>
  <si>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</si>
  <si>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</si>
  <si>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</si>
  <si>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</si>
  <si>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</si>
  <si>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</si>
  <si>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</si>
  <si>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</si>
  <si>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</si>
  <si>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</si>
  <si>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</si>
  <si>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</si>
  <si>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</si>
  <si>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</si>
  <si>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</si>
  <si>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</si>
  <si>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</si>
  <si>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</si>
  <si>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</si>
  <si>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</si>
  <si>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</si>
  <si>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</si>
  <si>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</si>
  <si>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</si>
  <si>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</si>
  <si>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</si>
  <si>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</si>
  <si>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</si>
  <si>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</si>
  <si>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</si>
  <si>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</si>
  <si>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</si>
  <si>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</si>
  <si>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</si>
  <si>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</si>
  <si>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</si>
  <si>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</si>
  <si>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</si>
  <si>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</si>
  <si>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</si>
  <si>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</si>
  <si>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</si>
  <si>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</si>
  <si>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</si>
  <si>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</si>
  <si>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</si>
  <si>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</si>
  <si>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</si>
  <si>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</si>
  <si>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</si>
  <si>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U</t>
  </si>
  <si>
    <t>GUILLAME VORS</t>
  </si>
  <si>
    <t>MAXIME VASSELIN</t>
  </si>
  <si>
    <t>SOFYAN LANGER</t>
  </si>
  <si>
    <t>MAXIME JANNON</t>
  </si>
  <si>
    <t>ALAIN FERRANT</t>
  </si>
  <si>
    <t>ELOI VERGÉ</t>
  </si>
  <si>
    <t>C:\Users\eloi.verge\OneDrive - EUROLEAGUE\Desktop\GAME REPORTS\25-26</t>
  </si>
  <si>
    <t xml:space="preserve">Clear improvement from the 1st half to the 2nd. Specially on scounting well the Team Rebounds. As a little recommendatiion: before scouting any action with the game stopped, make sure your time matches the game time, this way you'll avoid editing times. </t>
  </si>
  <si>
    <t>08:47</t>
  </si>
  <si>
    <t>And the following Off REB</t>
  </si>
  <si>
    <t>And the related Missed 2P, Shot Rejected and Off REB</t>
  </si>
  <si>
    <t>It was a Team Def REB</t>
  </si>
  <si>
    <t>06:26</t>
  </si>
  <si>
    <t>05:35</t>
  </si>
  <si>
    <t>The same with the 7 following actions</t>
  </si>
  <si>
    <t>03:24</t>
  </si>
  <si>
    <t>06:07</t>
  </si>
  <si>
    <t>The same with the 3 following actions</t>
  </si>
  <si>
    <t>06:04</t>
  </si>
  <si>
    <t>The same with the 2 following actions</t>
  </si>
  <si>
    <t>05:44</t>
  </si>
  <si>
    <t>04:41</t>
  </si>
  <si>
    <t>03:51</t>
  </si>
  <si>
    <t>It was a Def REB</t>
  </si>
  <si>
    <t>01:16</t>
  </si>
  <si>
    <t>01:53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</si>
</sst>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00"/>
    <numFmt numFmtId="165" formatCode="0.0%"/>
    <numFmt numFmtId="166" formatCode="dd/mm/yyyy;@"/>
    <numFmt numFmtId="167" formatCode="00"/>
    <numFmt numFmtId="168" formatCode="0.0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5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5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D34" sqref="D34"/>
    </sheetView>
  </sheetViews>
  <sheetFormatPr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04</v>
      </c>
      <c r="D1" s="124" t="s">
        <v>748</v>
      </c>
      <c r="E1" s="125">
        <v>2025</v>
      </c>
      <c r="F1" s="120" t="str">
        <f>TEXT(C1,"00") &amp; "_" &amp; TEXT(C2,"000")&amp; "_" &amp; H4 &amp; "_" &amp; H5 &amp; "_" &amp; B2</f>
        <v>04_038_BOU_LKB_U2025</v>
      </c>
      <c r="G1" s="5"/>
      <c r="H1" s="5"/>
      <c r="I1" s="5"/>
      <c r="J1" s="8" t="s">
        <v>707</v>
      </c>
      <c r="K1" s="121" t="s">
        <v>755</v>
      </c>
      <c r="L1" s="121"/>
      <c r="M1" s="122" t="s">
        <v>239</v>
      </c>
      <c r="N1" s="121" t="s">
        <v>755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U2025</v>
      </c>
      <c r="C2" s="123">
        <v>38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56">
        <f ca="1">IF(ISERROR(VLOOKUP($B$2&amp;TEXT($C$2,"000"),GAMES!$A$3:$I$562,8,FALSE)),NOW(),VLOOKUP($B$2&amp;TEXT($C$2,"000"),GAMES!$A$3:$I$562,8,FALSE))</f>
        <v>45952.8125</v>
      </c>
      <c r="C3" s="157"/>
      <c r="D3" s="39">
        <v>533</v>
      </c>
      <c r="E3" s="29"/>
      <c r="F3" s="26">
        <f>SUBTOTAL(3,I17:I106)</f>
        <v>17</v>
      </c>
      <c r="G3" s="27">
        <f>IF(OR(D3="",D3=0),"",F3/D3)</f>
        <v>3.1894934333958722E-2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Cosea JL Bourg-en-Bresse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BOU</v>
      </c>
      <c r="I4" s="5"/>
      <c r="J4" s="119" t="s">
        <v>714</v>
      </c>
      <c r="K4" s="54" t="s">
        <v>742</v>
      </c>
      <c r="L4" s="5"/>
      <c r="M4" s="167" t="s">
        <v>756</v>
      </c>
      <c r="N4" s="168"/>
      <c r="O4" s="2"/>
      <c r="P4" s="2"/>
      <c r="Q4" s="84" t="s">
        <v>175</v>
      </c>
      <c r="R4" s="94">
        <f>(IF(G3="",0,G3))</f>
        <v>3.1894934333958722E-2</v>
      </c>
      <c r="S4" s="61">
        <f>SUM(I13:M13)</f>
        <v>1</v>
      </c>
      <c r="T4" s="78"/>
      <c r="U4" s="61">
        <f>AC18</f>
        <v>2</v>
      </c>
      <c r="V4" s="61">
        <f>+AC22</f>
        <v>5</v>
      </c>
      <c r="W4" s="61">
        <f>AC24</f>
        <v>0</v>
      </c>
      <c r="X4" s="61">
        <f>AC29</f>
        <v>3</v>
      </c>
      <c r="Y4" s="61">
        <f>AC25</f>
        <v>3</v>
      </c>
      <c r="Z4" s="84">
        <f>AC23</f>
        <v>4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65" t="s">
        <v>87</v>
      </c>
      <c r="C5" s="166"/>
      <c r="D5" s="173" t="str">
        <f>IF(ISERROR(VLOOKUP(H5,Teams!$B$2:$C$44,2,FALSE)),"Visitor Team",VLOOKUP(H5,Teams!$B$2:$C$44,2,FALSE))</f>
        <v>Lietkabelis Panevezys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LKB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3.1894934333958722</v>
      </c>
      <c r="S5" s="70">
        <f t="shared" ref="S5" si="0">S4*S3</f>
        <v>1</v>
      </c>
      <c r="T5" s="92"/>
      <c r="U5" s="70">
        <f t="shared" ref="U5:AG5" si="1">U4*U3</f>
        <v>1</v>
      </c>
      <c r="V5" s="70">
        <f t="shared" si="1"/>
        <v>5</v>
      </c>
      <c r="W5" s="70">
        <f t="shared" si="1"/>
        <v>0</v>
      </c>
      <c r="X5" s="70">
        <f t="shared" si="1"/>
        <v>3</v>
      </c>
      <c r="Y5" s="70">
        <f t="shared" si="1"/>
        <v>6</v>
      </c>
      <c r="Z5" s="89">
        <f t="shared" si="1"/>
        <v>10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3" t="s">
        <v>95</v>
      </c>
      <c r="C6" s="164"/>
      <c r="D6" s="178" t="s">
        <v>749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87" t="s">
        <v>96</v>
      </c>
      <c r="C7" s="188"/>
      <c r="D7" s="178" t="s">
        <v>750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29.189493433395874</v>
      </c>
      <c r="N7" s="58"/>
      <c r="O7" s="2"/>
      <c r="P7" s="2"/>
      <c r="Q7" s="86">
        <f>SUM(R5,S5,AC16)</f>
        <v>29.189493433395874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65" t="s">
        <v>97</v>
      </c>
      <c r="C8" s="189"/>
      <c r="D8" s="181" t="s">
        <v>751</v>
      </c>
      <c r="E8" s="182"/>
      <c r="F8" s="182"/>
      <c r="G8" s="183"/>
      <c r="H8" s="129" t="s">
        <v>746</v>
      </c>
      <c r="I8" s="129" t="s">
        <v>746</v>
      </c>
      <c r="J8" s="129" t="s">
        <v>747</v>
      </c>
      <c r="K8" s="129" t="s">
        <v>743</v>
      </c>
      <c r="L8" s="129" t="s">
        <v>744</v>
      </c>
      <c r="M8" s="129" t="s">
        <v>108</v>
      </c>
      <c r="N8" s="2"/>
      <c r="O8" s="2"/>
      <c r="P8" s="2"/>
      <c r="Q8" s="85">
        <f>SUM(R5:BA5)</f>
        <v>29.189493433395874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3" t="s">
        <v>98</v>
      </c>
      <c r="C9" s="190"/>
      <c r="D9" s="178" t="s">
        <v>752</v>
      </c>
      <c r="E9" s="179"/>
      <c r="F9" s="179"/>
      <c r="G9" s="18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65" t="s">
        <v>99</v>
      </c>
      <c r="C10" s="189"/>
      <c r="D10" s="181" t="s">
        <v>753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76" t="s">
        <v>108</v>
      </c>
      <c r="C11" s="177"/>
      <c r="D11" s="191" t="str">
        <f>M8</f>
        <v>IRS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U2025</v>
      </c>
      <c r="G12" s="50">
        <f>IF(I12="","",$C$2)</f>
        <v>38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17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1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76" t="s">
        <v>162</v>
      </c>
      <c r="C14" s="177"/>
      <c r="D14" s="184" t="s">
        <v>754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17</v>
      </c>
      <c r="J15" s="24">
        <f>SUBTOTAL(3,J17:J106)</f>
        <v>17</v>
      </c>
      <c r="K15" s="24">
        <f>SUBTOTAL(3,K17:K106)</f>
        <v>17</v>
      </c>
      <c r="L15" s="24">
        <f>SUBTOTAL(3,L17:L106)</f>
        <v>17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3</v>
      </c>
      <c r="X16" s="67" t="s">
        <v>58</v>
      </c>
      <c r="Y16" s="75">
        <f>SUM(Y17:Y24)</f>
        <v>17</v>
      </c>
      <c r="Z16" s="90" t="s">
        <v>110</v>
      </c>
      <c r="AA16" s="75">
        <f>SUM(AA17:AA24)</f>
        <v>17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25</v>
      </c>
      <c r="AD16" s="75">
        <f>SUM(AD17:AD24)</f>
        <v>45</v>
      </c>
      <c r="AE16" s="76" t="s">
        <v>42</v>
      </c>
      <c r="AF16" s="75">
        <f>SUM(AF17:AF24)</f>
        <v>7</v>
      </c>
      <c r="AG16" s="75">
        <f>SUM(AG17:AG21)</f>
        <v>17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U2025</v>
      </c>
      <c r="C17" s="31">
        <f t="shared" ref="C17:C48" si="3">IF(I17="","",$C$2)</f>
        <v>38</v>
      </c>
      <c r="D17" s="32" t="s">
        <v>757</v>
      </c>
      <c r="E17" s="33">
        <v>1</v>
      </c>
      <c r="F17" s="36">
        <v>0</v>
      </c>
      <c r="G17" s="36">
        <v>0</v>
      </c>
      <c r="H17" s="38" t="str">
        <f>IF(I17="","",$I$14)</f>
        <v>SCOUTING</v>
      </c>
      <c r="I17" s="34">
        <v>16</v>
      </c>
      <c r="J17" s="13" t="s">
        <v>4</v>
      </c>
      <c r="K17" s="13" t="s">
        <v>62</v>
      </c>
      <c r="L17" s="13" t="s">
        <v>7</v>
      </c>
      <c r="M17" s="13" t="s">
        <v>27</v>
      </c>
      <c r="N17" s="35" t="s">
        <v>758</v>
      </c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17</v>
      </c>
      <c r="Z17" s="105" t="s">
        <v>63</v>
      </c>
      <c r="AA17" s="62">
        <f>COUNTIF($K$17:$K$106,Z17)</f>
        <v>6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2</v>
      </c>
      <c r="AG17" s="62">
        <f>COUNTIF($E$17:$E$106,$AK17)</f>
        <v>8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>U2025</v>
      </c>
      <c r="C18" s="31">
        <f t="shared" si="3"/>
        <v>38</v>
      </c>
      <c r="D18" s="32" t="s">
        <v>757</v>
      </c>
      <c r="E18" s="33">
        <v>1</v>
      </c>
      <c r="F18" s="36">
        <v>0</v>
      </c>
      <c r="G18" s="36">
        <v>0</v>
      </c>
      <c r="H18" s="38" t="str">
        <f t="shared" ref="H18:H81" si="8">IF(I18="","",$I$14)</f>
        <v>SCOUTING</v>
      </c>
      <c r="I18" s="34">
        <v>16</v>
      </c>
      <c r="J18" s="13" t="s">
        <v>4</v>
      </c>
      <c r="K18" s="13" t="s">
        <v>62</v>
      </c>
      <c r="L18" s="13" t="s">
        <v>7</v>
      </c>
      <c r="M18" s="13" t="s">
        <v>12</v>
      </c>
      <c r="N18" s="35" t="s">
        <v>759</v>
      </c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11</v>
      </c>
      <c r="AB18" s="66" t="s">
        <v>5</v>
      </c>
      <c r="AC18" s="61">
        <f t="shared" si="5"/>
        <v>2</v>
      </c>
      <c r="AD18" s="61">
        <f t="shared" si="6"/>
        <v>0.5</v>
      </c>
      <c r="AE18" s="66" t="s">
        <v>12</v>
      </c>
      <c r="AF18" s="65">
        <f t="shared" si="7"/>
        <v>1</v>
      </c>
      <c r="AG18" s="62">
        <f>COUNTIF($E$17:$E$106,$AK18)</f>
        <v>7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>U2025</v>
      </c>
      <c r="C19" s="31">
        <f t="shared" si="3"/>
        <v>38</v>
      </c>
      <c r="D19" s="32" t="s">
        <v>757</v>
      </c>
      <c r="E19" s="33">
        <v>1</v>
      </c>
      <c r="F19" s="36">
        <v>0</v>
      </c>
      <c r="G19" s="36">
        <v>0</v>
      </c>
      <c r="H19" s="38" t="str">
        <f t="shared" si="8"/>
        <v>SCOUTING</v>
      </c>
      <c r="I19" s="34">
        <v>18</v>
      </c>
      <c r="J19" s="13" t="s">
        <v>4</v>
      </c>
      <c r="K19" s="13" t="s">
        <v>63</v>
      </c>
      <c r="L19" s="13" t="s">
        <v>48</v>
      </c>
      <c r="M19" s="13" t="s">
        <v>168</v>
      </c>
      <c r="N19" s="35" t="s">
        <v>760</v>
      </c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2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1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>U2025</v>
      </c>
      <c r="C20" s="31">
        <f t="shared" si="3"/>
        <v>38</v>
      </c>
      <c r="D20" s="32" t="s">
        <v>761</v>
      </c>
      <c r="E20" s="33">
        <v>1</v>
      </c>
      <c r="F20" s="36">
        <v>4</v>
      </c>
      <c r="G20" s="36">
        <v>4</v>
      </c>
      <c r="H20" s="38" t="str">
        <f t="shared" si="8"/>
        <v>SCOUTING</v>
      </c>
      <c r="I20" s="34">
        <v>37</v>
      </c>
      <c r="J20" s="13" t="s">
        <v>4</v>
      </c>
      <c r="K20" s="13" t="s">
        <v>62</v>
      </c>
      <c r="L20" s="13" t="s">
        <v>48</v>
      </c>
      <c r="M20" s="13" t="s">
        <v>168</v>
      </c>
      <c r="N20" s="35" t="s">
        <v>760</v>
      </c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1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2</v>
      </c>
      <c r="AG20" s="62">
        <f>COUNTIF($E$17:$E$106,$AK20)</f>
        <v>1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>U2025</v>
      </c>
      <c r="C21" s="31">
        <f t="shared" si="3"/>
        <v>38</v>
      </c>
      <c r="D21" s="32" t="s">
        <v>761</v>
      </c>
      <c r="E21" s="33">
        <v>1</v>
      </c>
      <c r="F21" s="36">
        <v>4</v>
      </c>
      <c r="G21" s="36">
        <v>4</v>
      </c>
      <c r="H21" s="38" t="str">
        <f t="shared" si="8"/>
        <v>SCOUTING</v>
      </c>
      <c r="I21" s="34">
        <v>39</v>
      </c>
      <c r="J21" s="13" t="s">
        <v>4</v>
      </c>
      <c r="K21" s="13" t="s">
        <v>62</v>
      </c>
      <c r="L21" s="13" t="s">
        <v>6</v>
      </c>
      <c r="M21" s="13" t="s">
        <v>22</v>
      </c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>U2025</v>
      </c>
      <c r="C22" s="31">
        <f t="shared" si="3"/>
        <v>38</v>
      </c>
      <c r="D22" s="32" t="s">
        <v>762</v>
      </c>
      <c r="E22" s="33">
        <v>1</v>
      </c>
      <c r="F22" s="36">
        <v>4</v>
      </c>
      <c r="G22" s="36">
        <v>4</v>
      </c>
      <c r="H22" s="38" t="str">
        <f t="shared" si="8"/>
        <v>SCOUTING</v>
      </c>
      <c r="I22" s="34">
        <v>51</v>
      </c>
      <c r="J22" s="13" t="s">
        <v>4</v>
      </c>
      <c r="K22" s="13" t="s">
        <v>62</v>
      </c>
      <c r="L22" s="13" t="s">
        <v>75</v>
      </c>
      <c r="M22" s="13" t="s">
        <v>8</v>
      </c>
      <c r="N22" s="35" t="s">
        <v>763</v>
      </c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5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>U2025</v>
      </c>
      <c r="C23" s="31">
        <f t="shared" si="3"/>
        <v>38</v>
      </c>
      <c r="D23" s="32" t="s">
        <v>764</v>
      </c>
      <c r="E23" s="33">
        <v>1</v>
      </c>
      <c r="F23" s="36">
        <v>9</v>
      </c>
      <c r="G23" s="36">
        <v>8</v>
      </c>
      <c r="H23" s="38" t="str">
        <f t="shared" si="8"/>
        <v>SCOUTING</v>
      </c>
      <c r="I23" s="34">
        <v>89</v>
      </c>
      <c r="J23" s="13" t="s">
        <v>4</v>
      </c>
      <c r="K23" s="13" t="s">
        <v>63</v>
      </c>
      <c r="L23" s="13" t="s">
        <v>6</v>
      </c>
      <c r="M23" s="13" t="s">
        <v>9</v>
      </c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4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>U2025</v>
      </c>
      <c r="C24" s="31">
        <f t="shared" si="3"/>
        <v>38</v>
      </c>
      <c r="D24" s="32" t="s">
        <v>764</v>
      </c>
      <c r="E24" s="33">
        <v>1</v>
      </c>
      <c r="F24" s="36">
        <v>9</v>
      </c>
      <c r="G24" s="36">
        <v>8</v>
      </c>
      <c r="H24" s="38" t="str">
        <f t="shared" si="8"/>
        <v>SCOUTING</v>
      </c>
      <c r="I24" s="34">
        <v>90</v>
      </c>
      <c r="J24" s="13" t="s">
        <v>4</v>
      </c>
      <c r="K24" s="13" t="s">
        <v>62</v>
      </c>
      <c r="L24" s="13" t="s">
        <v>6</v>
      </c>
      <c r="M24" s="13" t="s">
        <v>22</v>
      </c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2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>U2025</v>
      </c>
      <c r="C25" s="31">
        <f t="shared" si="3"/>
        <v>38</v>
      </c>
      <c r="D25" s="32" t="s">
        <v>765</v>
      </c>
      <c r="E25" s="33">
        <v>2</v>
      </c>
      <c r="F25" s="36">
        <v>25</v>
      </c>
      <c r="G25" s="36">
        <v>23</v>
      </c>
      <c r="H25" s="38" t="str">
        <f t="shared" si="8"/>
        <v>SCOUTING</v>
      </c>
      <c r="I25" s="34">
        <v>184</v>
      </c>
      <c r="J25" s="13" t="s">
        <v>4</v>
      </c>
      <c r="K25" s="13" t="s">
        <v>63</v>
      </c>
      <c r="L25" s="13" t="s">
        <v>75</v>
      </c>
      <c r="M25" s="13" t="s">
        <v>8</v>
      </c>
      <c r="N25" s="35" t="s">
        <v>766</v>
      </c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3</v>
      </c>
      <c r="AD25" s="61">
        <f t="shared" si="6"/>
        <v>2</v>
      </c>
      <c r="AE25" s="66" t="s">
        <v>22</v>
      </c>
      <c r="AF25" s="65">
        <f t="shared" si="7"/>
        <v>3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>U2025</v>
      </c>
      <c r="C26" s="31">
        <f t="shared" si="3"/>
        <v>38</v>
      </c>
      <c r="D26" s="32" t="s">
        <v>767</v>
      </c>
      <c r="E26" s="33">
        <v>2</v>
      </c>
      <c r="F26" s="36">
        <v>25</v>
      </c>
      <c r="G26" s="36">
        <v>23</v>
      </c>
      <c r="H26" s="38" t="str">
        <f t="shared" si="8"/>
        <v>SCOUTING</v>
      </c>
      <c r="I26" s="34">
        <v>188</v>
      </c>
      <c r="J26" s="13" t="s">
        <v>4</v>
      </c>
      <c r="K26" s="13" t="s">
        <v>62</v>
      </c>
      <c r="L26" s="13" t="s">
        <v>75</v>
      </c>
      <c r="M26" s="13" t="s">
        <v>29</v>
      </c>
      <c r="N26" s="35" t="s">
        <v>768</v>
      </c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>U2025</v>
      </c>
      <c r="C27" s="31">
        <f t="shared" si="3"/>
        <v>38</v>
      </c>
      <c r="D27" s="32" t="s">
        <v>769</v>
      </c>
      <c r="E27" s="33">
        <v>2</v>
      </c>
      <c r="F27" s="36">
        <v>25</v>
      </c>
      <c r="G27" s="36">
        <v>23</v>
      </c>
      <c r="H27" s="38" t="str">
        <f t="shared" si="8"/>
        <v>SCOUTING</v>
      </c>
      <c r="I27" s="34">
        <v>193</v>
      </c>
      <c r="J27" s="13" t="s">
        <v>4</v>
      </c>
      <c r="K27" s="13" t="s">
        <v>62</v>
      </c>
      <c r="L27" s="13" t="s">
        <v>6</v>
      </c>
      <c r="M27" s="13" t="s">
        <v>10</v>
      </c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>U2025</v>
      </c>
      <c r="C28" s="31">
        <f t="shared" si="3"/>
        <v>38</v>
      </c>
      <c r="D28" s="32" t="s">
        <v>770</v>
      </c>
      <c r="E28" s="33">
        <v>2</v>
      </c>
      <c r="F28" s="36">
        <v>31</v>
      </c>
      <c r="G28" s="36">
        <v>34</v>
      </c>
      <c r="H28" s="38" t="str">
        <f t="shared" si="8"/>
        <v>SCOUTING</v>
      </c>
      <c r="I28" s="34">
        <v>216</v>
      </c>
      <c r="J28" s="13" t="s">
        <v>4</v>
      </c>
      <c r="K28" s="13" t="s">
        <v>62</v>
      </c>
      <c r="L28" s="13" t="s">
        <v>5</v>
      </c>
      <c r="M28" s="13" t="s">
        <v>11</v>
      </c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>U2025</v>
      </c>
      <c r="C29" s="31">
        <f t="shared" si="3"/>
        <v>38</v>
      </c>
      <c r="D29" s="32" t="s">
        <v>771</v>
      </c>
      <c r="E29" s="33">
        <v>2</v>
      </c>
      <c r="F29" s="36">
        <v>35</v>
      </c>
      <c r="G29" s="36">
        <v>24</v>
      </c>
      <c r="H29" s="38" t="str">
        <f t="shared" si="8"/>
        <v>SCOUTING</v>
      </c>
      <c r="I29" s="34">
        <v>223</v>
      </c>
      <c r="J29" s="13" t="s">
        <v>4</v>
      </c>
      <c r="K29" s="13" t="s">
        <v>63</v>
      </c>
      <c r="L29" s="13" t="s">
        <v>48</v>
      </c>
      <c r="M29" s="13" t="s">
        <v>28</v>
      </c>
      <c r="N29" s="35" t="s">
        <v>772</v>
      </c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3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>U2025</v>
      </c>
      <c r="C30" s="31">
        <f t="shared" si="3"/>
        <v>38</v>
      </c>
      <c r="D30" s="32" t="s">
        <v>771</v>
      </c>
      <c r="E30" s="33">
        <v>2</v>
      </c>
      <c r="F30" s="36">
        <v>35</v>
      </c>
      <c r="G30" s="36">
        <v>24</v>
      </c>
      <c r="H30" s="38" t="str">
        <f t="shared" si="8"/>
        <v>SCOUTING</v>
      </c>
      <c r="I30" s="34">
        <v>223</v>
      </c>
      <c r="J30" s="13" t="s">
        <v>4</v>
      </c>
      <c r="K30" s="13" t="s">
        <v>62</v>
      </c>
      <c r="L30" s="13" t="s">
        <v>7</v>
      </c>
      <c r="M30" s="13" t="s">
        <v>9</v>
      </c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1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>U2025</v>
      </c>
      <c r="C31" s="31">
        <f t="shared" si="3"/>
        <v>38</v>
      </c>
      <c r="D31" s="32" t="s">
        <v>773</v>
      </c>
      <c r="E31" s="33">
        <v>2</v>
      </c>
      <c r="F31" s="36">
        <v>43</v>
      </c>
      <c r="G31" s="36">
        <v>29</v>
      </c>
      <c r="H31" s="38" t="str">
        <f t="shared" si="8"/>
        <v>SCOUTING</v>
      </c>
      <c r="I31" s="34">
        <v>251</v>
      </c>
      <c r="J31" s="13" t="s">
        <v>4</v>
      </c>
      <c r="K31" s="13" t="s">
        <v>63</v>
      </c>
      <c r="L31" s="13" t="s">
        <v>5</v>
      </c>
      <c r="M31" s="13" t="s">
        <v>11</v>
      </c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1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>U2025</v>
      </c>
      <c r="C32" s="31">
        <f t="shared" si="3"/>
        <v>38</v>
      </c>
      <c r="D32" s="32" t="s">
        <v>53</v>
      </c>
      <c r="E32" s="33">
        <v>3</v>
      </c>
      <c r="F32" s="36">
        <v>67</v>
      </c>
      <c r="G32" s="36">
        <v>44</v>
      </c>
      <c r="H32" s="38" t="str">
        <f t="shared" si="8"/>
        <v>SCOUTING</v>
      </c>
      <c r="I32" s="34">
        <v>396</v>
      </c>
      <c r="J32" s="13" t="s">
        <v>4</v>
      </c>
      <c r="K32" s="13" t="s">
        <v>62</v>
      </c>
      <c r="L32" s="13" t="s">
        <v>7</v>
      </c>
      <c r="M32" s="13" t="s">
        <v>26</v>
      </c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1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>U2025</v>
      </c>
      <c r="C33" s="31">
        <f t="shared" si="3"/>
        <v>38</v>
      </c>
      <c r="D33" s="32" t="s">
        <v>774</v>
      </c>
      <c r="E33" s="33">
        <v>4</v>
      </c>
      <c r="F33" s="36">
        <v>87</v>
      </c>
      <c r="G33" s="36">
        <v>60</v>
      </c>
      <c r="H33" s="38" t="str">
        <f t="shared" si="8"/>
        <v>SCOUTING</v>
      </c>
      <c r="I33" s="34">
        <v>520</v>
      </c>
      <c r="J33" s="13" t="s">
        <v>4</v>
      </c>
      <c r="K33" s="13" t="s">
        <v>63</v>
      </c>
      <c r="L33" s="13" t="s">
        <v>6</v>
      </c>
      <c r="M33" s="13" t="s">
        <v>22</v>
      </c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1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1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2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746</v>
      </c>
      <c r="E16" s="137" t="s">
        <v>745</v>
      </c>
      <c r="F16" s="137" t="s">
        <v>747</v>
      </c>
      <c r="G16" s="137" t="s">
        <v>743</v>
      </c>
      <c r="H16" s="137" t="s">
        <v>744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746</v>
      </c>
      <c r="E30" s="137" t="s">
        <v>745</v>
      </c>
      <c r="F30" s="137" t="s">
        <v>747</v>
      </c>
      <c r="G30" s="137" t="s">
        <v>743</v>
      </c>
      <c r="H30" s="137" t="s">
        <v>744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3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REPORT_U2025038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"U2025038"</v>
      </c>
      <c r="F3" s="45" t="str">
        <f t="shared" ref="F3:F16" si="0">""""&amp;B3&amp;"""" &amp; " : " &amp;C3&amp;","</f>
        <v>"name" : "U2025038",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"U038"</v>
      </c>
      <c r="F4" s="45" t="str">
        <f t="shared" si="0"/>
        <v>"cod" : "U038",</v>
      </c>
    </row>
    <row r="5" spans="2:6" x14ac:dyDescent="0.25">
      <c r="B5" s="43" t="s">
        <v>117</v>
      </c>
      <c r="C5" s="43" t="str">
        <f>""""&amp;LEFT('SCOUT &amp; LOGISTICS'!B2,1)&amp;""""</f>
        <v>"U"</v>
      </c>
      <c r="F5" s="45" t="str">
        <f t="shared" si="0"/>
        <v>"competition" : "U",</v>
      </c>
    </row>
    <row r="6" spans="2:6" x14ac:dyDescent="0.25">
      <c r="B6" s="43" t="s">
        <v>118</v>
      </c>
      <c r="C6" s="43" t="str">
        <f>TEXT('SCOUT &amp; LOGISTICS'!C2,"000")</f>
        <v>038</v>
      </c>
      <c r="F6" s="45" t="str">
        <f t="shared" si="0"/>
        <v>"number" : 038,</v>
      </c>
    </row>
    <row r="7" spans="2:6" x14ac:dyDescent="0.25">
      <c r="B7" s="43" t="s">
        <v>116</v>
      </c>
      <c r="C7" s="43" t="str">
        <f ca="1">""""&amp;TEXT('SCOUT &amp; LOGISTICS'!B3,"dd/mm/aaaa")&amp;""""</f>
        <v>"22/10/2025"</v>
      </c>
      <c r="F7" s="45" t="str">
        <f t="shared" ca="1" si="0"/>
        <v>"date" : "22/10/2025",</v>
      </c>
    </row>
    <row r="8" spans="2:6" x14ac:dyDescent="0.25">
      <c r="B8" s="43" t="s">
        <v>125</v>
      </c>
      <c r="C8" s="43" t="str">
        <f>""""&amp;'SCOUT &amp; LOGISTICS'!D4 &amp;""""</f>
        <v>"Cosea JL Bourg-en-Bresse"</v>
      </c>
      <c r="F8" s="45" t="str">
        <f t="shared" si="0"/>
        <v>"home_team" : "Cosea JL Bourg-en-Bresse",</v>
      </c>
    </row>
    <row r="9" spans="2:6" x14ac:dyDescent="0.25">
      <c r="B9" s="43" t="s">
        <v>126</v>
      </c>
      <c r="C9" s="43" t="str">
        <f>""""&amp;'SCOUT &amp; LOGISTICS'!D5&amp;""""</f>
        <v>"Lietkabelis Panevezys"</v>
      </c>
      <c r="F9" s="45" t="str">
        <f t="shared" si="0"/>
        <v>"away_team" : "Lietkabelis Panevezys",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"GUILLAME VORS"</v>
      </c>
      <c r="F10" s="45" t="str">
        <f t="shared" si="0"/>
        <v>"Data_entry" : "GUILLAME VORS",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"MAXIME VASSELIN"</v>
      </c>
      <c r="F11" s="45" t="str">
        <f t="shared" si="0"/>
        <v>"Caller_1" : "MAXIME VASSELIN",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"SOFYAN LANGER"</v>
      </c>
      <c r="F12" s="45" t="str">
        <f t="shared" si="0"/>
        <v>"Caller_2" : "SOFYAN LANGER",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"MAXIME JANNON"</v>
      </c>
      <c r="F13" s="45" t="str">
        <f t="shared" si="0"/>
        <v>"Timerkeeper" : "MAXIME JANNON",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"ALAIN FERRANT"</v>
      </c>
      <c r="F14" s="45" t="str">
        <f t="shared" si="0"/>
        <v>"Shotclock" : "ALAIN FERRANT",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"ELOI VERGÉ"</v>
      </c>
      <c r="F16" s="45" t="str">
        <f t="shared" si="0"/>
        <v>"Live_Game_Manager" : "ELOI VERGÉ",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"OK"</v>
      </c>
      <c r="F21" s="45" t="str">
        <f>""""&amp;C21&amp;"""" &amp; " : " &amp;D21&amp;","</f>
        <v>"corrections" : "OK",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533</v>
      </c>
      <c r="F25" s="45" t="str">
        <f t="shared" ref="F25:F48" si="1">""""&amp;C25&amp;"""" &amp; " : " &amp;D25&amp;","</f>
        <v>"total_actions" : 533,</v>
      </c>
    </row>
    <row r="26" spans="2:6" x14ac:dyDescent="0.25">
      <c r="C26" s="43" t="s">
        <v>132</v>
      </c>
      <c r="D26" s="43">
        <f>'SCOUT &amp; LOGISTICS'!F3</f>
        <v>17</v>
      </c>
      <c r="F26" s="45" t="str">
        <f t="shared" si="1"/>
        <v>"total_correcions" : 17,</v>
      </c>
    </row>
    <row r="27" spans="2:6" x14ac:dyDescent="0.25">
      <c r="C27" s="43" t="s">
        <v>133</v>
      </c>
      <c r="D27" s="43" t="str">
        <f>""""&amp;IF(OR(D25="",D25=0),"",TEXT(D26/D25,"0,0%"))&amp;""""</f>
        <v>"3,2%"</v>
      </c>
      <c r="F27" s="45" t="str">
        <f t="shared" si="1"/>
        <v>"%_corrections" : "3,2%",</v>
      </c>
    </row>
    <row r="28" spans="2:6" x14ac:dyDescent="0.25">
      <c r="C28" s="43" t="s">
        <v>125</v>
      </c>
      <c r="D28" s="43">
        <f>IF('SCOUT &amp; LOGISTICS'!AA17="","",'SCOUT &amp; LOGISTICS'!AA17)</f>
        <v>6</v>
      </c>
      <c r="F28" s="45" t="str">
        <f t="shared" si="1"/>
        <v>"home_team" : 6,</v>
      </c>
    </row>
    <row r="29" spans="2:6" x14ac:dyDescent="0.25">
      <c r="C29" s="43" t="s">
        <v>134</v>
      </c>
      <c r="D29" s="43">
        <f>IF('SCOUT &amp; LOGISTICS'!AA18="","",'SCOUT &amp; LOGISTICS'!AA18)</f>
        <v>11</v>
      </c>
      <c r="F29" s="45" t="str">
        <f t="shared" si="1"/>
        <v>"no_team" : 11,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8</v>
      </c>
      <c r="F31" s="45" t="str">
        <f t="shared" si="1"/>
        <v>"q1" : 8,</v>
      </c>
    </row>
    <row r="32" spans="2:6" x14ac:dyDescent="0.25">
      <c r="C32" s="43" t="s">
        <v>136</v>
      </c>
      <c r="D32" s="43">
        <f>'SCOUT &amp; LOGISTICS'!AG18</f>
        <v>7</v>
      </c>
      <c r="F32" s="45" t="str">
        <f t="shared" si="1"/>
        <v>"q2" : 7,</v>
      </c>
    </row>
    <row r="33" spans="3:6" x14ac:dyDescent="0.25">
      <c r="C33" s="43" t="s">
        <v>137</v>
      </c>
      <c r="D33" s="43">
        <f>'SCOUT &amp; LOGISTICS'!AG19</f>
        <v>1</v>
      </c>
      <c r="F33" s="45" t="str">
        <f t="shared" si="1"/>
        <v>"q3" : 1,</v>
      </c>
    </row>
    <row r="34" spans="3:6" x14ac:dyDescent="0.25">
      <c r="C34" s="43" t="s">
        <v>138</v>
      </c>
      <c r="D34" s="43">
        <f>'SCOUT &amp; LOGISTICS'!AG20</f>
        <v>1</v>
      </c>
      <c r="F34" s="45" t="str">
        <f t="shared" si="1"/>
        <v>"q4" : 1,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17</v>
      </c>
      <c r="F37" s="45" t="str">
        <f t="shared" si="1"/>
        <v>"scoresheet_corrections" : 17,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2</v>
      </c>
      <c r="F39" s="45" t="str">
        <f t="shared" si="1"/>
        <v>"missidentity" : 2,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4</v>
      </c>
      <c r="F46" s="45" t="str">
        <f t="shared" si="1"/>
        <v>"part_of_a_sequence" : 4,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3</v>
      </c>
      <c r="F48" s="45" t="str">
        <f t="shared" si="1"/>
        <v>"fouls" : 3,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"Clear improvement from the 1st half to the 2nd. Specially on scounting well the Team Rebounds. As a little recommendatiion: before scouting any action with the game stopped, make sure your time matches the game time, this way you'll avoid editing times. "</v>
      </c>
      <c r="F51" s="45" t="str">
        <f>""""&amp;B51&amp;"""" &amp; " : " &amp;C51&amp;","</f>
        <v>"comments" : "Clear improvement from the 1st half to the 2nd. Specially on scounting well the Team Rebounds. As a little recommendatiion: before scouting any action with the game stopped, make sure your time matches the game time, this way you'll avoid editing times. ",</v>
      </c>
    </row>
    <row r="52" spans="2:6" x14ac:dyDescent="0.25">
      <c r="B52" s="43" t="s">
        <v>153</v>
      </c>
      <c r="C52" s="43" t="str">
        <f>TEXT('SCOUT &amp; LOGISTICS'!F1,"0,0")</f>
        <v>04_038_BOU_LKB_U2025</v>
      </c>
      <c r="F52" s="45" t="str">
        <f>""""&amp;B52&amp;"""" &amp; " : " &amp;C52</f>
        <v>"result" : 04_038_BOU_LKB_U2025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5.5" zeroHeight="1" x14ac:dyDescent="0.4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45"/>
    <row r="2" spans="1:33" ht="42.65" customHeight="1" thickBot="1" x14ac:dyDescent="0.5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5">
      <c r="A3" s="48"/>
      <c r="B3" s="208" t="str">
        <f>"GAME: "&amp; LEFT('SCOUT &amp; LOGISTICS'!B2,1) &amp; TEXT('SCOUT &amp; LOGISTICS'!C2,"000") &amp; " " &amp; IF(LEFT('SCOUT &amp; LOGISTICS'!B2,1)="U","(EUROCUP)","(EUROLEAGUE)")</f>
        <v>GAME: U038 (EUROCUP)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5">
      <c r="A4" s="48"/>
      <c r="B4" s="194" t="str">
        <f ca="1">"DATE: " &amp; TEXT('SCOUT &amp; LOGISTICS'!B3,"dd/mm")</f>
        <v>DATE: 22/10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49999999999999" customHeight="1" thickBot="1" x14ac:dyDescent="0.5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5" customHeight="1" thickBot="1" x14ac:dyDescent="0.5">
      <c r="A6" s="48"/>
      <c r="B6" s="212" t="str">
        <f>PROPER('SCOUT &amp; LOGISTICS'!D4)</f>
        <v>Cosea Jl Bourg-En-Bresse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Lietkabelis Panevezys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5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5">
      <c r="A8" s="48"/>
      <c r="B8" s="206" t="str">
        <f>IF('SCOUT &amp; LOGISTICS'!D6="","",'SCOUT &amp; LOGISTICS'!D6)</f>
        <v>GUILLAME VORS</v>
      </c>
      <c r="C8" s="206"/>
      <c r="D8" s="206"/>
      <c r="E8" s="206"/>
      <c r="F8" s="206"/>
      <c r="G8" s="206" t="str">
        <f>IF('SCOUT &amp; LOGISTICS'!D7="","",'SCOUT &amp; LOGISTICS'!D7)</f>
        <v>MAXIME VASSELIN</v>
      </c>
      <c r="H8" s="206"/>
      <c r="I8" s="206"/>
      <c r="J8" s="206"/>
      <c r="K8" s="206"/>
      <c r="L8" s="206" t="str">
        <f>IF('SCOUT &amp; LOGISTICS'!D8="","",'SCOUT &amp; LOGISTICS'!D8)</f>
        <v>SOFYAN LANGER</v>
      </c>
      <c r="M8" s="206"/>
      <c r="N8" s="206"/>
      <c r="O8" s="206"/>
      <c r="P8" s="206"/>
      <c r="Q8" s="206" t="str">
        <f>IF('SCOUT &amp; LOGISTICS'!D9="","",'SCOUT &amp; LOGISTICS'!D9)</f>
        <v>MAXIME JANNON</v>
      </c>
      <c r="R8" s="206"/>
      <c r="S8" s="206"/>
      <c r="T8" s="206"/>
      <c r="U8" s="206"/>
      <c r="V8" s="206" t="str">
        <f>IF('SCOUT &amp; LOGISTICS'!D10="","",'SCOUT &amp; LOGISTICS'!D10)</f>
        <v>ALAIN FERRANT</v>
      </c>
      <c r="W8" s="206"/>
      <c r="X8" s="206"/>
      <c r="Y8" s="206"/>
      <c r="Z8" s="206"/>
      <c r="AA8" s="206" t="str">
        <f>IF('SCOUT &amp; LOGISTICS'!D11="","",'SCOUT &amp; LOGISTICS'!D11)</f>
        <v>IRS</v>
      </c>
      <c r="AB8" s="206"/>
      <c r="AC8" s="206"/>
      <c r="AD8" s="206"/>
      <c r="AE8" s="206"/>
      <c r="AF8" s="48"/>
    </row>
    <row r="9" spans="1:33" ht="16" thickBot="1" x14ac:dyDescent="0.5">
      <c r="A9" s="48"/>
      <c r="B9" s="200" t="str">
        <f>IF(OR('SCOUT &amp; LOGISTICS'!D14="",'SCOUT &amp; LOGISTICS'!D14=0),"",'SCOUT &amp; LOGISTICS'!B14 &amp; ": " &amp; 'SCOUT &amp; LOGISTICS'!D14) &amp; "     "</f>
        <v xml:space="preserve">L G M: : ELOI VERGÉ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6" thickBot="1" x14ac:dyDescent="0.5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49999999999999" customHeight="1" thickBot="1" x14ac:dyDescent="0.5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5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5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OK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6" thickBot="1" x14ac:dyDescent="0.5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49999999999999" customHeight="1" thickBot="1" x14ac:dyDescent="0.5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5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5">
      <c r="A17" s="48"/>
      <c r="B17" s="204">
        <f>'SCOUT &amp; LOGISTICS'!D3</f>
        <v>533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17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3.1894934333958722E-2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6" thickBot="1" x14ac:dyDescent="0.5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5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5">
      <c r="A20" s="48"/>
      <c r="B20" s="197">
        <f>IF('SCOUT &amp; LOGISTICS'!AA17="","",'SCOUT &amp; LOGISTICS'!AA17)</f>
        <v>6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11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5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5">
      <c r="A22" s="48"/>
      <c r="B22" s="197">
        <f>'SCOUT &amp; LOGISTICS'!AG17</f>
        <v>8</v>
      </c>
      <c r="C22" s="197"/>
      <c r="D22" s="197"/>
      <c r="E22" s="197"/>
      <c r="F22" s="197"/>
      <c r="G22" s="197"/>
      <c r="H22" s="197">
        <f>'SCOUT &amp; LOGISTICS'!AG18</f>
        <v>7</v>
      </c>
      <c r="I22" s="197"/>
      <c r="J22" s="197"/>
      <c r="K22" s="197"/>
      <c r="L22" s="197"/>
      <c r="M22" s="197"/>
      <c r="N22" s="197">
        <f>'SCOUT &amp; LOGISTICS'!AG19</f>
        <v>1</v>
      </c>
      <c r="O22" s="197"/>
      <c r="P22" s="197"/>
      <c r="Q22" s="197"/>
      <c r="R22" s="197"/>
      <c r="S22" s="197"/>
      <c r="T22" s="197">
        <f>'SCOUT &amp; LOGISTICS'!AG20</f>
        <v>1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6" thickBot="1" x14ac:dyDescent="0.5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5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5">
      <c r="A25" s="48"/>
      <c r="B25" s="197">
        <f>'SCOUT &amp; LOGISTICS'!Y17</f>
        <v>17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5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5">
      <c r="A27" s="48"/>
      <c r="B27" s="197">
        <f>'SCOUT &amp; LOGISTICS'!AC18</f>
        <v>2</v>
      </c>
      <c r="C27" s="197"/>
      <c r="D27" s="197"/>
      <c r="E27" s="197"/>
      <c r="F27" s="197"/>
      <c r="G27" s="197">
        <f>'SCOUT &amp; LOGISTICS'!AC22</f>
        <v>5</v>
      </c>
      <c r="H27" s="197"/>
      <c r="I27" s="197"/>
      <c r="J27" s="197"/>
      <c r="K27" s="197"/>
      <c r="L27" s="197">
        <f>'SCOUT &amp; LOGISTICS'!AC23</f>
        <v>4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5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5">
      <c r="A29" s="48"/>
      <c r="B29" s="197">
        <f>'SCOUT &amp; LOGISTICS'!AC25</f>
        <v>3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3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6" thickBot="1" x14ac:dyDescent="0.5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49999999999999" customHeight="1" thickBot="1" x14ac:dyDescent="0.5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5" customHeight="1" thickBot="1" x14ac:dyDescent="0.5">
      <c r="A32" s="48"/>
      <c r="B32" s="195" t="str">
        <f>IF('SCOUT &amp; LOGISTICS'!M4="","",'SCOUT &amp; LOGISTICS'!M4)</f>
        <v xml:space="preserve">Clear improvement from the 1st half to the 2nd. Specially on scounting well the Team Rebounds. As a little recommendatiion: before scouting any action with the game stopped, make sure your time matches the game time, this way you'll avoid editing times. 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49999999999999" customHeight="1" thickBot="1" x14ac:dyDescent="0.5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49999999999999" customHeight="1" thickBot="1" x14ac:dyDescent="0.5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5">
      <c r="A35" s="48"/>
      <c r="B35" s="196">
        <f>'SCOUT &amp; LOGISTICS'!M7</f>
        <v>29.189493433395874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4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94F7101E-E8DA-4672-823D-3630FC23D9EE}"/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Eloi Vergé</cp:lastModifiedBy>
  <cp:lastPrinted>2025-10-21T15:13:00Z</cp:lastPrinted>
  <dcterms:created xsi:type="dcterms:W3CDTF">2023-09-19T19:50:35Z</dcterms:created>
  <dcterms:modified xsi:type="dcterms:W3CDTF">2025-10-22T19:56:13Z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