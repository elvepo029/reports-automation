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9" documentId="8_{15B398A3-707B-4675-A8AF-62B347CB14CC}" xr6:coauthVersionLast="47" xr6:coauthVersionMax="47" xr10:uidLastSave="{CFA28D5B-2CE3-4618-B38C-26F14D0ADFEF}"/>
  <bookViews>
    <workbookView xWindow="19090" yWindow="-640" windowWidth="19420" windowHeight="115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<sst xmlns="http://schemas.openxmlformats.org/spreadsheetml/2006/main" count="3267" uniqueCount="759">
  <si>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</si>
  <si>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</si>
  <si>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</si>
  <si>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</si>
  <si>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</si>
  <si>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</si>
  <si>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</si>
  <si>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</si>
  <si>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</si>
  <si>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</si>
  <si>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</si>
  <si>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</si>
  <si>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</si>
  <si>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</si>
  <si>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</si>
  <si>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</si>
  <si>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</si>
  <si>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</si>
  <si>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</si>
  <si>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</si>
  <si>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</si>
  <si>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</si>
  <si>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</si>
  <si>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</si>
  <si>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</si>
  <si>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</si>
  <si>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</si>
  <si>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</si>
  <si>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</si>
  <si>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</si>
  <si>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</si>
  <si>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</si>
  <si>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</si>
  <si>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</si>
  <si>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</si>
  <si>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</si>
  <si>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</si>
  <si>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</si>
  <si>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</si>
  <si>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</si>
  <si>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</si>
  <si>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</si>
  <si>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</si>
  <si>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</si>
  <si>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</si>
  <si>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</si>
  <si>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</si>
  <si>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</si>
  <si>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</si>
  <si>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</si>
  <si>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</si>
  <si>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</si>
  <si>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</si>
  <si>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</si>
  <si>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</si>
  <si>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</si>
  <si>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</si>
  <si>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</si>
  <si>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</si>
  <si>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</si>
  <si>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</si>
  <si>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</si>
  <si>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</si>
  <si>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</si>
  <si>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</si>
  <si>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</si>
  <si>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</si>
  <si>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</si>
  <si>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</si>
  <si>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</si>
  <si>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</si>
  <si>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</si>
  <si>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</si>
  <si>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</si>
  <si>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</si>
  <si>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</si>
  <si>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</si>
  <si>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</si>
  <si>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</si>
  <si>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</si>
  <si>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</si>
  <si>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</si>
  <si>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</si>
  <si>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</si>
  <si>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</si>
  <si>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</si>
  <si>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</si>
  <si>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</si>
  <si>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</si>
  <si>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</si>
  <si>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</si>
  <si>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</si>
  <si>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</si>
  <si>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</si>
  <si>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</si>
  <si>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</si>
  <si>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</si>
  <si>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</si>
  <si>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</si>
  <si>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</si>
  <si>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</si>
  <si>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</si>
  <si>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</si>
  <si>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</si>
  <si>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</si>
  <si>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</si>
  <si>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</si>
  <si>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</si>
  <si>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</si>
  <si>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</si>
  <si>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</si>
  <si>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</si>
  <si>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</si>
  <si>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</si>
  <si>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</si>
  <si>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</si>
  <si>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</si>
  <si>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</si>
  <si>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</si>
  <si>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</si>
  <si>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</si>
  <si>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</si>
  <si>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</si>
  <si>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</si>
  <si>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</si>
  <si>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</si>
  <si>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</si>
  <si>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</si>
  <si>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</si>
  <si>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</si>
  <si>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</si>
  <si>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</si>
  <si>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</si>
  <si>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</si>
  <si>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</si>
  <si>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</si>
  <si>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</si>
  <si>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</si>
  <si>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</si>
  <si>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</si>
  <si>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</si>
  <si>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</si>
  <si>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</si>
  <si>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</si>
  <si>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</si>
  <si>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</si>
  <si>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</si>
  <si>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</si>
  <si>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</si>
  <si>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</si>
  <si>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</si>
  <si>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</si>
  <si>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</si>
  <si>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</si>
  <si>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</si>
  <si>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</si>
  <si>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</si>
  <si>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</si>
  <si>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</si>
  <si>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</si>
  <si>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</si>
  <si>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</si>
  <si>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</si>
  <si>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</si>
  <si>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</si>
  <si>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</si>
  <si>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</si>
  <si>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</si>
  <si>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</si>
  <si>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</si>
  <si>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</si>
  <si>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</si>
  <si>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</si>
  <si>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</si>
  <si>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</si>
  <si>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</si>
  <si>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</si>
  <si>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</si>
  <si>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</si>
  <si>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</si>
  <si>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</si>
  <si>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</si>
  <si>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</si>
  <si>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</si>
  <si>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</si>
  <si>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</si>
  <si>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</si>
  <si>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</si>
  <si>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</si>
  <si>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</si>
  <si>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</si>
  <si>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</si>
  <si>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</si>
  <si>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</si>
  <si>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</si>
  <si>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</si>
  <si>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</si>
  <si>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</si>
  <si>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</si>
  <si>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</si>
  <si>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</si>
  <si>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</si>
  <si>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</si>
  <si>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</si>
  <si>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</si>
  <si>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</si>
  <si>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</si>
  <si>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</si>
  <si>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</si>
  <si>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</si>
  <si>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</si>
  <si>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</si>
  <si>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</si>
  <si>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</si>
  <si>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</si>
  <si>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</si>
  <si>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</si>
  <si>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</si>
  <si>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</si>
  <si>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</si>
  <si>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</si>
  <si>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</si>
  <si>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</si>
  <si>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</si>
  <si>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</si>
  <si>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</si>
  <si>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</si>
  <si>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</si>
  <si>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</si>
  <si>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</si>
  <si>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</si>
  <si>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</si>
  <si>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</si>
  <si>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</si>
  <si>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</si>
  <si>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</si>
  <si>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</si>
  <si>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</si>
  <si>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</si>
  <si>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</si>
  <si>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</si>
  <si>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</si>
  <si>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</si>
  <si>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</si>
  <si>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</si>
  <si>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</si>
  <si>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</si>
  <si>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</si>
  <si>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</si>
  <si>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</si>
  <si>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</si>
  <si>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</si>
  <si>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</si>
  <si>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</si>
  <si>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</si>
  <si>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</si>
  <si>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</si>
  <si>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</si>
  <si>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</si>
  <si>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</si>
  <si>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</si>
  <si>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</si>
  <si>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</si>
  <si>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</si>
  <si>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</si>
  <si>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</si>
  <si>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</si>
  <si>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</si>
  <si>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</si>
  <si>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</si>
  <si>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</si>
  <si>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</si>
  <si>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</si>
  <si>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</si>
  <si>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</si>
  <si>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</si>
  <si>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</si>
  <si>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</si>
  <si>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</si>
  <si>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</si>
  <si>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</si>
  <si>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</si>
  <si>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</si>
  <si>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</si>
  <si>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</si>
  <si>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</si>
  <si>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</si>
  <si>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</si>
  <si>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</si>
  <si>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</si>
  <si>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</si>
  <si>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</si>
  <si>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</si>
  <si>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</si>
  <si>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</si>
  <si>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</si>
  <si>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</si>
  <si>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</si>
  <si>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</si>
  <si>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</si>
  <si>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</si>
  <si>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</si>
  <si>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</si>
  <si>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</si>
  <si>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</si>
  <si>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</si>
  <si>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</si>
  <si>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</si>
  <si>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</si>
  <si>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</si>
  <si>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</si>
  <si>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</si>
  <si>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</si>
  <si>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</si>
  <si>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</si>
  <si>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</si>
  <si>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</si>
  <si>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</si>
  <si>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</si>
  <si>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</si>
  <si>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</si>
  <si>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</si>
  <si>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</si>
  <si>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</si>
  <si>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</si>
  <si>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</si>
  <si>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</si>
  <si>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</si>
  <si>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</si>
  <si>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</si>
  <si>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</si>
  <si>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</si>
  <si>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</si>
  <si>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</si>
  <si>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</si>
  <si>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</si>
  <si>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</si>
  <si>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</si>
  <si>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</si>
  <si>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</si>
  <si>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</si>
  <si>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</si>
  <si>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</si>
  <si>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</si>
  <si>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</si>
  <si>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</si>
  <si>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</si>
  <si>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</si>
  <si>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</si>
  <si>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</si>
  <si>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</si>
  <si>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</si>
  <si>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</si>
  <si>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</si>
  <si>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</si>
  <si>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</si>
  <si>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</si>
  <si>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</si>
  <si>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</si>
  <si>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</si>
  <si>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</si>
  <si>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</si>
  <si>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</si>
  <si>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</si>
  <si>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</si>
  <si>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</si>
  <si>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</si>
  <si>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</si>
  <si>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</si>
  <si>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</si>
  <si>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</si>
  <si>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</si>
  <si>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</si>
  <si>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</si>
  <si>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</si>
  <si>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</si>
  <si>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</si>
  <si>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</si>
  <si>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</si>
  <si>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</si>
  <si>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</si>
  <si>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</si>
  <si>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</si>
  <si>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</si>
  <si>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</si>
  <si>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</si>
  <si>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</si>
  <si>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</si>
  <si>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</si>
  <si>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</si>
  <si>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</si>
  <si>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</si>
  <si>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</si>
  <si>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</si>
  <si>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</si>
  <si>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</si>
  <si>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</si>
  <si>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</si>
  <si>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</si>
  <si>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</si>
  <si>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</si>
  <si>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</si>
  <si>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</si>
  <si>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</si>
  <si>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</si>
  <si>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</si>
  <si>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</si>
  <si>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</si>
  <si>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</si>
  <si>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</si>
  <si>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</si>
  <si>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</si>
  <si>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</si>
  <si>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</si>
  <si>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</si>
  <si>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</si>
  <si>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</si>
  <si>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</si>
  <si>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</si>
  <si>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</si>
  <si>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</si>
  <si>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</si>
  <si>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</si>
  <si>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</si>
  <si>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</si>
  <si>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</si>
  <si>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</si>
  <si>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</si>
  <si>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</si>
  <si>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</si>
  <si>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</si>
  <si>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</si>
  <si>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</si>
  <si>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</si>
  <si>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</si>
  <si>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</si>
  <si>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</si>
  <si>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</si>
  <si>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</si>
  <si>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</si>
  <si>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</si>
  <si>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</si>
  <si>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</si>
  <si>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</si>
  <si>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</si>
  <si>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</si>
  <si>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</si>
  <si>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</si>
  <si>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</si>
  <si>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</si>
  <si>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</si>
  <si>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</si>
  <si>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</si>
  <si>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</si>
  <si>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</si>
  <si>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</si>
  <si>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</si>
  <si>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</si>
  <si>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</si>
  <si>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</si>
  <si>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</si>
  <si>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</si>
  <si>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</si>
  <si>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</si>
  <si>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</si>
  <si>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</si>
  <si>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</si>
  <si>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</si>
  <si>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</si>
  <si>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</si>
  <si>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</si>
  <si>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</si>
  <si>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</si>
  <si>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</si>
  <si>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</si>
  <si>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</si>
  <si>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</si>
  <si>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</si>
  <si>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</si>
  <si>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</si>
  <si>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</si>
  <si>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</si>
  <si>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</si>
  <si>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</si>
  <si>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</si>
  <si>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</si>
  <si>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</si>
  <si>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</si>
  <si>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</si>
  <si>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</si>
  <si>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</si>
  <si>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</si>
  <si>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</si>
  <si>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</si>
  <si>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</si>
  <si>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</si>
  <si>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</si>
  <si>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</si>
  <si>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</si>
  <si>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</si>
  <si>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</si>
  <si>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</si>
  <si>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</si>
  <si>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</si>
  <si>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</si>
  <si>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</si>
  <si>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</si>
  <si>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</si>
  <si>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</si>
  <si>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</si>
  <si>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</si>
  <si>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</si>
  <si>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</si>
  <si>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</si>
  <si>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</si>
  <si>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</si>
  <si>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</si>
  <si>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</si>
  <si>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</si>
  <si>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</si>
  <si>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</si>
  <si>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</si>
  <si>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</si>
  <si>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</si>
  <si>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</si>
  <si>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</si>
  <si>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</si>
  <si>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</si>
  <si>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</si>
  <si>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</si>
  <si>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</si>
  <si>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</si>
  <si>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</si>
  <si>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</si>
  <si>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</si>
  <si>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</si>
  <si>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</si>
  <si>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</si>
  <si>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</si>
  <si>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</si>
  <si>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</si>
  <si>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</si>
  <si>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</si>
  <si>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</si>
  <si>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</si>
  <si>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</si>
  <si>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</si>
  <si>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</si>
  <si>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</si>
  <si>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</si>
  <si>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</si>
  <si>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</si>
  <si>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</si>
  <si>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</si>
  <si>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</si>
  <si>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</si>
  <si>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</si>
  <si>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</si>
  <si>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</si>
  <si>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</si>
  <si>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</si>
  <si>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</si>
  <si>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</si>
  <si>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</si>
  <si>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</si>
  <si>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</si>
  <si>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</si>
  <si>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</si>
  <si>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</si>
  <si>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</si>
  <si>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</si>
  <si>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</si>
  <si>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</si>
  <si>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</si>
  <si>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</si>
  <si>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</si>
  <si>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</si>
  <si>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</si>
  <si>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</si>
  <si>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</si>
  <si>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</si>
  <si>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</si>
  <si>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</si>
  <si>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</si>
  <si>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</si>
  <si>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</si>
  <si>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</si>
  <si>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</si>
  <si>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</si>
  <si>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</si>
  <si>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</si>
  <si>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</si>
  <si>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</si>
  <si>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</si>
  <si>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</si>
  <si>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</si>
  <si>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</si>
  <si>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</si>
  <si>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</si>
  <si>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</si>
  <si>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</si>
  <si>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</si>
  <si>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</si>
  <si>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</si>
  <si>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</si>
  <si>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</si>
  <si>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</si>
  <si>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</si>
  <si>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</si>
  <si>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</si>
  <si>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</si>
  <si>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</si>
  <si>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</si>
  <si>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</si>
  <si>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</si>
  <si>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</si>
  <si>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</si>
  <si>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</si>
  <si>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</si>
  <si>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</si>
  <si>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</si>
  <si>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</si>
  <si>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</si>
  <si>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</si>
  <si>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</si>
  <si>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</si>
  <si>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</si>
  <si>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</si>
  <si>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</si>
  <si>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</si>
  <si>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</si>
  <si>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</si>
  <si>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</si>
  <si>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</si>
  <si>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</si>
  <si>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</si>
  <si>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</si>
  <si>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</si>
  <si>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</si>
  <si>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</si>
  <si>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</si>
  <si>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</si>
  <si>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</si>
  <si>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</si>
  <si>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</si>
  <si>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</si>
  <si>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</si>
  <si>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</si>
  <si>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</si>
  <si>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</si>
  <si>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</si>
  <si>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</si>
  <si>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</si>
  <si>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</si>
  <si>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</si>
  <si>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</si>
  <si>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</si>
  <si>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</si>
  <si>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</si>
  <si>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</si>
  <si>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</si>
  <si>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</si>
  <si>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</si>
  <si>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</si>
  <si>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</si>
  <si>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</si>
  <si>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</si>
  <si>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</si>
  <si>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</si>
  <si>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</si>
  <si>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</si>
  <si>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</si>
  <si>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</si>
  <si>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</si>
  <si>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</si>
  <si>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</si>
  <si>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</si>
  <si>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</si>
  <si>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</si>
  <si>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</si>
  <si>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</si>
  <si>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</si>
  <si>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</si>
  <si>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</si>
  <si>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</si>
  <si>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</si>
  <si>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</si>
  <si>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</si>
  <si>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</si>
  <si>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</si>
  <si>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</si>
  <si>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</si>
  <si>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</si>
  <si>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</si>
  <si>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</si>
  <si>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</si>
  <si>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</si>
  <si>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</si>
  <si>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</si>
  <si>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</si>
  <si>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</si>
  <si>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</si>
  <si>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</si>
  <si>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</si>
  <si>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</si>
  <si>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</si>
  <si>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</si>
  <si>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</si>
  <si>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</si>
  <si>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</si>
  <si>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</si>
  <si>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</si>
  <si>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</si>
  <si>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</si>
  <si>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</si>
  <si>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</si>
  <si>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</si>
  <si>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</si>
  <si>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</si>
  <si>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</si>
  <si>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</si>
  <si>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</si>
  <si>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</si>
  <si>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</si>
  <si>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</si>
  <si>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</si>
  <si>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</si>
  <si>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</si>
  <si>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</si>
  <si>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</si>
  <si>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</si>
  <si>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</si>
  <si>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</si>
  <si>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</si>
  <si>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</si>
  <si>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</si>
  <si>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</si>
  <si>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</si>
  <si>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</si>
  <si>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</si>
  <si>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</si>
  <si>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</si>
  <si>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</si>
  <si>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</si>
  <si>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</si>
  <si>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</si>
  <si>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</si>
  <si>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</si>
  <si>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</si>
  <si>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</si>
  <si>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MARC VENTURA</t>
  </si>
  <si>
    <t>DANILO KONATAR</t>
  </si>
  <si>
    <t>LAZAR KNECEVIC</t>
  </si>
  <si>
    <t>couldn't insert the 2 points and put it later than it should be</t>
  </si>
  <si>
    <t>9:13</t>
  </si>
  <si>
    <t>9:50</t>
  </si>
  <si>
    <t>received with 1 foot on the paint</t>
  </si>
  <si>
    <t>good performance. Good criteria. Not a difficult game but with some tricky situations well resolved.</t>
  </si>
  <si>
    <t>good job, according to standards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</si>
</sst>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2" sqref="L2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04_039_BUD_NIO_U2025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45952.791666666664</v>
      </c>
      <c r="C3" s="178"/>
      <c r="D3" s="39">
        <v>569</v>
      </c>
      <c r="E3" s="29"/>
      <c r="F3" s="26">
        <f>SUBTOTAL(3,I17:I106)</f>
        <v>4</v>
      </c>
      <c r="G3" s="27">
        <f>IF(OR(D3="",D3=0),"",F3/D3)</f>
        <v>7.0298769771528994E-3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Buducnost VOLI Podgorica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743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7.0298769771528994E-3</v>
      </c>
      <c r="S4" s="61">
        <f>SUM(I13:M13)</f>
        <v>1</v>
      </c>
      <c r="T4" s="78"/>
      <c r="U4" s="61">
        <f>AC18</f>
        <v>1</v>
      </c>
      <c r="V4" s="61">
        <f>+AC22</f>
        <v>0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Panionios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0.70298769771528991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719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741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8.2029876977152902</v>
      </c>
      <c r="N7" s="58"/>
      <c r="O7" s="2"/>
      <c r="P7" s="2"/>
      <c r="Q7" s="86">
        <f>SUM(R5,S5,AC16)</f>
        <v>8.2029876977152902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8.2029876977152902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721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 t="s">
        <v>758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39</v>
      </c>
      <c r="D17" s="32" t="s">
        <v>755</v>
      </c>
      <c r="E17" s="33">
        <v>1</v>
      </c>
      <c r="F17" s="36">
        <v>2</v>
      </c>
      <c r="G17" s="36">
        <v>0</v>
      </c>
      <c r="H17" s="38" t="str">
        <f>IF(I17="","",$I$14)</f>
        <v>SCOUTING</v>
      </c>
      <c r="I17" s="34">
        <v>4</v>
      </c>
      <c r="J17" s="13" t="s">
        <v>4</v>
      </c>
      <c r="K17" s="13" t="s">
        <v>62</v>
      </c>
      <c r="L17" s="13" t="s">
        <v>5</v>
      </c>
      <c r="M17" s="13" t="s">
        <v>11</v>
      </c>
      <c r="N17" s="35" t="s">
        <v>756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39</v>
      </c>
      <c r="D18" s="32" t="s">
        <v>754</v>
      </c>
      <c r="E18" s="33">
        <v>1</v>
      </c>
      <c r="F18" s="36">
        <v>2</v>
      </c>
      <c r="G18" s="36">
        <v>0</v>
      </c>
      <c r="H18" s="38" t="str">
        <f t="shared" ref="H18:H81" si="8">IF(I18="","",$I$14)</f>
        <v>SCOUTING</v>
      </c>
      <c r="I18" s="34">
        <v>8</v>
      </c>
      <c r="J18" s="13" t="s">
        <v>4</v>
      </c>
      <c r="K18" s="13" t="s">
        <v>62</v>
      </c>
      <c r="L18" s="13" t="s">
        <v>7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39</v>
      </c>
      <c r="D19" s="32" t="s">
        <v>754</v>
      </c>
      <c r="E19" s="33">
        <v>1</v>
      </c>
      <c r="F19" s="36">
        <v>2</v>
      </c>
      <c r="G19" s="36">
        <v>0</v>
      </c>
      <c r="H19" s="38" t="str">
        <f t="shared" si="8"/>
        <v>SCOUTING</v>
      </c>
      <c r="I19" s="34">
        <v>9</v>
      </c>
      <c r="J19" s="13" t="s">
        <v>4</v>
      </c>
      <c r="K19" s="13" t="s">
        <v>62</v>
      </c>
      <c r="L19" s="13" t="s">
        <v>7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39</v>
      </c>
      <c r="D20" s="32" t="s">
        <v>755</v>
      </c>
      <c r="E20" s="33">
        <v>1</v>
      </c>
      <c r="F20" s="36">
        <v>2</v>
      </c>
      <c r="G20" s="36">
        <v>0</v>
      </c>
      <c r="H20" s="38" t="str">
        <f t="shared" si="8"/>
        <v>SCOUTING</v>
      </c>
      <c r="I20" s="34">
        <v>14</v>
      </c>
      <c r="J20" s="13" t="s">
        <v>4</v>
      </c>
      <c r="K20" s="13" t="s">
        <v>62</v>
      </c>
      <c r="L20" s="13" t="s">
        <v>47</v>
      </c>
      <c r="M20" s="13" t="s">
        <v>39</v>
      </c>
      <c r="N20" s="35" t="s">
        <v>753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REPORT_U2025039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"U2025039"</v>
      </c>
      <c r="F3" s="45" t="str">
        <f t="shared" ref="F3:F16" si="0">""""&amp;B3&amp;"""" &amp; " : " &amp;C3&amp;","</f>
        <v>"name" : "U2025039",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"U039"</v>
      </c>
      <c r="F4" s="45" t="str">
        <f t="shared" si="0"/>
        <v>"cod" : "U039",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039</v>
      </c>
      <c r="F6" s="45" t="str">
        <f t="shared" si="0"/>
        <v>"number" : 039,</v>
      </c>
    </row>
    <row r="7" spans="2:6" x14ac:dyDescent="0.2">
      <c r="B7" s="43" t="s">
        <v>116</v>
      </c>
      <c r="C7" s="43" t="str">
        <f ca="1">""""&amp;TEXT('SCOUT &amp; LOGISTICS'!B3,"dd/mm/aaaa")&amp;""""</f>
        <v>"22/10/Wednesday"</v>
      </c>
      <c r="F7" s="45" t="str">
        <f t="shared" ca="1" si="0"/>
        <v>"date" : "22/10/Wednesday",</v>
      </c>
    </row>
    <row r="8" spans="2:6" x14ac:dyDescent="0.2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"LAZAR VUJICIC"</v>
      </c>
      <c r="F10" s="45" t="str">
        <f t="shared" si="0"/>
        <v>"Data_entry" : "LAZAR VUJICIC",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"SINISA SEKULIC"</v>
      </c>
      <c r="F11" s="45" t="str">
        <f t="shared" si="0"/>
        <v>"Caller_1" : "SINISA SEKULIC",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"DANILO KONATAR"</v>
      </c>
      <c r="F12" s="45" t="str">
        <f t="shared" si="0"/>
        <v>"Caller_2" : "DANILO KONATAR",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"LAZAR KNECEVIC"</v>
      </c>
      <c r="F13" s="45" t="str">
        <f t="shared" si="0"/>
        <v>"Timerkeeper" : "LAZAR KNECEVIC",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569</v>
      </c>
      <c r="F25" s="45" t="str">
        <f t="shared" ref="F25:F48" si="1">""""&amp;C25&amp;"""" &amp; " : " &amp;D25&amp;","</f>
        <v>"total_actions" : 569,</v>
      </c>
    </row>
    <row r="26" spans="2:6" x14ac:dyDescent="0.2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performance. Good criteria. Not a difficult game but with some tricky situations well resolved."</v>
      </c>
      <c r="F51" s="45" t="str">
        <f>""""&amp;B51&amp;"""" &amp; " : " &amp;C51&amp;","</f>
        <v>"comments" : "good performance. Good criteria. Not a difficult game but with some tricky situations well resolved.",</v>
      </c>
    </row>
    <row r="52" spans="2:6" x14ac:dyDescent="0.2">
      <c r="B52" s="43" t="s">
        <v>153</v>
      </c>
      <c r="C52" s="43" t="str">
        <f>TEXT('SCOUT &amp; LOGISTICS'!F1,"0,0")</f>
        <v>04_039_BUD_NIO_U2025</v>
      </c>
      <c r="F52" s="45" t="str">
        <f>""""&amp;B52&amp;"""" &amp; " : " &amp;C52</f>
        <v>"result" : 04_039_BUD_NIO_U2025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U039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22/10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Buducnost Voli Podgorica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Panionios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LAZAR VUJICIC</v>
      </c>
      <c r="C8" s="201"/>
      <c r="D8" s="201"/>
      <c r="E8" s="201"/>
      <c r="F8" s="201"/>
      <c r="G8" s="201" t="str">
        <f>IF('SCOUT &amp; LOGISTICS'!D7="","",'SCOUT &amp; LOGISTICS'!D7)</f>
        <v>SINISA SEKULIC</v>
      </c>
      <c r="H8" s="201"/>
      <c r="I8" s="201"/>
      <c r="J8" s="201"/>
      <c r="K8" s="201"/>
      <c r="L8" s="201" t="str">
        <f>IF('SCOUT &amp; LOGISTICS'!D8="","",'SCOUT &amp; LOGISTICS'!D8)</f>
        <v>DANILO KONATAR</v>
      </c>
      <c r="M8" s="201"/>
      <c r="N8" s="201"/>
      <c r="O8" s="201"/>
      <c r="P8" s="201"/>
      <c r="Q8" s="201" t="str">
        <f>IF('SCOUT &amp; LOGISTICS'!D9="","",'SCOUT &amp; LOGISTICS'!D9)</f>
        <v>LAZAR KNECEVIC</v>
      </c>
      <c r="R8" s="201"/>
      <c r="S8" s="201"/>
      <c r="T8" s="201"/>
      <c r="U8" s="201"/>
      <c r="V8" s="201" t="str">
        <f>IF('SCOUT &amp; LOGISTICS'!D10="","",'SCOUT &amp; LOGISTICS'!D10)</f>
        <v>KAROLINA RADINOVIC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.5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5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5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569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7.0298769771528994E-3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5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5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1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5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good performance. Good criteria. Not a difficult game but with some tricky situations well resolved.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8.2029876977152902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4892841-B32E-4134-B5E2-D2CF74ECAE4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2025-10-21T15:13:05Z</cp:lastPrinted>
  <dcterms:created xsi:type="dcterms:W3CDTF">2023-09-19T19:50:35Z</dcterms:created>
  <dcterms:modified xsi:type="dcterms:W3CDTF">2025-10-24T14:40:16Z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