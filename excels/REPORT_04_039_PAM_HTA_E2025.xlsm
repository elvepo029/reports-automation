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29" documentId="8_{BBB41D22-8778-4228-9F05-C0B4E6BAECB1}" xr6:coauthVersionLast="47" xr6:coauthVersionMax="47" xr10:uidLastSave="{C58484AF-761D-47F5-BB83-4EC5C7FC0E43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<sst xmlns="http://schemas.openxmlformats.org/spreadsheetml/2006/main" count="3358" uniqueCount="780">
  <si>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</si>
  <si>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</si>
  <si>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</si>
  <si>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</si>
  <si>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</si>
  <si>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</si>
  <si>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</si>
  <si>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</si>
  <si>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</si>
  <si>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</si>
  <si>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</si>
  <si>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</si>
  <si>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</si>
  <si>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</si>
  <si>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</si>
  <si>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</si>
  <si>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</si>
  <si>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</si>
  <si>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</si>
  <si>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</si>
  <si>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</si>
  <si>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</si>
  <si>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</si>
  <si>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</si>
  <si>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</si>
  <si>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</si>
  <si>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</si>
  <si>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</si>
  <si>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</si>
  <si>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</si>
  <si>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</si>
  <si>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</si>
  <si>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</si>
  <si>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</si>
  <si>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</si>
  <si>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</si>
  <si>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</si>
  <si>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</si>
  <si>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</si>
  <si>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</si>
  <si>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</si>
  <si>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</si>
  <si>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</si>
  <si>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</si>
  <si>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</si>
  <si>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</si>
  <si>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</si>
  <si>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</si>
  <si>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</si>
  <si>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</si>
  <si>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</si>
  <si>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</si>
  <si>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</si>
  <si>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</si>
  <si>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</si>
  <si>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</si>
  <si>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</si>
  <si>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</si>
  <si>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</si>
  <si>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</si>
  <si>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</si>
  <si>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</si>
  <si>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</si>
  <si>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</si>
  <si>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</si>
  <si>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</si>
  <si>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</si>
  <si>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</si>
  <si>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</si>
  <si>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</si>
  <si>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</si>
  <si>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</si>
  <si>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</si>
  <si>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</si>
  <si>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</si>
  <si>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</si>
  <si>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</si>
  <si>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</si>
  <si>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</si>
  <si>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</si>
  <si>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</si>
  <si>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</si>
  <si>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</si>
  <si>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</si>
  <si>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</si>
  <si>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</si>
  <si>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</si>
  <si>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</si>
  <si>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</si>
  <si>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</si>
  <si>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</si>
  <si>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</si>
  <si>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</si>
  <si>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</si>
  <si>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</si>
  <si>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</si>
  <si>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</si>
  <si>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</si>
  <si>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</si>
  <si>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</si>
  <si>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</si>
  <si>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</si>
  <si>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</si>
  <si>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</si>
  <si>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</si>
  <si>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</si>
  <si>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</si>
  <si>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</si>
  <si>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</si>
  <si>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</si>
  <si>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</si>
  <si>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</si>
  <si>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</si>
  <si>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</si>
  <si>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</si>
  <si>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</si>
  <si>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</si>
  <si>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</si>
  <si>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</si>
  <si>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</si>
  <si>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</si>
  <si>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</si>
  <si>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</si>
  <si>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</si>
  <si>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</si>
  <si>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</si>
  <si>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</si>
  <si>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</si>
  <si>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</si>
  <si>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</si>
  <si>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</si>
  <si>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</si>
  <si>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</si>
  <si>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</si>
  <si>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</si>
  <si>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</si>
  <si>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</si>
  <si>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</si>
  <si>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</si>
  <si>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</si>
  <si>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</si>
  <si>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</si>
  <si>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</si>
  <si>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</si>
  <si>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</si>
  <si>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</si>
  <si>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</si>
  <si>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</si>
  <si>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</si>
  <si>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</si>
  <si>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</si>
  <si>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</si>
  <si>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</si>
  <si>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</si>
  <si>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</si>
  <si>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</si>
  <si>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</si>
  <si>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</si>
  <si>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</si>
  <si>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</si>
  <si>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</si>
  <si>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</si>
  <si>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</si>
  <si>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</si>
  <si>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</si>
  <si>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</si>
  <si>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</si>
  <si>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</si>
  <si>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</si>
  <si>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</si>
  <si>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</si>
  <si>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</si>
  <si>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</si>
  <si>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</si>
  <si>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</si>
  <si>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</si>
  <si>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</si>
  <si>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</si>
  <si>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</si>
  <si>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</si>
  <si>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</si>
  <si>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</si>
  <si>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</si>
  <si>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</si>
  <si>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</si>
  <si>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</si>
  <si>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</si>
  <si>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</si>
  <si>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</si>
  <si>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</si>
  <si>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</si>
  <si>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</si>
  <si>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</si>
  <si>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</si>
  <si>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</si>
  <si>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</si>
  <si>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</si>
  <si>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</si>
  <si>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</si>
  <si>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</si>
  <si>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</si>
  <si>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</si>
  <si>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</si>
  <si>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</si>
  <si>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</si>
  <si>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</si>
  <si>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</si>
  <si>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</si>
  <si>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</si>
  <si>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</si>
  <si>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</si>
  <si>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</si>
  <si>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</si>
  <si>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</si>
  <si>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</si>
  <si>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</si>
  <si>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</si>
  <si>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</si>
  <si>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</si>
  <si>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</si>
  <si>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</si>
  <si>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</si>
  <si>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</si>
  <si>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</si>
  <si>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</si>
  <si>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</si>
  <si>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</si>
  <si>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</si>
  <si>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</si>
  <si>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</si>
  <si>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</si>
  <si>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</si>
  <si>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</si>
  <si>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</si>
  <si>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</si>
  <si>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</si>
  <si>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</si>
  <si>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</si>
  <si>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</si>
  <si>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</si>
  <si>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</si>
  <si>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</si>
  <si>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</si>
  <si>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</si>
  <si>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</si>
  <si>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</si>
  <si>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</si>
  <si>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</si>
  <si>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</si>
  <si>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</si>
  <si>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</si>
  <si>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</si>
  <si>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</si>
  <si>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</si>
  <si>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</si>
  <si>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</si>
  <si>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</si>
  <si>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</si>
  <si>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</si>
  <si>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</si>
  <si>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</si>
  <si>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</si>
  <si>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</si>
  <si>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</si>
  <si>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</si>
  <si>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</si>
  <si>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</si>
  <si>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</si>
  <si>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</si>
  <si>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</si>
  <si>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</si>
  <si>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</si>
  <si>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</si>
  <si>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</si>
  <si>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</si>
  <si>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</si>
  <si>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</si>
  <si>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</si>
  <si>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</si>
  <si>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</si>
  <si>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</si>
  <si>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</si>
  <si>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</si>
  <si>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</si>
  <si>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</si>
  <si>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</si>
  <si>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</si>
  <si>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</si>
  <si>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</si>
  <si>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</si>
  <si>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</si>
  <si>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</si>
  <si>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</si>
  <si>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</si>
  <si>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</si>
  <si>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</si>
  <si>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</si>
  <si>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</si>
  <si>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</si>
  <si>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</si>
  <si>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</si>
  <si>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</si>
  <si>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</si>
  <si>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</si>
  <si>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</si>
  <si>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</si>
  <si>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</si>
  <si>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</si>
  <si>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</si>
  <si>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</si>
  <si>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</si>
  <si>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</si>
  <si>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</si>
  <si>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</si>
  <si>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</si>
  <si>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</si>
  <si>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</si>
  <si>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</si>
  <si>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</si>
  <si>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</si>
  <si>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</si>
  <si>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</si>
  <si>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</si>
  <si>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</si>
  <si>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</si>
  <si>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</si>
  <si>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</si>
  <si>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</si>
  <si>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</si>
  <si>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</si>
  <si>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</si>
  <si>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</si>
  <si>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</si>
  <si>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</si>
  <si>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</si>
  <si>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</si>
  <si>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</si>
  <si>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</si>
  <si>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</si>
  <si>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</si>
  <si>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</si>
  <si>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</si>
  <si>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</si>
  <si>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</si>
  <si>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</si>
  <si>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</si>
  <si>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</si>
  <si>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</si>
  <si>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</si>
  <si>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</si>
  <si>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</si>
  <si>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</si>
  <si>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</si>
  <si>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</si>
  <si>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</si>
  <si>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</si>
  <si>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</si>
  <si>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</si>
  <si>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</si>
  <si>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</si>
  <si>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</si>
  <si>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</si>
  <si>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</si>
  <si>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</si>
  <si>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</si>
  <si>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</si>
  <si>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</si>
  <si>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</si>
  <si>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</si>
  <si>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</si>
  <si>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</si>
  <si>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</si>
  <si>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</si>
  <si>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</si>
  <si>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</si>
  <si>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</si>
  <si>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</si>
  <si>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</si>
  <si>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</si>
  <si>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</si>
  <si>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</si>
  <si>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</si>
  <si>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</si>
  <si>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</si>
  <si>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</si>
  <si>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</si>
  <si>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</si>
  <si>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</si>
  <si>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</si>
  <si>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</si>
  <si>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</si>
  <si>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</si>
  <si>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</si>
  <si>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</si>
  <si>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</si>
  <si>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</si>
  <si>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</si>
  <si>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</si>
  <si>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</si>
  <si>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</si>
  <si>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</si>
  <si>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</si>
  <si>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</si>
  <si>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</si>
  <si>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</si>
  <si>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</si>
  <si>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</si>
  <si>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</si>
  <si>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</si>
  <si>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</si>
  <si>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</si>
  <si>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</si>
  <si>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</si>
  <si>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</si>
  <si>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</si>
  <si>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</si>
  <si>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</si>
  <si>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</si>
  <si>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</si>
  <si>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</si>
  <si>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</si>
  <si>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</si>
  <si>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</si>
  <si>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</si>
  <si>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</si>
  <si>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</si>
  <si>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</si>
  <si>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</si>
  <si>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</si>
  <si>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</si>
  <si>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</si>
  <si>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</si>
  <si>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</si>
  <si>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</si>
  <si>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</si>
  <si>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</si>
  <si>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</si>
  <si>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</si>
  <si>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</si>
  <si>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</si>
  <si>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</si>
  <si>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</si>
  <si>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</si>
  <si>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</si>
  <si>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</si>
  <si>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</si>
  <si>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</si>
  <si>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</si>
  <si>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</si>
  <si>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</si>
  <si>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</si>
  <si>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</si>
  <si>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</si>
  <si>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</si>
  <si>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</si>
  <si>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</si>
  <si>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</si>
  <si>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</si>
  <si>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</si>
  <si>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</si>
  <si>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</si>
  <si>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</si>
  <si>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</si>
  <si>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</si>
  <si>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</si>
  <si>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</si>
  <si>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</si>
  <si>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</si>
  <si>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</si>
  <si>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</si>
  <si>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</si>
  <si>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</si>
  <si>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</si>
  <si>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</si>
  <si>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</si>
  <si>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</si>
  <si>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</si>
  <si>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</si>
  <si>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</si>
  <si>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</si>
  <si>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</si>
  <si>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</si>
  <si>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</si>
  <si>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</si>
  <si>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</si>
  <si>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</si>
  <si>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</si>
  <si>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</si>
  <si>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</si>
  <si>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</si>
  <si>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</si>
  <si>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</si>
  <si>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</si>
  <si>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</si>
  <si>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</si>
  <si>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</si>
  <si>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</si>
  <si>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</si>
  <si>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</si>
  <si>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</si>
  <si>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</si>
  <si>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</si>
  <si>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</si>
  <si>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</si>
  <si>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</si>
  <si>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</si>
  <si>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</si>
  <si>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</si>
  <si>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</si>
  <si>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</si>
  <si>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</si>
  <si>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</si>
  <si>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</si>
  <si>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</si>
  <si>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</si>
  <si>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</si>
  <si>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</si>
  <si>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</si>
  <si>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</si>
  <si>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</si>
  <si>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</si>
  <si>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</si>
  <si>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</si>
  <si>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</si>
  <si>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</si>
  <si>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</si>
  <si>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</si>
  <si>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</si>
  <si>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</si>
  <si>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</si>
  <si>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</si>
  <si>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</si>
  <si>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</si>
  <si>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</si>
  <si>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</si>
  <si>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</si>
  <si>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</si>
  <si>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</si>
  <si>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</si>
  <si>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</si>
  <si>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</si>
  <si>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</si>
  <si>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</si>
  <si>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</si>
  <si>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</si>
  <si>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</si>
  <si>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</si>
  <si>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</si>
  <si>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</si>
  <si>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</si>
  <si>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</si>
  <si>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</si>
  <si>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</si>
  <si>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</si>
  <si>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</si>
  <si>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</si>
  <si>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</si>
  <si>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</si>
  <si>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</si>
  <si>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</si>
  <si>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</si>
  <si>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</si>
  <si>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</si>
  <si>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</si>
  <si>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</si>
  <si>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</si>
  <si>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</si>
  <si>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</si>
  <si>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</si>
  <si>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</si>
  <si>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</si>
  <si>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</si>
  <si>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</si>
  <si>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</si>
  <si>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</si>
  <si>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</si>
  <si>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</si>
  <si>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</si>
  <si>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</si>
  <si>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</si>
  <si>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</si>
  <si>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</si>
  <si>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</si>
  <si>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</si>
  <si>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</si>
  <si>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</si>
  <si>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</si>
  <si>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</si>
  <si>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</si>
  <si>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</si>
  <si>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</si>
  <si>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</si>
  <si>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</si>
  <si>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</si>
  <si>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</si>
  <si>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</si>
  <si>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</si>
  <si>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</si>
  <si>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</si>
  <si>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</si>
  <si>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</si>
  <si>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</si>
  <si>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</si>
  <si>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</si>
  <si>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</si>
  <si>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</si>
  <si>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</si>
  <si>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</si>
  <si>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</si>
  <si>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</si>
  <si>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</si>
  <si>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</si>
  <si>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</si>
  <si>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</si>
  <si>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</si>
  <si>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</si>
  <si>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</si>
  <si>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</si>
  <si>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</si>
  <si>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</si>
  <si>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</si>
  <si>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</si>
  <si>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</si>
  <si>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</si>
  <si>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</si>
  <si>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</si>
  <si>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</si>
  <si>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</si>
  <si>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</si>
  <si>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</si>
  <si>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</si>
  <si>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</si>
  <si>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</si>
  <si>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</si>
  <si>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</si>
  <si>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</si>
  <si>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</si>
  <si>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</si>
  <si>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</si>
  <si>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</si>
  <si>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</si>
  <si>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</si>
  <si>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</si>
  <si>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</si>
  <si>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</si>
  <si>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</si>
  <si>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</si>
  <si>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</si>
  <si>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</si>
  <si>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</si>
  <si>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</si>
  <si>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</si>
  <si>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</si>
  <si>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</si>
  <si>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</si>
  <si>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</si>
  <si>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</si>
  <si>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</si>
  <si>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</si>
  <si>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</si>
  <si>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</si>
  <si>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</si>
  <si>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</si>
  <si>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</si>
  <si>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</si>
  <si>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</si>
  <si>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</si>
  <si>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</si>
  <si>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</si>
  <si>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</si>
  <si>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</si>
  <si>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</si>
  <si>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</si>
  <si>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</si>
  <si>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</si>
  <si>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</si>
  <si>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</si>
  <si>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</si>
  <si>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</si>
  <si>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</si>
  <si>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</si>
  <si>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</si>
  <si>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</si>
  <si>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</si>
  <si>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</si>
  <si>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</si>
  <si>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</si>
  <si>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</si>
  <si>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</si>
  <si>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</si>
  <si>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</si>
  <si>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</si>
  <si>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</si>
  <si>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</si>
  <si>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</si>
  <si>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</si>
  <si>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</si>
  <si>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</si>
  <si>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</si>
  <si>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</si>
  <si>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</si>
  <si>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</si>
  <si>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</si>
  <si>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</si>
  <si>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</si>
  <si>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</si>
  <si>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</si>
  <si>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</si>
  <si>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</si>
  <si>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</si>
  <si>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</si>
  <si>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</si>
  <si>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</si>
  <si>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</si>
  <si>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</si>
  <si>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</si>
  <si>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</si>
  <si>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</si>
  <si>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</si>
  <si>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</si>
  <si>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</si>
  <si>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</si>
  <si>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</si>
  <si>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</si>
  <si>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</si>
  <si>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</si>
  <si>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</si>
  <si>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</si>
  <si>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</si>
  <si>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</si>
  <si>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</si>
  <si>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</si>
  <si>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</si>
  <si>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</si>
  <si>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</si>
  <si>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</si>
  <si>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</si>
  <si>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</si>
  <si>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</si>
  <si>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</si>
  <si>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</si>
  <si>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</si>
  <si>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</si>
  <si>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</si>
  <si>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</si>
  <si>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</si>
  <si>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</si>
  <si>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</si>
  <si>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</si>
  <si>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</si>
  <si>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JACOBO LAPRESTA</t>
  </si>
  <si>
    <t>JOSE ANTONIO RODRIGUEZ</t>
  </si>
  <si>
    <t>JOSE VICENTE ARQUES</t>
  </si>
  <si>
    <t>YOLANDA BAILACH MADERA</t>
  </si>
  <si>
    <t>DIEGO RUIZ</t>
  </si>
  <si>
    <t>BORJA RODRIGUEZ</t>
  </si>
  <si>
    <t>ELOI VERGÉ</t>
  </si>
  <si>
    <t>05:34</t>
  </si>
  <si>
    <t>05:13</t>
  </si>
  <si>
    <t>03:18</t>
  </si>
  <si>
    <t>01:42</t>
  </si>
  <si>
    <t>08:32</t>
  </si>
  <si>
    <t>07:39</t>
  </si>
  <si>
    <t>06:10</t>
  </si>
  <si>
    <t>It was foul on the away team</t>
  </si>
  <si>
    <t>It was foul drawn on the home team</t>
  </si>
  <si>
    <t>01:47</t>
  </si>
  <si>
    <t>the previous rebound too</t>
  </si>
  <si>
    <t>01:45</t>
  </si>
  <si>
    <t>01:39</t>
  </si>
  <si>
    <t>08:20</t>
  </si>
  <si>
    <t>07:42</t>
  </si>
  <si>
    <t>07:37</t>
  </si>
  <si>
    <t>04:47</t>
  </si>
  <si>
    <t>04:01</t>
  </si>
  <si>
    <t>02:44</t>
  </si>
  <si>
    <t>02:53</t>
  </si>
  <si>
    <t>02:04</t>
  </si>
  <si>
    <t>00:14</t>
  </si>
  <si>
    <t>I know your performance can be much better. If I were in your position, I would always double-check points and fouls right after annotating them. What absolutely cannot happen is multiple game stoppages to fix avoidable mistakes.
As for assists: whenever you're unsure whether to give one, give it. It's always easier to remove an assist later than to add one that was missed.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</si>
</sst>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45" sqref="L45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04_039_PAM_HTA_E2025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45945.854166666664</v>
      </c>
      <c r="C3" s="157"/>
      <c r="D3" s="39">
        <v>616</v>
      </c>
      <c r="E3" s="29"/>
      <c r="F3" s="26">
        <f>SUBTOTAL(3,I17:I106)</f>
        <v>22</v>
      </c>
      <c r="G3" s="27">
        <f>IF(OR(D3="",D3=0),"",F3/D3)</f>
        <v>3.5714285714285712E-2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779</v>
      </c>
      <c r="N4" s="168"/>
      <c r="O4" s="2"/>
      <c r="P4" s="2"/>
      <c r="Q4" s="84" t="s">
        <v>175</v>
      </c>
      <c r="R4" s="94">
        <f>(IF(G3="",0,G3))</f>
        <v>3.5714285714285712E-2</v>
      </c>
      <c r="S4" s="61">
        <f>SUM(I13:M13)</f>
        <v>0</v>
      </c>
      <c r="T4" s="78"/>
      <c r="U4" s="61">
        <f>AC18</f>
        <v>8</v>
      </c>
      <c r="V4" s="61">
        <f>+AC22</f>
        <v>6</v>
      </c>
      <c r="W4" s="61">
        <f>AC24</f>
        <v>2</v>
      </c>
      <c r="X4" s="61">
        <f>AC29</f>
        <v>0</v>
      </c>
      <c r="Y4" s="61">
        <f>AC25</f>
        <v>4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3.5714285714285712</v>
      </c>
      <c r="S5" s="70">
        <f t="shared" ref="S5" si="0">S4*S3</f>
        <v>0</v>
      </c>
      <c r="T5" s="92"/>
      <c r="U5" s="70">
        <f t="shared" ref="U5:AG5" si="1">U4*U3</f>
        <v>4</v>
      </c>
      <c r="V5" s="70">
        <f t="shared" si="1"/>
        <v>6</v>
      </c>
      <c r="W5" s="70">
        <f t="shared" si="1"/>
        <v>2</v>
      </c>
      <c r="X5" s="70">
        <f t="shared" si="1"/>
        <v>0</v>
      </c>
      <c r="Y5" s="70">
        <f t="shared" si="1"/>
        <v>8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58.571428571428569</v>
      </c>
      <c r="N7" s="58"/>
      <c r="O7" s="2"/>
      <c r="P7" s="2"/>
      <c r="Q7" s="86">
        <f>SUM(R5,S5,AC16)</f>
        <v>58.571428571428569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38.571428571428569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22</v>
      </c>
      <c r="J15" s="24">
        <f>SUBTOTAL(3,J17:J106)</f>
        <v>22</v>
      </c>
      <c r="K15" s="24">
        <f>SUBTOTAL(3,K17:K106)</f>
        <v>22</v>
      </c>
      <c r="L15" s="24">
        <f>SUBTOTAL(3,L17:L106)</f>
        <v>22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2</v>
      </c>
      <c r="X16" s="67" t="s">
        <v>58</v>
      </c>
      <c r="Y16" s="75">
        <f>SUM(Y17:Y24)</f>
        <v>22</v>
      </c>
      <c r="Z16" s="90" t="s">
        <v>110</v>
      </c>
      <c r="AA16" s="75">
        <f>SUM(AA17:AA24)</f>
        <v>22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55</v>
      </c>
      <c r="AD16" s="75">
        <f>SUM(AD17:AD24)</f>
        <v>45</v>
      </c>
      <c r="AE16" s="76" t="s">
        <v>42</v>
      </c>
      <c r="AF16" s="75">
        <f>SUM(AF17:AF24)</f>
        <v>11</v>
      </c>
      <c r="AG16" s="75">
        <f>SUM(AG17:AG21)</f>
        <v>22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39</v>
      </c>
      <c r="D17" s="32" t="s">
        <v>757</v>
      </c>
      <c r="E17" s="33">
        <v>1</v>
      </c>
      <c r="F17" s="36">
        <v>7</v>
      </c>
      <c r="G17" s="36">
        <v>15</v>
      </c>
      <c r="H17" s="38" t="str">
        <f>IF(I17="","",$I$14)</f>
        <v>SCOUTING</v>
      </c>
      <c r="I17" s="34">
        <v>53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20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10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39</v>
      </c>
      <c r="D18" s="32" t="s">
        <v>758</v>
      </c>
      <c r="E18" s="33">
        <v>1</v>
      </c>
      <c r="F18" s="36">
        <v>7</v>
      </c>
      <c r="G18" s="36">
        <v>15</v>
      </c>
      <c r="H18" s="38" t="str">
        <f t="shared" ref="H18:H81" si="8">IF(I18="","",$I$14)</f>
        <v>SCOUTING</v>
      </c>
      <c r="I18" s="34">
        <v>57</v>
      </c>
      <c r="J18" s="13" t="s">
        <v>4</v>
      </c>
      <c r="K18" s="13" t="s">
        <v>62</v>
      </c>
      <c r="L18" s="13" t="s">
        <v>48</v>
      </c>
      <c r="M18" s="13" t="s">
        <v>29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17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9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39</v>
      </c>
      <c r="D19" s="32" t="s">
        <v>759</v>
      </c>
      <c r="E19" s="33">
        <v>1</v>
      </c>
      <c r="F19" s="36">
        <v>12</v>
      </c>
      <c r="G19" s="36">
        <v>17</v>
      </c>
      <c r="H19" s="38" t="str">
        <f t="shared" si="8"/>
        <v>SCOUTING</v>
      </c>
      <c r="I19" s="34">
        <v>92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6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39</v>
      </c>
      <c r="D20" s="32" t="s">
        <v>760</v>
      </c>
      <c r="E20" s="33">
        <v>1</v>
      </c>
      <c r="F20" s="36">
        <v>12</v>
      </c>
      <c r="G20" s="36">
        <v>22</v>
      </c>
      <c r="H20" s="38" t="str">
        <f t="shared" si="8"/>
        <v>SCOUTING</v>
      </c>
      <c r="I20" s="34">
        <v>116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39</v>
      </c>
      <c r="D21" s="32" t="s">
        <v>761</v>
      </c>
      <c r="E21" s="33">
        <v>2</v>
      </c>
      <c r="F21" s="36">
        <v>22</v>
      </c>
      <c r="G21" s="36">
        <v>31</v>
      </c>
      <c r="H21" s="38" t="str">
        <f t="shared" si="8"/>
        <v>SCOUTING</v>
      </c>
      <c r="I21" s="34">
        <v>165</v>
      </c>
      <c r="J21" s="13" t="s">
        <v>3</v>
      </c>
      <c r="K21" s="13" t="s">
        <v>62</v>
      </c>
      <c r="L21" s="13" t="s">
        <v>77</v>
      </c>
      <c r="M21" s="13" t="s">
        <v>39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39</v>
      </c>
      <c r="D22" s="32" t="s">
        <v>762</v>
      </c>
      <c r="E22" s="33">
        <v>2</v>
      </c>
      <c r="F22" s="36">
        <v>28</v>
      </c>
      <c r="G22" s="36">
        <v>33</v>
      </c>
      <c r="H22" s="38" t="str">
        <f t="shared" si="8"/>
        <v>SCOUTING</v>
      </c>
      <c r="I22" s="34">
        <v>178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39</v>
      </c>
      <c r="D23" s="32" t="s">
        <v>763</v>
      </c>
      <c r="E23" s="33">
        <v>2</v>
      </c>
      <c r="F23" s="36">
        <v>28</v>
      </c>
      <c r="G23" s="36">
        <v>37</v>
      </c>
      <c r="H23" s="38" t="str">
        <f t="shared" si="8"/>
        <v>SCOUTING</v>
      </c>
      <c r="I23" s="34">
        <v>206</v>
      </c>
      <c r="J23" s="13" t="s">
        <v>3</v>
      </c>
      <c r="K23" s="13" t="s">
        <v>62</v>
      </c>
      <c r="L23" s="13" t="s">
        <v>76</v>
      </c>
      <c r="M23" s="13" t="s">
        <v>8</v>
      </c>
      <c r="N23" s="35" t="s">
        <v>764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39</v>
      </c>
      <c r="D24" s="32" t="s">
        <v>763</v>
      </c>
      <c r="E24" s="33">
        <v>2</v>
      </c>
      <c r="F24" s="36">
        <v>28</v>
      </c>
      <c r="G24" s="36">
        <v>37</v>
      </c>
      <c r="H24" s="38" t="str">
        <f t="shared" si="8"/>
        <v>SCOUTING</v>
      </c>
      <c r="I24" s="34">
        <v>205</v>
      </c>
      <c r="J24" s="13" t="s">
        <v>4</v>
      </c>
      <c r="K24" s="13" t="s">
        <v>63</v>
      </c>
      <c r="L24" s="13" t="s">
        <v>48</v>
      </c>
      <c r="M24" s="13" t="s">
        <v>22</v>
      </c>
      <c r="N24" s="35" t="s">
        <v>765</v>
      </c>
      <c r="O24" s="5" t="s">
        <v>47</v>
      </c>
      <c r="P24" s="5">
        <v>1</v>
      </c>
      <c r="Q24" s="84">
        <f t="shared" si="4"/>
        <v>1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2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39</v>
      </c>
      <c r="D25" s="32" t="s">
        <v>766</v>
      </c>
      <c r="E25" s="33">
        <v>2</v>
      </c>
      <c r="F25" s="36">
        <v>36</v>
      </c>
      <c r="G25" s="36">
        <v>46</v>
      </c>
      <c r="H25" s="38" t="str">
        <f t="shared" si="8"/>
        <v>SCOUTING</v>
      </c>
      <c r="I25" s="34">
        <v>265</v>
      </c>
      <c r="J25" s="13" t="s">
        <v>4</v>
      </c>
      <c r="K25" s="13" t="s">
        <v>62</v>
      </c>
      <c r="L25" s="13" t="s">
        <v>47</v>
      </c>
      <c r="M25" s="13" t="s">
        <v>27</v>
      </c>
      <c r="N25" s="35" t="s">
        <v>767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4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39</v>
      </c>
      <c r="D26" s="32" t="s">
        <v>768</v>
      </c>
      <c r="E26" s="33">
        <v>2</v>
      </c>
      <c r="F26" s="36">
        <v>36</v>
      </c>
      <c r="G26" s="36">
        <v>46</v>
      </c>
      <c r="H26" s="38" t="str">
        <f t="shared" si="8"/>
        <v>SCOUTING</v>
      </c>
      <c r="I26" s="34">
        <v>269</v>
      </c>
      <c r="J26" s="13" t="s">
        <v>4</v>
      </c>
      <c r="K26" s="13" t="s">
        <v>62</v>
      </c>
      <c r="L26" s="13" t="s">
        <v>47</v>
      </c>
      <c r="M26" s="13" t="s">
        <v>28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39</v>
      </c>
      <c r="D27" s="32" t="s">
        <v>768</v>
      </c>
      <c r="E27" s="33">
        <v>2</v>
      </c>
      <c r="F27" s="36">
        <v>36</v>
      </c>
      <c r="G27" s="36">
        <v>46</v>
      </c>
      <c r="H27" s="38" t="str">
        <f t="shared" si="8"/>
        <v>SCOUTING</v>
      </c>
      <c r="I27" s="34">
        <v>267</v>
      </c>
      <c r="J27" s="13" t="s">
        <v>4</v>
      </c>
      <c r="K27" s="13" t="s">
        <v>62</v>
      </c>
      <c r="L27" s="13" t="s">
        <v>48</v>
      </c>
      <c r="M27" s="13" t="s">
        <v>27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39</v>
      </c>
      <c r="D28" s="32" t="s">
        <v>769</v>
      </c>
      <c r="E28" s="33">
        <v>2</v>
      </c>
      <c r="F28" s="36">
        <v>36</v>
      </c>
      <c r="G28" s="36">
        <v>46</v>
      </c>
      <c r="H28" s="38" t="str">
        <f t="shared" si="8"/>
        <v>SCOUTING</v>
      </c>
      <c r="I28" s="34">
        <v>270</v>
      </c>
      <c r="J28" s="13" t="s">
        <v>4</v>
      </c>
      <c r="K28" s="13" t="s">
        <v>63</v>
      </c>
      <c r="L28" s="13" t="s">
        <v>6</v>
      </c>
      <c r="M28" s="13" t="s">
        <v>26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39</v>
      </c>
      <c r="D29" s="32" t="s">
        <v>769</v>
      </c>
      <c r="E29" s="33">
        <v>2</v>
      </c>
      <c r="F29" s="36">
        <v>38</v>
      </c>
      <c r="G29" s="36">
        <v>46</v>
      </c>
      <c r="H29" s="38" t="str">
        <f t="shared" si="8"/>
        <v>SCOUTING</v>
      </c>
      <c r="I29" s="34">
        <v>272</v>
      </c>
      <c r="J29" s="13" t="s">
        <v>4</v>
      </c>
      <c r="K29" s="13" t="s">
        <v>62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39</v>
      </c>
      <c r="D30" s="32" t="s">
        <v>770</v>
      </c>
      <c r="E30" s="33">
        <v>3</v>
      </c>
      <c r="F30" s="36">
        <v>52</v>
      </c>
      <c r="G30" s="36">
        <v>56</v>
      </c>
      <c r="H30" s="38" t="str">
        <f t="shared" si="8"/>
        <v>SCOUTING</v>
      </c>
      <c r="I30" s="34">
        <v>328</v>
      </c>
      <c r="J30" s="13" t="s">
        <v>4</v>
      </c>
      <c r="K30" s="13" t="s">
        <v>63</v>
      </c>
      <c r="L30" s="13" t="s">
        <v>5</v>
      </c>
      <c r="M30" s="13" t="s">
        <v>11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E2025</v>
      </c>
      <c r="C31" s="31">
        <f t="shared" si="3"/>
        <v>39</v>
      </c>
      <c r="D31" s="32" t="s">
        <v>771</v>
      </c>
      <c r="E31" s="33">
        <v>3</v>
      </c>
      <c r="F31" s="36">
        <v>52</v>
      </c>
      <c r="G31" s="36">
        <v>59</v>
      </c>
      <c r="H31" s="38" t="str">
        <f t="shared" si="8"/>
        <v>SCOUTING</v>
      </c>
      <c r="I31" s="34">
        <v>342</v>
      </c>
      <c r="J31" s="13" t="s">
        <v>4</v>
      </c>
      <c r="K31" s="13" t="s">
        <v>62</v>
      </c>
      <c r="L31" s="13" t="s">
        <v>6</v>
      </c>
      <c r="M31" s="13" t="s">
        <v>22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E2025</v>
      </c>
      <c r="C32" s="31">
        <f t="shared" si="3"/>
        <v>39</v>
      </c>
      <c r="D32" s="32" t="s">
        <v>772</v>
      </c>
      <c r="E32" s="33">
        <v>3</v>
      </c>
      <c r="F32" s="36">
        <v>52</v>
      </c>
      <c r="G32" s="36">
        <v>59</v>
      </c>
      <c r="H32" s="38" t="str">
        <f t="shared" si="8"/>
        <v>SCOUTING</v>
      </c>
      <c r="I32" s="34">
        <v>344</v>
      </c>
      <c r="J32" s="13" t="s">
        <v>4</v>
      </c>
      <c r="K32" s="13" t="s">
        <v>62</v>
      </c>
      <c r="L32" s="13" t="s">
        <v>6</v>
      </c>
      <c r="M32" s="13" t="s">
        <v>9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>E2025</v>
      </c>
      <c r="C33" s="31">
        <f t="shared" si="3"/>
        <v>39</v>
      </c>
      <c r="D33" s="32" t="s">
        <v>773</v>
      </c>
      <c r="E33" s="33">
        <v>3</v>
      </c>
      <c r="F33" s="36">
        <v>59</v>
      </c>
      <c r="G33" s="36">
        <v>66</v>
      </c>
      <c r="H33" s="38" t="str">
        <f t="shared" si="8"/>
        <v>SCOUTING</v>
      </c>
      <c r="I33" s="34">
        <v>379</v>
      </c>
      <c r="J33" s="13" t="s">
        <v>4</v>
      </c>
      <c r="K33" s="13" t="s">
        <v>63</v>
      </c>
      <c r="L33" s="13" t="s">
        <v>5</v>
      </c>
      <c r="M33" s="13" t="s">
        <v>11</v>
      </c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>E2025</v>
      </c>
      <c r="C34" s="31">
        <f t="shared" si="3"/>
        <v>39</v>
      </c>
      <c r="D34" s="32" t="s">
        <v>774</v>
      </c>
      <c r="E34" s="33">
        <v>3</v>
      </c>
      <c r="F34" s="36">
        <v>61</v>
      </c>
      <c r="G34" s="36">
        <v>66</v>
      </c>
      <c r="H34" s="38" t="str">
        <f t="shared" si="8"/>
        <v>SCOUTING</v>
      </c>
      <c r="I34" s="34">
        <v>384</v>
      </c>
      <c r="J34" s="13" t="s">
        <v>4</v>
      </c>
      <c r="K34" s="13" t="s">
        <v>62</v>
      </c>
      <c r="L34" s="13" t="s">
        <v>5</v>
      </c>
      <c r="M34" s="13" t="s">
        <v>11</v>
      </c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>E2025</v>
      </c>
      <c r="C35" s="31">
        <f t="shared" si="3"/>
        <v>39</v>
      </c>
      <c r="D35" s="32" t="s">
        <v>775</v>
      </c>
      <c r="E35" s="33">
        <v>3</v>
      </c>
      <c r="F35" s="36">
        <v>65</v>
      </c>
      <c r="G35" s="36">
        <v>72</v>
      </c>
      <c r="H35" s="38" t="str">
        <f t="shared" si="8"/>
        <v>SCOUTING</v>
      </c>
      <c r="I35" s="34">
        <v>414</v>
      </c>
      <c r="J35" s="13" t="s">
        <v>4</v>
      </c>
      <c r="K35" s="13" t="s">
        <v>62</v>
      </c>
      <c r="L35" s="13" t="s">
        <v>5</v>
      </c>
      <c r="M35" s="13" t="s">
        <v>11</v>
      </c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>E2025</v>
      </c>
      <c r="C36" s="31">
        <f t="shared" si="3"/>
        <v>39</v>
      </c>
      <c r="D36" s="32" t="s">
        <v>776</v>
      </c>
      <c r="E36" s="33">
        <v>4</v>
      </c>
      <c r="F36" s="36">
        <v>89</v>
      </c>
      <c r="G36" s="36">
        <v>91</v>
      </c>
      <c r="H36" s="38" t="str">
        <f t="shared" si="8"/>
        <v>SCOUTING</v>
      </c>
      <c r="I36" s="34">
        <v>561</v>
      </c>
      <c r="J36" s="13" t="s">
        <v>4</v>
      </c>
      <c r="K36" s="13" t="s">
        <v>62</v>
      </c>
      <c r="L36" s="13" t="s">
        <v>6</v>
      </c>
      <c r="M36" s="13" t="s">
        <v>11</v>
      </c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>E2025</v>
      </c>
      <c r="C37" s="31">
        <f t="shared" si="3"/>
        <v>39</v>
      </c>
      <c r="D37" s="32" t="s">
        <v>777</v>
      </c>
      <c r="E37" s="33">
        <v>4</v>
      </c>
      <c r="F37" s="36">
        <v>90</v>
      </c>
      <c r="G37" s="36">
        <v>94</v>
      </c>
      <c r="H37" s="38" t="str">
        <f t="shared" si="8"/>
        <v>SCOUTING</v>
      </c>
      <c r="I37" s="34">
        <v>576</v>
      </c>
      <c r="J37" s="13" t="s">
        <v>4</v>
      </c>
      <c r="K37" s="13" t="s">
        <v>62</v>
      </c>
      <c r="L37" s="13" t="s">
        <v>6</v>
      </c>
      <c r="M37" s="13" t="s">
        <v>9</v>
      </c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>E2025</v>
      </c>
      <c r="C38" s="31">
        <f t="shared" si="3"/>
        <v>39</v>
      </c>
      <c r="D38" s="32" t="s">
        <v>778</v>
      </c>
      <c r="E38" s="33">
        <v>4</v>
      </c>
      <c r="F38" s="36">
        <v>93</v>
      </c>
      <c r="G38" s="36">
        <v>98</v>
      </c>
      <c r="H38" s="38" t="str">
        <f t="shared" si="8"/>
        <v>SCOUTING</v>
      </c>
      <c r="I38" s="34">
        <v>607</v>
      </c>
      <c r="J38" s="13" t="s">
        <v>4</v>
      </c>
      <c r="K38" s="13" t="s">
        <v>62</v>
      </c>
      <c r="L38" s="13" t="s">
        <v>48</v>
      </c>
      <c r="M38" s="13" t="s">
        <v>9</v>
      </c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3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REPORT_E2025039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"E2025039"</v>
      </c>
      <c r="F3" s="45" t="str">
        <f t="shared" ref="F3:F16" si="0">""""&amp;B3&amp;"""" &amp; " : " &amp;C3&amp;","</f>
        <v>"name" : "E2025039",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"E039"</v>
      </c>
      <c r="F4" s="45" t="str">
        <f t="shared" si="0"/>
        <v>"cod" : "E039",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039</v>
      </c>
      <c r="F6" s="45" t="str">
        <f t="shared" si="0"/>
        <v>"number" : 039,</v>
      </c>
    </row>
    <row r="7" spans="2:6" x14ac:dyDescent="0.25">
      <c r="B7" s="43" t="s">
        <v>116</v>
      </c>
      <c r="C7" s="43" t="str">
        <f ca="1">""""&amp;TEXT('SCOUT &amp; LOGISTICS'!B3,"dd/mm/aaaa")&amp;""""</f>
        <v>"15/10/2025"</v>
      </c>
      <c r="F7" s="45" t="str">
        <f t="shared" ca="1" si="0"/>
        <v>"date" : "15/10/2025",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"YOLANDA BAILACH MADERA"</v>
      </c>
      <c r="F13" s="45" t="str">
        <f t="shared" si="0"/>
        <v>"Timerkeeper" : "YOLANDA BAILACH MADERA",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"DIEGO RUIZ"</v>
      </c>
      <c r="F14" s="45" t="str">
        <f t="shared" si="0"/>
        <v>"Shotclock" : "DIEGO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616</v>
      </c>
      <c r="F25" s="45" t="str">
        <f t="shared" ref="F25:F48" si="1">""""&amp;C25&amp;"""" &amp; " : " &amp;D25&amp;","</f>
        <v>"total_actions" : 616,</v>
      </c>
    </row>
    <row r="26" spans="2:6" x14ac:dyDescent="0.25">
      <c r="C26" s="43" t="s">
        <v>132</v>
      </c>
      <c r="D26" s="43">
        <f>'SCOUT &amp; LOGISTICS'!F3</f>
        <v>22</v>
      </c>
      <c r="F26" s="45" t="str">
        <f t="shared" si="1"/>
        <v>"total_correcions" : 22,</v>
      </c>
    </row>
    <row r="27" spans="2:6" x14ac:dyDescent="0.25">
      <c r="C27" s="43" t="s">
        <v>133</v>
      </c>
      <c r="D27" s="43" t="str">
        <f>""""&amp;IF(OR(D25="",D25=0),"",TEXT(D26/D25,"0,0%"))&amp;""""</f>
        <v>"3,6%"</v>
      </c>
      <c r="F27" s="45" t="str">
        <f t="shared" si="1"/>
        <v>"%_corrections" : "3,6%",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17</v>
      </c>
      <c r="F29" s="45" t="str">
        <f t="shared" si="1"/>
        <v>"no_team" : 17,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9</v>
      </c>
      <c r="F32" s="45" t="str">
        <f t="shared" si="1"/>
        <v>"q2" : 9,</v>
      </c>
    </row>
    <row r="33" spans="3:6" x14ac:dyDescent="0.25">
      <c r="C33" s="43" t="s">
        <v>137</v>
      </c>
      <c r="D33" s="43">
        <f>'SCOUT &amp; LOGISTICS'!AG19</f>
        <v>6</v>
      </c>
      <c r="F33" s="45" t="str">
        <f t="shared" si="1"/>
        <v>"q3" : 6,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22</v>
      </c>
      <c r="F37" s="45" t="str">
        <f t="shared" si="1"/>
        <v>"scoresheet_corrections" : 22,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2</v>
      </c>
      <c r="F48" s="45" t="str">
        <f t="shared" si="1"/>
        <v>"fouls" : 2,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know your performance can be much better. If I were in your position, I would always double-check points and fouls right after annotating them. What absolutely cannot happen is multiple game stoppages to fix avoidable mistakes.
As for assists: whenever you're unsure whether to give one, give it. It's always easier to remove an assist later than to add one that was missed."</v>
      </c>
      <c r="F51" s="45" t="str">
        <f>""""&amp;B51&amp;"""" &amp; " : " &amp;C51&amp;","</f>
        <v>"comments" : "I know your performance can be much better. If I were in your position, I would always double-check points and fouls right after annotating them. What absolutely cannot happen is multiple game stoppages to fix avoidable mistakes.
As for assists: whenever you're unsure whether to give one, give it. It's always easier to remove an assist later than to add one that was missed.",</v>
      </c>
    </row>
    <row r="52" spans="2:6" x14ac:dyDescent="0.25">
      <c r="B52" s="43" t="s">
        <v>153</v>
      </c>
      <c r="C52" s="43" t="str">
        <f>TEXT('SCOUT &amp; LOGISTICS'!F1,"0,0")</f>
        <v>04_039_PAM_HTA_E2025</v>
      </c>
      <c r="F52" s="45" t="str">
        <f>""""&amp;B52&amp;"""" &amp; " : " &amp;C52</f>
        <v>"result" : 04_039_PAM_HTA_E2025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E039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15/10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YOLANDA BAILACH MADERA</v>
      </c>
      <c r="R8" s="206"/>
      <c r="S8" s="206"/>
      <c r="T8" s="206"/>
      <c r="U8" s="206"/>
      <c r="V8" s="206" t="str">
        <f>IF('SCOUT &amp; LOGISTICS'!D10="","",'SCOUT &amp; LOGISTICS'!D10)</f>
        <v>DIEGO RUIZ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616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3.5714285714285712E-2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17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9</v>
      </c>
      <c r="I22" s="197"/>
      <c r="J22" s="197"/>
      <c r="K22" s="197"/>
      <c r="L22" s="197"/>
      <c r="M22" s="197"/>
      <c r="N22" s="197">
        <f>'SCOUT &amp; LOGISTICS'!AG19</f>
        <v>6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20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2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6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4</v>
      </c>
      <c r="C29" s="197"/>
      <c r="D29" s="197"/>
      <c r="E29" s="197"/>
      <c r="F29" s="197"/>
      <c r="G29" s="197">
        <f>'SCOUT &amp; LOGISTICS'!AC24</f>
        <v>2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1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 know your performance can be much better. If I were in your position, I would always double-check points and fouls right after annotating them. What absolutely cannot happen is multiple game stoppages to fix avoidable mistakes.
As for assists: whenever you're unsure whether to give one, give it. It's always easier to remove an assist later than to add one that was missed.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58.571428571428569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851063-F0A9-4B6C-AEEF-8811AAD7BC8A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2025-10-17T20:27:30Z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