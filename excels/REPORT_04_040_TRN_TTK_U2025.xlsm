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68" documentId="8_{E84F71A6-91A0-4585-AB22-1E5A378CE399}" xr6:coauthVersionLast="47" xr6:coauthVersionMax="47" xr10:uidLastSave="{ADBA2065-B56D-423B-944D-B9F4492A5BB2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<sst xmlns="http://schemas.openxmlformats.org/spreadsheetml/2006/main" count="3269" uniqueCount="762">
  <si>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</si>
  <si>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</si>
  <si>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</si>
  <si>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</si>
  <si>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</si>
  <si>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</si>
  <si>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</si>
  <si>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</si>
  <si>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</si>
  <si>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</si>
  <si>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</si>
  <si>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</si>
  <si>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</si>
  <si>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</si>
  <si>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</si>
  <si>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</si>
  <si>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</si>
  <si>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</si>
  <si>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</si>
  <si>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</si>
  <si>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</si>
  <si>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</si>
  <si>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</si>
  <si>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</si>
  <si>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</si>
  <si>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</si>
  <si>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</si>
  <si>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</si>
  <si>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</si>
  <si>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</si>
  <si>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</si>
  <si>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</si>
  <si>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</si>
  <si>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</si>
  <si>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</si>
  <si>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</si>
  <si>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</si>
  <si>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</si>
  <si>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</si>
  <si>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</si>
  <si>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</si>
  <si>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</si>
  <si>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</si>
  <si>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</si>
  <si>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</si>
  <si>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</si>
  <si>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</si>
  <si>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</si>
  <si>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</si>
  <si>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</si>
  <si>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</si>
  <si>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</si>
  <si>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</si>
  <si>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</si>
  <si>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</si>
  <si>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</si>
  <si>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</si>
  <si>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</si>
  <si>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</si>
  <si>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</si>
  <si>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</si>
  <si>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</si>
  <si>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</si>
  <si>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</si>
  <si>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</si>
  <si>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</si>
  <si>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</si>
  <si>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</si>
  <si>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</si>
  <si>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</si>
  <si>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</si>
  <si>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</si>
  <si>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</si>
  <si>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</si>
  <si>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</si>
  <si>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</si>
  <si>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</si>
  <si>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</si>
  <si>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</si>
  <si>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</si>
  <si>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</si>
  <si>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</si>
  <si>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</si>
  <si>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</si>
  <si>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</si>
  <si>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</si>
  <si>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</si>
  <si>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</si>
  <si>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</si>
  <si>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</si>
  <si>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</si>
  <si>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</si>
  <si>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</si>
  <si>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</si>
  <si>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</si>
  <si>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</si>
  <si>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</si>
  <si>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</si>
  <si>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</si>
  <si>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</si>
  <si>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</si>
  <si>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</si>
  <si>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</si>
  <si>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</si>
  <si>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</si>
  <si>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</si>
  <si>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</si>
  <si>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</si>
  <si>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</si>
  <si>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</si>
  <si>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</si>
  <si>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</si>
  <si>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</si>
  <si>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</si>
  <si>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</si>
  <si>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</si>
  <si>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</si>
  <si>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</si>
  <si>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</si>
  <si>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</si>
  <si>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</si>
  <si>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</si>
  <si>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</si>
  <si>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</si>
  <si>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</si>
  <si>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</si>
  <si>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</si>
  <si>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</si>
  <si>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</si>
  <si>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</si>
  <si>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</si>
  <si>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</si>
  <si>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</si>
  <si>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</si>
  <si>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</si>
  <si>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</si>
  <si>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</si>
  <si>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</si>
  <si>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</si>
  <si>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</si>
  <si>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</si>
  <si>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</si>
  <si>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</si>
  <si>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</si>
  <si>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</si>
  <si>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</si>
  <si>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</si>
  <si>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</si>
  <si>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</si>
  <si>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</si>
  <si>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</si>
  <si>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</si>
  <si>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</si>
  <si>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</si>
  <si>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</si>
  <si>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</si>
  <si>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</si>
  <si>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</si>
  <si>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</si>
  <si>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</si>
  <si>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</si>
  <si>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</si>
  <si>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</si>
  <si>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</si>
  <si>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</si>
  <si>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</si>
  <si>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</si>
  <si>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</si>
  <si>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</si>
  <si>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</si>
  <si>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</si>
  <si>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</si>
  <si>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</si>
  <si>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</si>
  <si>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</si>
  <si>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</si>
  <si>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</si>
  <si>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</si>
  <si>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</si>
  <si>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</si>
  <si>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</si>
  <si>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</si>
  <si>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</si>
  <si>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</si>
  <si>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</si>
  <si>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</si>
  <si>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</si>
  <si>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</si>
  <si>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</si>
  <si>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</si>
  <si>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</si>
  <si>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</si>
  <si>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</si>
  <si>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</si>
  <si>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</si>
  <si>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</si>
  <si>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</si>
  <si>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</si>
  <si>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</si>
  <si>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</si>
  <si>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</si>
  <si>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</si>
  <si>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</si>
  <si>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</si>
  <si>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</si>
  <si>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</si>
  <si>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</si>
  <si>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</si>
  <si>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</si>
  <si>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</si>
  <si>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</si>
  <si>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</si>
  <si>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</si>
  <si>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</si>
  <si>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</si>
  <si>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</si>
  <si>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</si>
  <si>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</si>
  <si>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</si>
  <si>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</si>
  <si>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</si>
  <si>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</si>
  <si>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</si>
  <si>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</si>
  <si>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</si>
  <si>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</si>
  <si>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</si>
  <si>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</si>
  <si>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</si>
  <si>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</si>
  <si>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</si>
  <si>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</si>
  <si>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</si>
  <si>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</si>
  <si>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</si>
  <si>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</si>
  <si>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</si>
  <si>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</si>
  <si>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</si>
  <si>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</si>
  <si>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</si>
  <si>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</si>
  <si>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</si>
  <si>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</si>
  <si>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</si>
  <si>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</si>
  <si>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</si>
  <si>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</si>
  <si>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</si>
  <si>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</si>
  <si>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</si>
  <si>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</si>
  <si>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</si>
  <si>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</si>
  <si>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</si>
  <si>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</si>
  <si>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</si>
  <si>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</si>
  <si>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</si>
  <si>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</si>
  <si>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</si>
  <si>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</si>
  <si>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</si>
  <si>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</si>
  <si>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</si>
  <si>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</si>
  <si>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</si>
  <si>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</si>
  <si>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</si>
  <si>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</si>
  <si>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</si>
  <si>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</si>
  <si>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</si>
  <si>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</si>
  <si>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</si>
  <si>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</si>
  <si>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</si>
  <si>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</si>
  <si>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</si>
  <si>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</si>
  <si>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</si>
  <si>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</si>
  <si>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</si>
  <si>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</si>
  <si>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</si>
  <si>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</si>
  <si>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</si>
  <si>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</si>
  <si>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</si>
  <si>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</si>
  <si>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</si>
  <si>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</si>
  <si>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</si>
  <si>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</si>
  <si>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</si>
  <si>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</si>
  <si>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</si>
  <si>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</si>
  <si>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</si>
  <si>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</si>
  <si>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</si>
  <si>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</si>
  <si>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</si>
  <si>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</si>
  <si>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</si>
  <si>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</si>
  <si>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</si>
  <si>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</si>
  <si>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</si>
  <si>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</si>
  <si>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</si>
  <si>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</si>
  <si>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</si>
  <si>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</si>
  <si>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</si>
  <si>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</si>
  <si>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</si>
  <si>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</si>
  <si>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</si>
  <si>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</si>
  <si>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</si>
  <si>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</si>
  <si>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</si>
  <si>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</si>
  <si>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</si>
  <si>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</si>
  <si>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</si>
  <si>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</si>
  <si>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</si>
  <si>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</si>
  <si>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</si>
  <si>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</si>
  <si>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</si>
  <si>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</si>
  <si>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</si>
  <si>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</si>
  <si>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</si>
  <si>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</si>
  <si>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</si>
  <si>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</si>
  <si>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</si>
  <si>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</si>
  <si>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</si>
  <si>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</si>
  <si>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</si>
  <si>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</si>
  <si>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</si>
  <si>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</si>
  <si>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</si>
  <si>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</si>
  <si>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</si>
  <si>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</si>
  <si>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</si>
  <si>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</si>
  <si>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</si>
  <si>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</si>
  <si>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</si>
  <si>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</si>
  <si>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</si>
  <si>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</si>
  <si>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</si>
  <si>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</si>
  <si>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</si>
  <si>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</si>
  <si>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</si>
  <si>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</si>
  <si>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</si>
  <si>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</si>
  <si>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</si>
  <si>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</si>
  <si>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</si>
  <si>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</si>
  <si>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</si>
  <si>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</si>
  <si>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</si>
  <si>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</si>
  <si>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</si>
  <si>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</si>
  <si>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</si>
  <si>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</si>
  <si>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</si>
  <si>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</si>
  <si>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</si>
  <si>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</si>
  <si>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</si>
  <si>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</si>
  <si>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</si>
  <si>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</si>
  <si>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</si>
  <si>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</si>
  <si>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</si>
  <si>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</si>
  <si>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</si>
  <si>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</si>
  <si>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</si>
  <si>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</si>
  <si>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</si>
  <si>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</si>
  <si>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</si>
  <si>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</si>
  <si>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</si>
  <si>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</si>
  <si>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</si>
  <si>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</si>
  <si>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</si>
  <si>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</si>
  <si>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</si>
  <si>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</si>
  <si>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</si>
  <si>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</si>
  <si>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</si>
  <si>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</si>
  <si>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</si>
  <si>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</si>
  <si>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</si>
  <si>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</si>
  <si>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</si>
  <si>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</si>
  <si>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</si>
  <si>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</si>
  <si>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</si>
  <si>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</si>
  <si>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</si>
  <si>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</si>
  <si>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</si>
  <si>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</si>
  <si>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</si>
  <si>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</si>
  <si>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</si>
  <si>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</si>
  <si>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</si>
  <si>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</si>
  <si>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</si>
  <si>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</si>
  <si>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</si>
  <si>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</si>
  <si>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</si>
  <si>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</si>
  <si>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</si>
  <si>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</si>
  <si>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</si>
  <si>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</si>
  <si>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</si>
  <si>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</si>
  <si>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</si>
  <si>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</si>
  <si>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</si>
  <si>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</si>
  <si>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</si>
  <si>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</si>
  <si>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</si>
  <si>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</si>
  <si>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</si>
  <si>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</si>
  <si>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</si>
  <si>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</si>
  <si>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</si>
  <si>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</si>
  <si>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</si>
  <si>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</si>
  <si>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</si>
  <si>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</si>
  <si>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</si>
  <si>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</si>
  <si>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</si>
  <si>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</si>
  <si>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</si>
  <si>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</si>
  <si>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</si>
  <si>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</si>
  <si>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</si>
  <si>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</si>
  <si>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</si>
  <si>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</si>
  <si>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</si>
  <si>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</si>
  <si>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</si>
  <si>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</si>
  <si>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</si>
  <si>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</si>
  <si>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</si>
  <si>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</si>
  <si>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</si>
  <si>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</si>
  <si>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</si>
  <si>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</si>
  <si>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</si>
  <si>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</si>
  <si>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</si>
  <si>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</si>
  <si>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</si>
  <si>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</si>
  <si>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</si>
  <si>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</si>
  <si>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</si>
  <si>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</si>
  <si>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</si>
  <si>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</si>
  <si>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</si>
  <si>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</si>
  <si>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</si>
  <si>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</si>
  <si>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</si>
  <si>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</si>
  <si>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</si>
  <si>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</si>
  <si>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</si>
  <si>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</si>
  <si>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</si>
  <si>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</si>
  <si>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</si>
  <si>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</si>
  <si>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</si>
  <si>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</si>
  <si>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</si>
  <si>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</si>
  <si>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</si>
  <si>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</si>
  <si>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</si>
  <si>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</si>
  <si>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</si>
  <si>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</si>
  <si>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</si>
  <si>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</si>
  <si>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</si>
  <si>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</si>
  <si>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</si>
  <si>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</si>
  <si>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</si>
  <si>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</si>
  <si>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</si>
  <si>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</si>
  <si>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</si>
  <si>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</si>
  <si>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</si>
  <si>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</si>
  <si>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</si>
  <si>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</si>
  <si>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</si>
  <si>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</si>
  <si>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</si>
  <si>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</si>
  <si>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</si>
  <si>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</si>
  <si>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</si>
  <si>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</si>
  <si>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</si>
  <si>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</si>
  <si>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</si>
  <si>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</si>
  <si>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</si>
  <si>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</si>
  <si>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</si>
  <si>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</si>
  <si>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</si>
  <si>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</si>
  <si>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</si>
  <si>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</si>
  <si>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</si>
  <si>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</si>
  <si>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</si>
  <si>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</si>
  <si>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</si>
  <si>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</si>
  <si>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</si>
  <si>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</si>
  <si>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</si>
  <si>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</si>
  <si>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</si>
  <si>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</si>
  <si>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</si>
  <si>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</si>
  <si>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</si>
  <si>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</si>
  <si>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</si>
  <si>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</si>
  <si>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</si>
  <si>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</si>
  <si>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</si>
  <si>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</si>
  <si>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</si>
  <si>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</si>
  <si>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</si>
  <si>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</si>
  <si>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</si>
  <si>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</si>
  <si>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</si>
  <si>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</si>
  <si>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</si>
  <si>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</si>
  <si>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</si>
  <si>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</si>
  <si>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</si>
  <si>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</si>
  <si>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</si>
  <si>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</si>
  <si>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</si>
  <si>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</si>
  <si>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</si>
  <si>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</si>
  <si>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</si>
  <si>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</si>
  <si>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</si>
  <si>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</si>
  <si>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</si>
  <si>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</si>
  <si>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</si>
  <si>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</si>
  <si>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</si>
  <si>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</si>
  <si>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</si>
  <si>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</si>
  <si>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</si>
  <si>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</si>
  <si>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</si>
  <si>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</si>
  <si>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</si>
  <si>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</si>
  <si>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</si>
  <si>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</si>
  <si>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</si>
  <si>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</si>
  <si>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</si>
  <si>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</si>
  <si>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</si>
  <si>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</si>
  <si>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</si>
  <si>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</si>
  <si>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</si>
  <si>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</si>
  <si>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</si>
  <si>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</si>
  <si>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</si>
  <si>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</si>
  <si>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</si>
  <si>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</si>
  <si>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</si>
  <si>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</si>
  <si>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</si>
  <si>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</si>
  <si>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</si>
  <si>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</si>
  <si>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</si>
  <si>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</si>
  <si>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</si>
  <si>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</si>
  <si>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</si>
  <si>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</si>
  <si>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</si>
  <si>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</si>
  <si>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</si>
  <si>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</si>
  <si>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</si>
  <si>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</si>
  <si>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</si>
  <si>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</si>
  <si>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</si>
  <si>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</si>
  <si>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</si>
  <si>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</si>
  <si>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</si>
  <si>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</si>
  <si>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</si>
  <si>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</si>
  <si>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</si>
  <si>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</si>
  <si>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</si>
  <si>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</si>
  <si>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</si>
  <si>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</si>
  <si>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</si>
  <si>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</si>
  <si>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</si>
  <si>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</si>
  <si>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</si>
  <si>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</si>
  <si>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</si>
  <si>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</si>
  <si>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</si>
  <si>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</si>
  <si>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</si>
  <si>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</si>
  <si>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</si>
  <si>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</si>
  <si>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</si>
  <si>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</si>
  <si>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</si>
  <si>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</si>
  <si>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</si>
  <si>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</si>
  <si>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</si>
  <si>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</si>
  <si>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</si>
  <si>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</si>
  <si>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</si>
  <si>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</si>
  <si>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</si>
  <si>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</si>
  <si>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</si>
  <si>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</si>
  <si>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</si>
  <si>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</si>
  <si>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</si>
  <si>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</si>
  <si>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</si>
  <si>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</si>
  <si>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</si>
  <si>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</si>
  <si>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</si>
  <si>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</si>
  <si>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</si>
  <si>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</si>
  <si>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</si>
  <si>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</si>
  <si>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</si>
  <si>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</si>
  <si>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</si>
  <si>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</si>
  <si>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</si>
  <si>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</si>
  <si>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</si>
  <si>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</si>
  <si>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</si>
  <si>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</si>
  <si>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</si>
  <si>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</si>
  <si>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</si>
  <si>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</si>
  <si>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</si>
  <si>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</si>
  <si>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</si>
  <si>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</si>
  <si>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</si>
  <si>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</si>
  <si>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</si>
  <si>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</si>
  <si>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</si>
  <si>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</si>
  <si>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</si>
  <si>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</si>
  <si>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</si>
  <si>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</si>
  <si>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</si>
  <si>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</si>
  <si>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</si>
  <si>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</si>
  <si>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</si>
  <si>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</si>
  <si>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</si>
  <si>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C:\Users\hector.guillen\EUROLEAGUE\EB STATS - Documents\General\SEASON 2025-26\Reports\Eurocup</t>
  </si>
  <si>
    <t>C:\Users\hector.guillen\EUROLEAGUE\EB STATS - Documents\General\SEASON 2025-26\Reports\Eurocup\PDF</t>
  </si>
  <si>
    <t>SILVIA BOTTURA</t>
  </si>
  <si>
    <t>SASHA ZORDAN</t>
  </si>
  <si>
    <t>TOMMASO MOLO</t>
  </si>
  <si>
    <t>NOEMI DEIMICHEL</t>
  </si>
  <si>
    <t>FJORENCO HYSI</t>
  </si>
  <si>
    <t>HECTOR GUILLEN</t>
  </si>
  <si>
    <t>6:07</t>
  </si>
  <si>
    <t>2:02</t>
  </si>
  <si>
    <t>9:33</t>
  </si>
  <si>
    <t>4:34</t>
  </si>
  <si>
    <t>Despite the missing substitution, you did a 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</si>
</sst>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04_040_TRN_TTK_U2025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40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45952.833333333336</v>
      </c>
      <c r="C3" s="157"/>
      <c r="D3" s="39">
        <v>609</v>
      </c>
      <c r="E3" s="29"/>
      <c r="F3" s="26">
        <f>SUBTOTAL(3,I17:I106)</f>
        <v>5</v>
      </c>
      <c r="G3" s="27">
        <f>IF(OR(D3="",D3=0),"",F3/D3)</f>
        <v>8.2101806239737278E-3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Dolomiti Energia Trento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TRN</v>
      </c>
      <c r="I4" s="5"/>
      <c r="J4" s="119" t="s">
        <v>714</v>
      </c>
      <c r="K4" s="54" t="s">
        <v>742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8.2101806239737278E-3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Turk Telekom Ankara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TTK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0.82101806239737274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10.821018062397373</v>
      </c>
      <c r="N7" s="58"/>
      <c r="O7" s="2"/>
      <c r="P7" s="2"/>
      <c r="Q7" s="86">
        <f>SUM(R5,S5,AC16)</f>
        <v>10.821018062397373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10.821018062397373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40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40</v>
      </c>
      <c r="D17" s="32" t="s">
        <v>757</v>
      </c>
      <c r="E17" s="33">
        <v>2</v>
      </c>
      <c r="F17" s="36">
        <v>24</v>
      </c>
      <c r="G17" s="36">
        <v>24</v>
      </c>
      <c r="H17" s="38" t="str">
        <f>IF(I17="","",$I$14)</f>
        <v>SCOUTING</v>
      </c>
      <c r="I17" s="34">
        <v>192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40</v>
      </c>
      <c r="D18" s="32" t="s">
        <v>758</v>
      </c>
      <c r="E18" s="33">
        <v>2</v>
      </c>
      <c r="F18" s="36">
        <v>27</v>
      </c>
      <c r="G18" s="36">
        <v>35</v>
      </c>
      <c r="H18" s="38" t="str">
        <f t="shared" ref="H18:H81" si="8">IF(I18="","",$I$14)</f>
        <v>SCOUTING</v>
      </c>
      <c r="I18" s="34">
        <v>258</v>
      </c>
      <c r="J18" s="13" t="s">
        <v>4</v>
      </c>
      <c r="K18" s="13" t="s">
        <v>62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40</v>
      </c>
      <c r="D19" s="32" t="s">
        <v>759</v>
      </c>
      <c r="E19" s="33">
        <v>3</v>
      </c>
      <c r="F19" s="36">
        <v>31</v>
      </c>
      <c r="G19" s="36">
        <v>41</v>
      </c>
      <c r="H19" s="38" t="str">
        <f t="shared" si="8"/>
        <v>SCOUTING</v>
      </c>
      <c r="I19" s="34">
        <v>317</v>
      </c>
      <c r="J19" s="13" t="s">
        <v>4</v>
      </c>
      <c r="K19" s="13" t="s">
        <v>62</v>
      </c>
      <c r="L19" s="13" t="s">
        <v>6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40</v>
      </c>
      <c r="D20" s="32" t="s">
        <v>760</v>
      </c>
      <c r="E20" s="33">
        <v>3</v>
      </c>
      <c r="F20" s="36">
        <v>44</v>
      </c>
      <c r="G20" s="36">
        <v>53</v>
      </c>
      <c r="H20" s="38" t="str">
        <f t="shared" si="8"/>
        <v>SCOUTING</v>
      </c>
      <c r="I20" s="34">
        <v>385</v>
      </c>
      <c r="J20" s="13" t="s">
        <v>4</v>
      </c>
      <c r="K20" s="13" t="s">
        <v>62</v>
      </c>
      <c r="L20" s="13" t="s">
        <v>7</v>
      </c>
      <c r="M20" s="13" t="s">
        <v>9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40</v>
      </c>
      <c r="D21" s="32" t="s">
        <v>760</v>
      </c>
      <c r="E21" s="33">
        <v>3</v>
      </c>
      <c r="F21" s="36">
        <v>44</v>
      </c>
      <c r="G21" s="36">
        <v>53</v>
      </c>
      <c r="H21" s="38" t="str">
        <f t="shared" si="8"/>
        <v>SCOUTING</v>
      </c>
      <c r="I21" s="34">
        <v>385</v>
      </c>
      <c r="J21" s="13" t="s">
        <v>4</v>
      </c>
      <c r="K21" s="13" t="s">
        <v>62</v>
      </c>
      <c r="L21" s="13" t="s">
        <v>78</v>
      </c>
      <c r="M21" s="13" t="s">
        <v>78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REPORT_U2025040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"U2025040"</v>
      </c>
      <c r="F3" s="45" t="str">
        <f t="shared" ref="F3:F16" si="0">""""&amp;B3&amp;"""" &amp; " : " &amp;C3&amp;","</f>
        <v>"name" : "U2025040",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"U040"</v>
      </c>
      <c r="F4" s="45" t="str">
        <f t="shared" si="0"/>
        <v>"cod" : "U040",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040</v>
      </c>
      <c r="F6" s="45" t="str">
        <f t="shared" si="0"/>
        <v>"number" : 040,</v>
      </c>
    </row>
    <row r="7" spans="2:6" x14ac:dyDescent="0.25">
      <c r="B7" s="43" t="s">
        <v>116</v>
      </c>
      <c r="C7" s="43" t="str">
        <f ca="1">""""&amp;TEXT('SCOUT &amp; LOGISTICS'!B3,"dd/mm/aaaa")&amp;""""</f>
        <v>"22/10/Wednesday"</v>
      </c>
      <c r="F7" s="45" t="str">
        <f t="shared" ca="1" si="0"/>
        <v>"date" : "22/10/Wednesday",</v>
      </c>
    </row>
    <row r="8" spans="2:6" x14ac:dyDescent="0.25">
      <c r="B8" s="43" t="s">
        <v>125</v>
      </c>
      <c r="C8" s="43" t="str">
        <f>""""&amp;'SCOUT &amp; LOGISTICS'!D4 &amp;""""</f>
        <v>"Dolomiti Energia Trento"</v>
      </c>
      <c r="F8" s="45" t="str">
        <f t="shared" si="0"/>
        <v>"home_team" : "Dolomiti Energia Trento",</v>
      </c>
    </row>
    <row r="9" spans="2:6" x14ac:dyDescent="0.25">
      <c r="B9" s="43" t="s">
        <v>126</v>
      </c>
      <c r="C9" s="43" t="str">
        <f>""""&amp;'SCOUT &amp; LOGISTICS'!D5&amp;""""</f>
        <v>"Turk Telekom Ankara"</v>
      </c>
      <c r="F9" s="45" t="str">
        <f t="shared" si="0"/>
        <v>"away_team" : "Turk Telekom Ankara",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"SILVIA BOTTURA"</v>
      </c>
      <c r="F10" s="45" t="str">
        <f t="shared" si="0"/>
        <v>"Data_entry" : "SILVIA BOTTURA",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"SASHA ZORDAN"</v>
      </c>
      <c r="F11" s="45" t="str">
        <f t="shared" si="0"/>
        <v>"Caller_1" : "SASHA ZORDAN",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"TOMMASO MOLO"</v>
      </c>
      <c r="F12" s="45" t="str">
        <f t="shared" si="0"/>
        <v>"Caller_2" : "TOMMASO MOLO",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"NOEMI DEIMICHEL"</v>
      </c>
      <c r="F13" s="45" t="str">
        <f t="shared" si="0"/>
        <v>"Timerkeeper" : "NOEMI DEIMICHEL",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"FJORENCO HYSI"</v>
      </c>
      <c r="F14" s="45" t="str">
        <f t="shared" si="0"/>
        <v>"Shotclock" : "FJORENCO HYSI",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609</v>
      </c>
      <c r="F25" s="45" t="str">
        <f t="shared" ref="F25:F48" si="1">""""&amp;C25&amp;"""" &amp; " : " &amp;D25&amp;","</f>
        <v>"total_actions" : 609,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"Despite the missing substitution, you did a very good job! Keep it up!"</v>
      </c>
      <c r="F51" s="45" t="str">
        <f>""""&amp;B51&amp;"""" &amp; " : " &amp;C51&amp;","</f>
        <v>"comments" : "Despite the missing substitution, you did a very good job! Keep it up!",</v>
      </c>
    </row>
    <row r="52" spans="2:6" x14ac:dyDescent="0.25">
      <c r="B52" s="43" t="s">
        <v>153</v>
      </c>
      <c r="C52" s="43" t="str">
        <f>TEXT('SCOUT &amp; LOGISTICS'!F1,"0,0")</f>
        <v>04_040_TRN_TTK_U2025</v>
      </c>
      <c r="F52" s="45" t="str">
        <f>""""&amp;B52&amp;"""" &amp; " : " &amp;C52</f>
        <v>"result" : 04_040_TRN_TTK_U2025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U040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22/10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Dolomiti Energia Trento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Turk Telekom Ankara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SILVIA BOTTURA</v>
      </c>
      <c r="C8" s="206"/>
      <c r="D8" s="206"/>
      <c r="E8" s="206"/>
      <c r="F8" s="206"/>
      <c r="G8" s="206" t="str">
        <f>IF('SCOUT &amp; LOGISTICS'!D7="","",'SCOUT &amp; LOGISTICS'!D7)</f>
        <v>SASHA ZORDAN</v>
      </c>
      <c r="H8" s="206"/>
      <c r="I8" s="206"/>
      <c r="J8" s="206"/>
      <c r="K8" s="206"/>
      <c r="L8" s="206" t="str">
        <f>IF('SCOUT &amp; LOGISTICS'!D8="","",'SCOUT &amp; LOGISTICS'!D8)</f>
        <v>TOMMASO MOLO</v>
      </c>
      <c r="M8" s="206"/>
      <c r="N8" s="206"/>
      <c r="O8" s="206"/>
      <c r="P8" s="206"/>
      <c r="Q8" s="206" t="str">
        <f>IF('SCOUT &amp; LOGISTICS'!D9="","",'SCOUT &amp; LOGISTICS'!D9)</f>
        <v>NOEMI DEIMICHEL</v>
      </c>
      <c r="R8" s="206"/>
      <c r="S8" s="206"/>
      <c r="T8" s="206"/>
      <c r="U8" s="206"/>
      <c r="V8" s="206" t="str">
        <f>IF('SCOUT &amp; LOGISTICS'!D10="","",'SCOUT &amp; LOGISTICS'!D10)</f>
        <v>FJORENCO HYSI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609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8.2101806239737278E-3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1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Despite the missing substitution, you did a 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10.821018062397373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2AFAEEE-56CF-4F3B-BAD6-06251393ACA9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2025-10-22T20:20:17Z</cp:lastPrinted>
  <dcterms:created xsi:type="dcterms:W3CDTF">2023-09-19T19:50:35Z</dcterms:created>
  <dcterms:modified xsi:type="dcterms:W3CDTF">2025-10-22T20:20:21Z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