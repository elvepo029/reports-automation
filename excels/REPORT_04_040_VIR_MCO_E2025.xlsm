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99" documentId="8_{C5BE778A-DDB6-4D1F-A4FF-B76F71D25D38}" xr6:coauthVersionLast="47" xr6:coauthVersionMax="47" xr10:uidLastSave="{BE535FD2-6A68-46B4-8858-AC837E83533F}"/>
  <bookViews>
    <workbookView xWindow="-108" yWindow="-108" windowWidth="23256" windowHeight="12456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<sst xmlns="http://schemas.openxmlformats.org/spreadsheetml/2006/main" count="3286" uniqueCount="766">
  <si>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</si>
  <si>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</si>
  <si>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</si>
  <si>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</si>
  <si>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</si>
  <si>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</si>
  <si>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</si>
  <si>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</si>
  <si>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</si>
  <si>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</si>
  <si>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</si>
  <si>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</si>
  <si>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</si>
  <si>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</si>
  <si>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</si>
  <si>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</si>
  <si>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</si>
  <si>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</si>
  <si>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</si>
  <si>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</si>
  <si>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</si>
  <si>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</si>
  <si>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</si>
  <si>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</si>
  <si>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</si>
  <si>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</si>
  <si>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</si>
  <si>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</si>
  <si>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</si>
  <si>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</si>
  <si>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</si>
  <si>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</si>
  <si>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</si>
  <si>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</si>
  <si>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</si>
  <si>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</si>
  <si>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</si>
  <si>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</si>
  <si>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</si>
  <si>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</si>
  <si>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</si>
  <si>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</si>
  <si>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</si>
  <si>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</si>
  <si>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</si>
  <si>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</si>
  <si>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</si>
  <si>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</si>
  <si>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</si>
  <si>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</si>
  <si>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</si>
  <si>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</si>
  <si>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</si>
  <si>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</si>
  <si>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</si>
  <si>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</si>
  <si>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</si>
  <si>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</si>
  <si>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</si>
  <si>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</si>
  <si>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</si>
  <si>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</si>
  <si>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</si>
  <si>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</si>
  <si>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</si>
  <si>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</si>
  <si>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</si>
  <si>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</si>
  <si>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</si>
  <si>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</si>
  <si>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</si>
  <si>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</si>
  <si>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</si>
  <si>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</si>
  <si>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</si>
  <si>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</si>
  <si>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</si>
  <si>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</si>
  <si>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</si>
  <si>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</si>
  <si>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</si>
  <si>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</si>
  <si>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</si>
  <si>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</si>
  <si>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</si>
  <si>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</si>
  <si>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</si>
  <si>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</si>
  <si>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</si>
  <si>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</si>
  <si>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</si>
  <si>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</si>
  <si>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</si>
  <si>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</si>
  <si>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</si>
  <si>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</si>
  <si>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</si>
  <si>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</si>
  <si>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</si>
  <si>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</si>
  <si>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</si>
  <si>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</si>
  <si>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</si>
  <si>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</si>
  <si>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</si>
  <si>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</si>
  <si>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</si>
  <si>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</si>
  <si>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</si>
  <si>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</si>
  <si>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</si>
  <si>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</si>
  <si>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</si>
  <si>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</si>
  <si>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</si>
  <si>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</si>
  <si>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</si>
  <si>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</si>
  <si>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</si>
  <si>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</si>
  <si>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</si>
  <si>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</si>
  <si>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</si>
  <si>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</si>
  <si>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</si>
  <si>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</si>
  <si>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</si>
  <si>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</si>
  <si>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</si>
  <si>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</si>
  <si>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</si>
  <si>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</si>
  <si>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</si>
  <si>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</si>
  <si>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</si>
  <si>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</si>
  <si>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</si>
  <si>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</si>
  <si>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</si>
  <si>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</si>
  <si>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</si>
  <si>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</si>
  <si>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</si>
  <si>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</si>
  <si>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</si>
  <si>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</si>
  <si>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</si>
  <si>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</si>
  <si>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</si>
  <si>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</si>
  <si>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</si>
  <si>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</si>
  <si>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</si>
  <si>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</si>
  <si>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</si>
  <si>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</si>
  <si>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</si>
  <si>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</si>
  <si>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</si>
  <si>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</si>
  <si>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</si>
  <si>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</si>
  <si>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</si>
  <si>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</si>
  <si>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</si>
  <si>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</si>
  <si>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</si>
  <si>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</si>
  <si>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</si>
  <si>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</si>
  <si>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</si>
  <si>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</si>
  <si>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</si>
  <si>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</si>
  <si>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</si>
  <si>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</si>
  <si>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</si>
  <si>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</si>
  <si>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</si>
  <si>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</si>
  <si>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</si>
  <si>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</si>
  <si>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</si>
  <si>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</si>
  <si>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</si>
  <si>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</si>
  <si>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</si>
  <si>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</si>
  <si>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</si>
  <si>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</si>
  <si>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</si>
  <si>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</si>
  <si>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</si>
  <si>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</si>
  <si>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</si>
  <si>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</si>
  <si>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</si>
  <si>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</si>
  <si>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</si>
  <si>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</si>
  <si>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</si>
  <si>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</si>
  <si>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</si>
  <si>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</si>
  <si>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</si>
  <si>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</si>
  <si>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</si>
  <si>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</si>
  <si>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</si>
  <si>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</si>
  <si>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</si>
  <si>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</si>
  <si>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</si>
  <si>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</si>
  <si>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</si>
  <si>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</si>
  <si>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</si>
  <si>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</si>
  <si>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</si>
  <si>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</si>
  <si>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</si>
  <si>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</si>
  <si>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</si>
  <si>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</si>
  <si>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</si>
  <si>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</si>
  <si>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</si>
  <si>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</si>
  <si>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</si>
  <si>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</si>
  <si>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</si>
  <si>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</si>
  <si>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</si>
  <si>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</si>
  <si>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</si>
  <si>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</si>
  <si>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</si>
  <si>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</si>
  <si>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</si>
  <si>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</si>
  <si>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</si>
  <si>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</si>
  <si>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</si>
  <si>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</si>
  <si>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</si>
  <si>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</si>
  <si>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</si>
  <si>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</si>
  <si>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</si>
  <si>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</si>
  <si>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</si>
  <si>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</si>
  <si>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</si>
  <si>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</si>
  <si>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</si>
  <si>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</si>
  <si>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</si>
  <si>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</si>
  <si>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</si>
  <si>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</si>
  <si>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</si>
  <si>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</si>
  <si>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</si>
  <si>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</si>
  <si>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</si>
  <si>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</si>
  <si>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</si>
  <si>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</si>
  <si>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</si>
  <si>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</si>
  <si>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</si>
  <si>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</si>
  <si>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</si>
  <si>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</si>
  <si>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</si>
  <si>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</si>
  <si>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</si>
  <si>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</si>
  <si>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</si>
  <si>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</si>
  <si>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</si>
  <si>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</si>
  <si>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</si>
  <si>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</si>
  <si>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</si>
  <si>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</si>
  <si>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</si>
  <si>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</si>
  <si>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</si>
  <si>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</si>
  <si>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</si>
  <si>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</si>
  <si>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</si>
  <si>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</si>
  <si>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</si>
  <si>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</si>
  <si>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</si>
  <si>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</si>
  <si>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</si>
  <si>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</si>
  <si>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</si>
  <si>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</si>
  <si>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</si>
  <si>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</si>
  <si>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</si>
  <si>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</si>
  <si>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</si>
  <si>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</si>
  <si>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</si>
  <si>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</si>
  <si>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</si>
  <si>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</si>
  <si>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</si>
  <si>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</si>
  <si>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</si>
  <si>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</si>
  <si>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</si>
  <si>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</si>
  <si>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</si>
  <si>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</si>
  <si>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</si>
  <si>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</si>
  <si>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</si>
  <si>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</si>
  <si>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</si>
  <si>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</si>
  <si>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</si>
  <si>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</si>
  <si>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</si>
  <si>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</si>
  <si>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</si>
  <si>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</si>
  <si>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</si>
  <si>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</si>
  <si>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</si>
  <si>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</si>
  <si>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</si>
  <si>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</si>
  <si>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</si>
  <si>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</si>
  <si>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</si>
  <si>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</si>
  <si>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</si>
  <si>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</si>
  <si>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</si>
  <si>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</si>
  <si>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</si>
  <si>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</si>
  <si>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</si>
  <si>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</si>
  <si>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</si>
  <si>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</si>
  <si>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</si>
  <si>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</si>
  <si>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</si>
  <si>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</si>
  <si>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</si>
  <si>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</si>
  <si>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</si>
  <si>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</si>
  <si>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</si>
  <si>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</si>
  <si>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</si>
  <si>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</si>
  <si>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</si>
  <si>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</si>
  <si>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</si>
  <si>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</si>
  <si>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</si>
  <si>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</si>
  <si>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</si>
  <si>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</si>
  <si>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</si>
  <si>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</si>
  <si>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</si>
  <si>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</si>
  <si>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</si>
  <si>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</si>
  <si>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</si>
  <si>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</si>
  <si>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</si>
  <si>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</si>
  <si>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</si>
  <si>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</si>
  <si>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</si>
  <si>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</si>
  <si>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</si>
  <si>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</si>
  <si>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</si>
  <si>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</si>
  <si>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</si>
  <si>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</si>
  <si>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</si>
  <si>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</si>
  <si>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</si>
  <si>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</si>
  <si>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</si>
  <si>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</si>
  <si>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</si>
  <si>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</si>
  <si>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</si>
  <si>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</si>
  <si>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</si>
  <si>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</si>
  <si>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</si>
  <si>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</si>
  <si>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</si>
  <si>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</si>
  <si>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</si>
  <si>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</si>
  <si>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</si>
  <si>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</si>
  <si>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</si>
  <si>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</si>
  <si>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</si>
  <si>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</si>
  <si>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</si>
  <si>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</si>
  <si>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</si>
  <si>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</si>
  <si>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</si>
  <si>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</si>
  <si>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</si>
  <si>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</si>
  <si>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</si>
  <si>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</si>
  <si>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</si>
  <si>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</si>
  <si>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</si>
  <si>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</si>
  <si>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</si>
  <si>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</si>
  <si>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</si>
  <si>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</si>
  <si>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</si>
  <si>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</si>
  <si>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</si>
  <si>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</si>
  <si>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</si>
  <si>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</si>
  <si>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</si>
  <si>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</si>
  <si>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</si>
  <si>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</si>
  <si>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</si>
  <si>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</si>
  <si>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</si>
  <si>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</si>
  <si>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</si>
  <si>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</si>
  <si>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</si>
  <si>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</si>
  <si>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</si>
  <si>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</si>
  <si>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</si>
  <si>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</si>
  <si>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</si>
  <si>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</si>
  <si>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</si>
  <si>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</si>
  <si>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</si>
  <si>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</si>
  <si>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</si>
  <si>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</si>
  <si>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</si>
  <si>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</si>
  <si>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</si>
  <si>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</si>
  <si>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</si>
  <si>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</si>
  <si>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</si>
  <si>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</si>
  <si>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</si>
  <si>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</si>
  <si>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</si>
  <si>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</si>
  <si>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</si>
  <si>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</si>
  <si>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</si>
  <si>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</si>
  <si>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</si>
  <si>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</si>
  <si>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</si>
  <si>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</si>
  <si>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</si>
  <si>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</si>
  <si>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</si>
  <si>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</si>
  <si>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</si>
  <si>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</si>
  <si>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</si>
  <si>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</si>
  <si>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</si>
  <si>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</si>
  <si>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</si>
  <si>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</si>
  <si>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</si>
  <si>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</si>
  <si>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</si>
  <si>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</si>
  <si>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</si>
  <si>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</si>
  <si>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</si>
  <si>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</si>
  <si>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</si>
  <si>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</si>
  <si>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</si>
  <si>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</si>
  <si>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</si>
  <si>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</si>
  <si>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</si>
  <si>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</si>
  <si>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</si>
  <si>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</si>
  <si>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</si>
  <si>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</si>
  <si>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</si>
  <si>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</si>
  <si>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</si>
  <si>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</si>
  <si>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</si>
  <si>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</si>
  <si>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</si>
  <si>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</si>
  <si>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</si>
  <si>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</si>
  <si>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</si>
  <si>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</si>
  <si>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</si>
  <si>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</si>
  <si>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</si>
  <si>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</si>
  <si>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</si>
  <si>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</si>
  <si>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</si>
  <si>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</si>
  <si>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</si>
  <si>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</si>
  <si>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</si>
  <si>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</si>
  <si>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</si>
  <si>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</si>
  <si>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</si>
  <si>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</si>
  <si>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</si>
  <si>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</si>
  <si>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</si>
  <si>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</si>
  <si>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</si>
  <si>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</si>
  <si>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</si>
  <si>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</si>
  <si>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</si>
  <si>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</si>
  <si>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</si>
  <si>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</si>
  <si>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</si>
  <si>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</si>
  <si>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</si>
  <si>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</si>
  <si>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</si>
  <si>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</si>
  <si>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</si>
  <si>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</si>
  <si>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</si>
  <si>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</si>
  <si>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</si>
  <si>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</si>
  <si>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</si>
  <si>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</si>
  <si>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</si>
  <si>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</si>
  <si>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</si>
  <si>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</si>
  <si>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</si>
  <si>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</si>
  <si>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</si>
  <si>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</si>
  <si>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</si>
  <si>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</si>
  <si>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</si>
  <si>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</si>
  <si>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</si>
  <si>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</si>
  <si>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</si>
  <si>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</si>
  <si>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</si>
  <si>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</si>
  <si>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</si>
  <si>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</si>
  <si>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</si>
  <si>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</si>
  <si>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</si>
  <si>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</si>
  <si>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</si>
  <si>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</si>
  <si>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</si>
  <si>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</si>
  <si>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</si>
  <si>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</si>
  <si>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</si>
  <si>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</si>
  <si>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</si>
  <si>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</si>
  <si>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</si>
  <si>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</si>
  <si>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</si>
  <si>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</si>
  <si>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</si>
  <si>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</si>
  <si>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</si>
  <si>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</si>
  <si>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</si>
  <si>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</si>
  <si>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</si>
  <si>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</si>
  <si>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</si>
  <si>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</si>
  <si>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</si>
  <si>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</si>
  <si>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</si>
  <si>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</si>
  <si>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</si>
  <si>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</si>
  <si>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</si>
  <si>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</si>
  <si>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</si>
  <si>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</si>
  <si>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</si>
  <si>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</si>
  <si>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</si>
  <si>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</si>
  <si>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</si>
  <si>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</si>
  <si>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</si>
  <si>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</si>
  <si>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</si>
  <si>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</si>
  <si>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</si>
  <si>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</si>
  <si>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</si>
  <si>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</si>
  <si>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</si>
  <si>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</si>
  <si>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</si>
  <si>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</si>
  <si>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</si>
  <si>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</si>
  <si>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</si>
  <si>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</si>
  <si>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</si>
  <si>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</si>
  <si>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</si>
  <si>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</si>
  <si>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</si>
  <si>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</si>
  <si>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</si>
  <si>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</si>
  <si>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</si>
  <si>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</si>
  <si>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</si>
  <si>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</si>
  <si>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</si>
  <si>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</si>
  <si>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</si>
  <si>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</si>
  <si>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</si>
  <si>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</si>
  <si>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</si>
  <si>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</si>
  <si>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</si>
  <si>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</si>
  <si>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</si>
  <si>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</si>
  <si>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</si>
  <si>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</si>
  <si>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</si>
  <si>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</si>
  <si>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</si>
  <si>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</si>
  <si>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</si>
  <si>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</si>
  <si>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</si>
  <si>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</si>
  <si>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</si>
  <si>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</si>
  <si>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</si>
  <si>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</si>
  <si>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</si>
  <si>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</si>
  <si>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</si>
  <si>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</si>
  <si>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</si>
  <si>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</si>
  <si>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</si>
  <si>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</si>
  <si>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</si>
  <si>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</si>
  <si>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</si>
  <si>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</si>
  <si>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</si>
  <si>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</si>
  <si>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</si>
  <si>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</si>
  <si>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</si>
  <si>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</si>
  <si>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</si>
  <si>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</si>
  <si>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</si>
  <si>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</si>
  <si>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</si>
  <si>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</si>
  <si>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</si>
  <si>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</si>
  <si>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</si>
  <si>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</si>
  <si>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</si>
  <si>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</si>
  <si>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</si>
  <si>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</si>
  <si>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</si>
  <si>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</si>
  <si>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</si>
  <si>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</si>
  <si>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</si>
  <si>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</si>
  <si>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</si>
  <si>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</si>
  <si>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</si>
  <si>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</si>
  <si>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</si>
  <si>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</si>
  <si>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</si>
  <si>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</si>
  <si>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</si>
  <si>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</si>
  <si>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</si>
  <si>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</si>
  <si>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</si>
  <si>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</si>
  <si>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</si>
  <si>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</si>
  <si>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</si>
  <si>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</si>
  <si>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</si>
  <si>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</si>
  <si>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</si>
  <si>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</si>
  <si>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</si>
  <si>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GIACOMO CAMPANELLA</t>
  </si>
  <si>
    <t>EDOARDO GAUDENZI</t>
  </si>
  <si>
    <t>GABRIELE PAGLIARA</t>
  </si>
  <si>
    <t>ROBERTO PANTANI</t>
  </si>
  <si>
    <t>FEDERICA MARANTA</t>
  </si>
  <si>
    <t>FEDERICO GRAZI</t>
  </si>
  <si>
    <t>C:\Users\pablo.campoy\EUROLEAGUE\EB STATS - General\SEASON 2025-26\Reports\Euroleague</t>
  </si>
  <si>
    <t>00:54</t>
  </si>
  <si>
    <t>08:20</t>
  </si>
  <si>
    <t>04:14</t>
  </si>
  <si>
    <t>08:23</t>
  </si>
  <si>
    <t>07:17</t>
  </si>
  <si>
    <t>07:12</t>
  </si>
  <si>
    <t>05:13</t>
  </si>
  <si>
    <t>La integración IN es va perdre durant uns minuts</t>
  </si>
  <si>
    <t>Need to be more attentive in substitutions. The rest of the game was really great. Great work in turnovers/steals and fouls drawn.</t>
  </si>
  <si>
    <t>PABLO CAMPOY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</si>
</sst>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04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04_040_VIR_MCO_E2025</v>
      </c>
      <c r="G1" s="5"/>
      <c r="H1" s="5"/>
      <c r="I1" s="5"/>
      <c r="J1" s="8" t="s">
        <v>707</v>
      </c>
      <c r="K1" s="121" t="s">
        <v>755</v>
      </c>
      <c r="L1" s="121"/>
      <c r="M1" s="122" t="s">
        <v>239</v>
      </c>
      <c r="N1" s="121" t="s">
        <v>755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40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77">
        <f ca="1">IF(ISERROR(VLOOKUP($B$2&amp;TEXT($C$2,"000"),GAMES!$A$3:$I$562,8,FALSE)),NOW(),VLOOKUP($B$2&amp;TEXT($C$2,"000"),GAMES!$A$3:$I$562,8,FALSE))</f>
        <v>45945.854166666664</v>
      </c>
      <c r="C3" s="178"/>
      <c r="D3" s="39">
        <v>591</v>
      </c>
      <c r="E3" s="29"/>
      <c r="F3" s="26">
        <f>SUBTOTAL(3,I17:I106)</f>
        <v>8</v>
      </c>
      <c r="G3" s="27">
        <f>IF(OR(D3="",D3=0),"",F3/D3)</f>
        <v>1.3536379018612521E-2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Virtus Bologna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742</v>
      </c>
      <c r="L4" s="5"/>
      <c r="M4" s="185" t="s">
        <v>764</v>
      </c>
      <c r="N4" s="186"/>
      <c r="O4" s="2"/>
      <c r="P4" s="2"/>
      <c r="Q4" s="84" t="s">
        <v>175</v>
      </c>
      <c r="R4" s="94">
        <f>(IF(G3="",0,G3))</f>
        <v>1.3536379018612521E-2</v>
      </c>
      <c r="S4" s="61">
        <f>SUM(I13:M13)</f>
        <v>1</v>
      </c>
      <c r="T4" s="78"/>
      <c r="U4" s="61">
        <f>AC18</f>
        <v>3</v>
      </c>
      <c r="V4" s="61">
        <f>+AC22</f>
        <v>2</v>
      </c>
      <c r="W4" s="61">
        <f>AC24</f>
        <v>1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71" t="s">
        <v>87</v>
      </c>
      <c r="C5" s="184"/>
      <c r="D5" s="191" t="str">
        <f>IF(ISERROR(VLOOKUP(H5,Teams!$B$2:$C$44,2,FALSE)),"Visitor Team",VLOOKUP(H5,Teams!$B$2:$C$44,2,FALSE))</f>
        <v>AS Monaco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1.3536379018612521</v>
      </c>
      <c r="S5" s="70">
        <f t="shared" ref="S5" si="0">S4*S3</f>
        <v>1</v>
      </c>
      <c r="T5" s="92"/>
      <c r="U5" s="70">
        <f t="shared" ref="U5:AG5" si="1">U4*U3</f>
        <v>1.5</v>
      </c>
      <c r="V5" s="70">
        <f t="shared" si="1"/>
        <v>2</v>
      </c>
      <c r="W5" s="70">
        <f t="shared" si="1"/>
        <v>1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7" t="s">
        <v>95</v>
      </c>
      <c r="C6" s="168"/>
      <c r="D6" s="158" t="s">
        <v>749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69" t="s">
        <v>96</v>
      </c>
      <c r="C7" s="170"/>
      <c r="D7" s="158" t="s">
        <v>750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11.853637901861251</v>
      </c>
      <c r="N7" s="58"/>
      <c r="O7" s="2"/>
      <c r="P7" s="2"/>
      <c r="Q7" s="86">
        <f>SUM(R5,S5,AC16)</f>
        <v>11.853637901861251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71" t="s">
        <v>97</v>
      </c>
      <c r="C8" s="172"/>
      <c r="D8" s="161" t="s">
        <v>751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11.853637901861251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7" t="s">
        <v>98</v>
      </c>
      <c r="C9" s="173"/>
      <c r="D9" s="158" t="s">
        <v>752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71" t="s">
        <v>99</v>
      </c>
      <c r="C10" s="172"/>
      <c r="D10" s="161" t="s">
        <v>753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56" t="s">
        <v>108</v>
      </c>
      <c r="C11" s="157"/>
      <c r="D11" s="174" t="s">
        <v>754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40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 t="s">
        <v>15</v>
      </c>
      <c r="N12" s="59" t="s">
        <v>763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56" t="s">
        <v>162</v>
      </c>
      <c r="C14" s="157"/>
      <c r="D14" s="164" t="s">
        <v>765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8</v>
      </c>
      <c r="Z16" s="90" t="s">
        <v>110</v>
      </c>
      <c r="AA16" s="75">
        <f>SUM(AA17:AA24)</f>
        <v>8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9.5</v>
      </c>
      <c r="AD16" s="75">
        <f>SUM(AD17:AD24)</f>
        <v>45</v>
      </c>
      <c r="AE16" s="76" t="s">
        <v>42</v>
      </c>
      <c r="AF16" s="75">
        <f>SUM(AF17:AF24)</f>
        <v>6</v>
      </c>
      <c r="AG16" s="75">
        <f>SUM(AG17:AG21)</f>
        <v>8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40</v>
      </c>
      <c r="D17" s="32" t="s">
        <v>756</v>
      </c>
      <c r="E17" s="33">
        <v>1</v>
      </c>
      <c r="F17" s="36">
        <v>19</v>
      </c>
      <c r="G17" s="36">
        <v>17</v>
      </c>
      <c r="H17" s="38" t="str">
        <f>IF(I17="","",$I$14)</f>
        <v>SCOUTING</v>
      </c>
      <c r="I17" s="34">
        <v>113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8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40</v>
      </c>
      <c r="D18" s="32" t="s">
        <v>757</v>
      </c>
      <c r="E18" s="33">
        <v>2</v>
      </c>
      <c r="F18" s="36">
        <v>22</v>
      </c>
      <c r="G18" s="36">
        <v>21</v>
      </c>
      <c r="H18" s="38" t="str">
        <f t="shared" ref="H18:H81" si="8">IF(I18="","",$I$14)</f>
        <v>SCOUTING</v>
      </c>
      <c r="I18" s="34">
        <v>150</v>
      </c>
      <c r="J18" s="13" t="s">
        <v>4</v>
      </c>
      <c r="K18" s="13" t="s">
        <v>62</v>
      </c>
      <c r="L18" s="13" t="s">
        <v>7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2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40</v>
      </c>
      <c r="D19" s="32" t="s">
        <v>758</v>
      </c>
      <c r="E19" s="33">
        <v>3</v>
      </c>
      <c r="F19" s="36">
        <v>46</v>
      </c>
      <c r="G19" s="36">
        <v>46</v>
      </c>
      <c r="H19" s="38" t="str">
        <f t="shared" si="8"/>
        <v>SCOUTING</v>
      </c>
      <c r="I19" s="34">
        <v>366</v>
      </c>
      <c r="J19" s="13" t="s">
        <v>4</v>
      </c>
      <c r="K19" s="13" t="s">
        <v>63</v>
      </c>
      <c r="L19" s="13" t="s">
        <v>6</v>
      </c>
      <c r="M19" s="13" t="s">
        <v>12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40</v>
      </c>
      <c r="D20" s="32" t="s">
        <v>758</v>
      </c>
      <c r="E20" s="33">
        <v>3</v>
      </c>
      <c r="F20" s="36">
        <v>46</v>
      </c>
      <c r="G20" s="36">
        <v>46</v>
      </c>
      <c r="H20" s="38" t="str">
        <f t="shared" si="8"/>
        <v>SCOUTING</v>
      </c>
      <c r="I20" s="34">
        <v>367</v>
      </c>
      <c r="J20" s="13" t="s">
        <v>4</v>
      </c>
      <c r="K20" s="13" t="s">
        <v>63</v>
      </c>
      <c r="L20" s="13" t="s">
        <v>6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E2025</v>
      </c>
      <c r="C21" s="31">
        <f t="shared" si="3"/>
        <v>40</v>
      </c>
      <c r="D21" s="32" t="s">
        <v>759</v>
      </c>
      <c r="E21" s="33">
        <v>3</v>
      </c>
      <c r="F21" s="36">
        <v>40</v>
      </c>
      <c r="G21" s="36">
        <v>36</v>
      </c>
      <c r="H21" s="38" t="str">
        <f t="shared" si="8"/>
        <v>SCOUTING</v>
      </c>
      <c r="I21" s="34">
        <v>306</v>
      </c>
      <c r="J21" s="13" t="s">
        <v>4</v>
      </c>
      <c r="K21" s="13" t="s">
        <v>63</v>
      </c>
      <c r="L21" s="13" t="s">
        <v>47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E2025</v>
      </c>
      <c r="C22" s="31">
        <f t="shared" si="3"/>
        <v>40</v>
      </c>
      <c r="D22" s="32" t="s">
        <v>760</v>
      </c>
      <c r="E22" s="33">
        <v>4</v>
      </c>
      <c r="F22" s="36">
        <v>61</v>
      </c>
      <c r="G22" s="36">
        <v>53</v>
      </c>
      <c r="H22" s="38" t="str">
        <f t="shared" si="8"/>
        <v>SCOUTING</v>
      </c>
      <c r="I22" s="34">
        <v>459</v>
      </c>
      <c r="J22" s="13" t="s">
        <v>4</v>
      </c>
      <c r="K22" s="13" t="s">
        <v>63</v>
      </c>
      <c r="L22" s="13" t="s">
        <v>5</v>
      </c>
      <c r="M22" s="13" t="s">
        <v>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>E2025</v>
      </c>
      <c r="C23" s="31">
        <f t="shared" si="3"/>
        <v>40</v>
      </c>
      <c r="D23" s="32" t="s">
        <v>761</v>
      </c>
      <c r="E23" s="33">
        <v>4</v>
      </c>
      <c r="F23" s="36">
        <v>62</v>
      </c>
      <c r="G23" s="36">
        <v>53</v>
      </c>
      <c r="H23" s="38" t="str">
        <f t="shared" si="8"/>
        <v>SCOUTING</v>
      </c>
      <c r="I23" s="34">
        <v>467</v>
      </c>
      <c r="J23" s="13" t="s">
        <v>4</v>
      </c>
      <c r="K23" s="13" t="s">
        <v>62</v>
      </c>
      <c r="L23" s="13" t="s">
        <v>7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>E2025</v>
      </c>
      <c r="C24" s="31">
        <f t="shared" si="3"/>
        <v>40</v>
      </c>
      <c r="D24" s="32" t="s">
        <v>762</v>
      </c>
      <c r="E24" s="33">
        <v>4</v>
      </c>
      <c r="F24" s="36">
        <v>70</v>
      </c>
      <c r="G24" s="36">
        <v>59</v>
      </c>
      <c r="H24" s="38" t="str">
        <f t="shared" si="8"/>
        <v>SCOUTING</v>
      </c>
      <c r="I24" s="34">
        <v>486</v>
      </c>
      <c r="J24" s="13" t="s">
        <v>4</v>
      </c>
      <c r="K24" s="13" t="s">
        <v>62</v>
      </c>
      <c r="L24" s="13" t="s">
        <v>5</v>
      </c>
      <c r="M24" s="13" t="s">
        <v>10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.2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REPORT_E2025040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"E2025040"</v>
      </c>
      <c r="F3" s="45" t="str">
        <f t="shared" ref="F3:F16" si="0">""""&amp;B3&amp;"""" &amp; " : " &amp;C3&amp;","</f>
        <v>"name" : "E2025040",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"E040"</v>
      </c>
      <c r="F4" s="45" t="str">
        <f t="shared" si="0"/>
        <v>"cod" : "E040",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040</v>
      </c>
      <c r="F6" s="45" t="str">
        <f t="shared" si="0"/>
        <v>"number" : 040,</v>
      </c>
    </row>
    <row r="7" spans="2:6" x14ac:dyDescent="0.25">
      <c r="B7" s="43" t="s">
        <v>116</v>
      </c>
      <c r="C7" s="43" t="str">
        <f ca="1">""""&amp;TEXT('SCOUT &amp; LOGISTICS'!B3,"dd/mm/aaaa")&amp;""""</f>
        <v>"15/10/2025"</v>
      </c>
      <c r="F7" s="45" t="str">
        <f t="shared" ca="1" si="0"/>
        <v>"date" : "15/10/2025",</v>
      </c>
    </row>
    <row r="8" spans="2:6" x14ac:dyDescent="0.25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5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"GIACOMO CAMPANELLA"</v>
      </c>
      <c r="F10" s="45" t="str">
        <f t="shared" si="0"/>
        <v>"Data_entry" : "GIACOMO CAMPANELLA",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"EDOARDO GAUDENZI"</v>
      </c>
      <c r="F11" s="45" t="str">
        <f t="shared" si="0"/>
        <v>"Caller_1" : "EDOARDO GAUDENZI",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"GABRIELE PAGLIARA"</v>
      </c>
      <c r="F12" s="45" t="str">
        <f t="shared" si="0"/>
        <v>"Caller_2" : "GABRIELE PAGLIARA",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"ROBERTO PANTANI"</v>
      </c>
      <c r="F13" s="45" t="str">
        <f t="shared" si="0"/>
        <v>"Timerkeeper" : "ROBERTO PANTANI",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"FEDERICA MARANTA"</v>
      </c>
      <c r="F14" s="45" t="str">
        <f t="shared" si="0"/>
        <v>"Shotclock" : "FEDERICA MARANTA",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"FEDERICO GRAZI"</v>
      </c>
      <c r="F15" s="45" t="str">
        <f t="shared" si="0"/>
        <v>"IRS" : "FEDERICO GRAZI",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"PABLO CAMPOY"</v>
      </c>
      <c r="F16" s="45" t="str">
        <f t="shared" si="0"/>
        <v>"Live_Game_Manager" : "PABLO CAMPOY",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591</v>
      </c>
      <c r="F25" s="45" t="str">
        <f t="shared" ref="F25:F48" si="1">""""&amp;C25&amp;"""" &amp; " : " &amp;D25&amp;","</f>
        <v>"total_actions" : 591,</v>
      </c>
    </row>
    <row r="26" spans="2:6" x14ac:dyDescent="0.25">
      <c r="C26" s="43" t="s">
        <v>132</v>
      </c>
      <c r="D26" s="43">
        <f>'SCOUT &amp; LOGISTICS'!F3</f>
        <v>8</v>
      </c>
      <c r="F26" s="45" t="str">
        <f t="shared" si="1"/>
        <v>"total_correcions" : 8,</v>
      </c>
    </row>
    <row r="27" spans="2:6" x14ac:dyDescent="0.25">
      <c r="C27" s="43" t="s">
        <v>133</v>
      </c>
      <c r="D27" s="43" t="str">
        <f>""""&amp;IF(OR(D25="",D25=0),"",TEXT(D26/D25,"0,0%"))&amp;""""</f>
        <v>"1,4%"</v>
      </c>
      <c r="F27" s="45" t="str">
        <f t="shared" si="1"/>
        <v>"%_corrections" : "1,4%",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8</v>
      </c>
      <c r="F37" s="45" t="str">
        <f t="shared" si="1"/>
        <v>"scoresheet_corrections" : 8,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"Need to be more attentive in substitutions. The rest of the game was really great. Great work in turnovers/steals and fouls drawn."</v>
      </c>
      <c r="F51" s="45" t="str">
        <f>""""&amp;B51&amp;"""" &amp; " : " &amp;C51&amp;","</f>
        <v>"comments" : "Need to be more attentive in substitutions. The rest of the game was really great. Great work in turnovers/steals and fouls drawn.",</v>
      </c>
    </row>
    <row r="52" spans="2:6" x14ac:dyDescent="0.25">
      <c r="B52" s="43" t="s">
        <v>153</v>
      </c>
      <c r="C52" s="43" t="str">
        <f>TEXT('SCOUT &amp; LOGISTICS'!F1,"0,0")</f>
        <v>04_040_VIR_MCO_E2025</v>
      </c>
      <c r="F52" s="45" t="str">
        <f>""""&amp;B52&amp;"""" &amp; " : " &amp;C52</f>
        <v>"result" : 04_040_VIR_MCO_E2025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2" zeroHeight="1" x14ac:dyDescent="0.4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4"/>
    <row r="2" spans="1:33" ht="42.6" customHeight="1" thickBot="1" x14ac:dyDescent="0.4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5">
      <c r="A3" s="48"/>
      <c r="B3" s="202" t="str">
        <f>"GAME: "&amp; LEFT('SCOUT &amp; LOGISTICS'!B2,1) &amp; TEXT('SCOUT &amp; LOGISTICS'!C2,"000") &amp; " " &amp; IF(LEFT('SCOUT &amp; LOGISTICS'!B2,1)="U","(EUROCUP)","(EUROLEAGUE)")</f>
        <v>GAME: E040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5">
      <c r="A4" s="48"/>
      <c r="B4" s="200" t="str">
        <f ca="1">"DATE: " &amp; TEXT('SCOUT &amp; LOGISTICS'!B3,"dd/mm")</f>
        <v>DATE: 15/10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5">
      <c r="A6" s="48"/>
      <c r="B6" s="197" t="str">
        <f>PROPER('SCOUT &amp; LOGISTICS'!D4)</f>
        <v>Virtus Bologna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As Monaco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5">
      <c r="A8" s="48"/>
      <c r="B8" s="201" t="str">
        <f>IF('SCOUT &amp; LOGISTICS'!D6="","",'SCOUT &amp; LOGISTICS'!D6)</f>
        <v>GIACOMO CAMPANELLA</v>
      </c>
      <c r="C8" s="201"/>
      <c r="D8" s="201"/>
      <c r="E8" s="201"/>
      <c r="F8" s="201"/>
      <c r="G8" s="201" t="str">
        <f>IF('SCOUT &amp; LOGISTICS'!D7="","",'SCOUT &amp; LOGISTICS'!D7)</f>
        <v>EDOARDO GAUDENZI</v>
      </c>
      <c r="H8" s="201"/>
      <c r="I8" s="201"/>
      <c r="J8" s="201"/>
      <c r="K8" s="201"/>
      <c r="L8" s="201" t="str">
        <f>IF('SCOUT &amp; LOGISTICS'!D8="","",'SCOUT &amp; LOGISTICS'!D8)</f>
        <v>GABRIELE PAGLIARA</v>
      </c>
      <c r="M8" s="201"/>
      <c r="N8" s="201"/>
      <c r="O8" s="201"/>
      <c r="P8" s="201"/>
      <c r="Q8" s="201" t="str">
        <f>IF('SCOUT &amp; LOGISTICS'!D9="","",'SCOUT &amp; LOGISTICS'!D9)</f>
        <v>ROBERTO PANTANI</v>
      </c>
      <c r="R8" s="201"/>
      <c r="S8" s="201"/>
      <c r="T8" s="201"/>
      <c r="U8" s="201"/>
      <c r="V8" s="201" t="str">
        <f>IF('SCOUT &amp; LOGISTICS'!D10="","",'SCOUT &amp; LOGISTICS'!D10)</f>
        <v>FEDERICA MARANTA</v>
      </c>
      <c r="W8" s="201"/>
      <c r="X8" s="201"/>
      <c r="Y8" s="201"/>
      <c r="Z8" s="201"/>
      <c r="AA8" s="201" t="str">
        <f>IF('SCOUT &amp; LOGISTICS'!D11="","",'SCOUT &amp; LOGISTICS'!D11)</f>
        <v>FEDERICO GRAZI</v>
      </c>
      <c r="AB8" s="201"/>
      <c r="AC8" s="201"/>
      <c r="AD8" s="201"/>
      <c r="AE8" s="201"/>
      <c r="AF8" s="48"/>
    </row>
    <row r="9" spans="1:33" ht="16.8" thickBot="1" x14ac:dyDescent="0.45">
      <c r="A9" s="48"/>
      <c r="B9" s="209" t="str">
        <f>IF(OR('SCOUT &amp; LOGISTICS'!D14="",'SCOUT &amp; LOGISTICS'!D14=0),"",'SCOUT &amp; LOGISTICS'!B14 &amp; ": " &amp; 'SCOUT &amp; LOGISTICS'!D14) &amp; "     "</f>
        <v xml:space="preserve">L G M: : PABLO CAMPOY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.8" thickBot="1" x14ac:dyDescent="0.4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OK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.8" thickBot="1" x14ac:dyDescent="0.4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5">
      <c r="A17" s="48"/>
      <c r="B17" s="203">
        <f>'SCOUT &amp; LOGISTICS'!D3</f>
        <v>591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8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1.3536379018612521E-2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.8" thickBot="1" x14ac:dyDescent="0.4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5">
      <c r="A20" s="48"/>
      <c r="B20" s="199">
        <f>IF('SCOUT &amp; LOGISTICS'!AA17="","",'SCOUT &amp; LOGISTICS'!AA17)</f>
        <v>4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4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5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3</v>
      </c>
      <c r="O22" s="199"/>
      <c r="P22" s="199"/>
      <c r="Q22" s="199"/>
      <c r="R22" s="199"/>
      <c r="S22" s="199"/>
      <c r="T22" s="199">
        <f>'SCOUT &amp; LOGISTICS'!AG20</f>
        <v>3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.8" thickBot="1" x14ac:dyDescent="0.4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5">
      <c r="A25" s="48"/>
      <c r="B25" s="199">
        <f>'SCOUT &amp; LOGISTICS'!Y17</f>
        <v>8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5">
      <c r="A27" s="48"/>
      <c r="B27" s="199">
        <f>'SCOUT &amp; LOGISTICS'!AC18</f>
        <v>3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2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1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.8" thickBot="1" x14ac:dyDescent="0.4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5">
      <c r="A32" s="48"/>
      <c r="B32" s="211" t="str">
        <f>IF('SCOUT &amp; LOGISTICS'!M4="","",'SCOUT &amp; LOGISTICS'!M4)</f>
        <v>Need to be more attentive in substitutions. The rest of the game was really great. Great work in turnovers/steals and fouls drawn.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5">
      <c r="A35" s="48"/>
      <c r="B35" s="212">
        <f>'SCOUT &amp; LOGISTICS'!M7</f>
        <v>11.853637901861251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4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CCB081D-074F-4B70-BC4F-AAB3192488E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Pablo Campoy</cp:lastModifiedBy>
  <cp:lastPrinted>2025-10-15T20:49:19Z</cp:lastPrinted>
  <dcterms:created xsi:type="dcterms:W3CDTF">2023-09-19T19:50:35Z</dcterms:created>
  <dcterms:modified xsi:type="dcterms:W3CDTF">2025-10-15T20:50:39Z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