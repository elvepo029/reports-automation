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1" documentId="8_{B94299B9-AD96-44EF-BAC8-93EB6F941FD9}" xr6:coauthVersionLast="47" xr6:coauthVersionMax="47" xr10:uidLastSave="{3AE1058A-63B5-4235-B36B-4D8DB8F51E97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<sst xmlns="http://schemas.openxmlformats.org/spreadsheetml/2006/main" count="3285" uniqueCount="766">
  <si>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</si>
  <si>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</si>
  <si>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</si>
  <si>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</si>
  <si>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</si>
  <si>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</si>
  <si>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</si>
  <si>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</si>
  <si>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</si>
  <si>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</si>
  <si>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</si>
  <si>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</si>
  <si>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</si>
  <si>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</si>
  <si>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</si>
  <si>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</si>
  <si>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</si>
  <si>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</si>
  <si>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</si>
  <si>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</si>
  <si>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</si>
  <si>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</si>
  <si>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</si>
  <si>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</si>
  <si>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</si>
  <si>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</si>
  <si>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</si>
  <si>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</si>
  <si>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</si>
  <si>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</si>
  <si>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</si>
  <si>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</si>
  <si>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</si>
  <si>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</si>
  <si>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</si>
  <si>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</si>
  <si>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</si>
  <si>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</si>
  <si>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</si>
  <si>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</si>
  <si>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</si>
  <si>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</si>
  <si>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</si>
  <si>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</si>
  <si>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</si>
  <si>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</si>
  <si>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</si>
  <si>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</si>
  <si>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</si>
  <si>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</si>
  <si>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</si>
  <si>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</si>
  <si>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</si>
  <si>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</si>
  <si>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</si>
  <si>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</si>
  <si>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</si>
  <si>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</si>
  <si>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</si>
  <si>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</si>
  <si>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</si>
  <si>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</si>
  <si>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</si>
  <si>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</si>
  <si>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</si>
  <si>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</si>
  <si>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</si>
  <si>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</si>
  <si>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</si>
  <si>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</si>
  <si>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</si>
  <si>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</si>
  <si>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</si>
  <si>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</si>
  <si>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</si>
  <si>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</si>
  <si>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</si>
  <si>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</si>
  <si>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</si>
  <si>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</si>
  <si>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</si>
  <si>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</si>
  <si>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</si>
  <si>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</si>
  <si>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</si>
  <si>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</si>
  <si>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</si>
  <si>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</si>
  <si>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</si>
  <si>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</si>
  <si>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</si>
  <si>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</si>
  <si>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</si>
  <si>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</si>
  <si>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</si>
  <si>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</si>
  <si>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</si>
  <si>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</si>
  <si>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</si>
  <si>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</si>
  <si>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</si>
  <si>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</si>
  <si>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</si>
  <si>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</si>
  <si>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</si>
  <si>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</si>
  <si>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</si>
  <si>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</si>
  <si>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</si>
  <si>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</si>
  <si>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</si>
  <si>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</si>
  <si>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</si>
  <si>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</si>
  <si>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</si>
  <si>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</si>
  <si>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</si>
  <si>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</si>
  <si>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</si>
  <si>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</si>
  <si>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</si>
  <si>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</si>
  <si>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</si>
  <si>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</si>
  <si>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</si>
  <si>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</si>
  <si>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</si>
  <si>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</si>
  <si>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</si>
  <si>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</si>
  <si>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</si>
  <si>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</si>
  <si>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</si>
  <si>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</si>
  <si>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</si>
  <si>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</si>
  <si>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</si>
  <si>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</si>
  <si>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</si>
  <si>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</si>
  <si>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</si>
  <si>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</si>
  <si>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</si>
  <si>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</si>
  <si>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</si>
  <si>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</si>
  <si>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</si>
  <si>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</si>
  <si>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</si>
  <si>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</si>
  <si>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</si>
  <si>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</si>
  <si>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</si>
  <si>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</si>
  <si>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</si>
  <si>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</si>
  <si>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</si>
  <si>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</si>
  <si>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</si>
  <si>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</si>
  <si>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</si>
  <si>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</si>
  <si>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</si>
  <si>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</si>
  <si>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</si>
  <si>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</si>
  <si>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</si>
  <si>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</si>
  <si>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</si>
  <si>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</si>
  <si>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</si>
  <si>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</si>
  <si>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</si>
  <si>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</si>
  <si>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</si>
  <si>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</si>
  <si>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</si>
  <si>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</si>
  <si>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</si>
  <si>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</si>
  <si>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</si>
  <si>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</si>
  <si>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</si>
  <si>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</si>
  <si>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</si>
  <si>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</si>
  <si>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</si>
  <si>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</si>
  <si>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</si>
  <si>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</si>
  <si>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</si>
  <si>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</si>
  <si>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</si>
  <si>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</si>
  <si>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</si>
  <si>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</si>
  <si>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</si>
  <si>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</si>
  <si>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</si>
  <si>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</si>
  <si>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</si>
  <si>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</si>
  <si>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</si>
  <si>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</si>
  <si>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</si>
  <si>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</si>
  <si>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</si>
  <si>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</si>
  <si>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</si>
  <si>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</si>
  <si>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</si>
  <si>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</si>
  <si>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</si>
  <si>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</si>
  <si>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</si>
  <si>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</si>
  <si>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</si>
  <si>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</si>
  <si>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</si>
  <si>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</si>
  <si>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</si>
  <si>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</si>
  <si>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</si>
  <si>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</si>
  <si>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</si>
  <si>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</si>
  <si>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</si>
  <si>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</si>
  <si>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</si>
  <si>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</si>
  <si>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</si>
  <si>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</si>
  <si>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</si>
  <si>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</si>
  <si>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</si>
  <si>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</si>
  <si>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</si>
  <si>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</si>
  <si>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</si>
  <si>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</si>
  <si>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</si>
  <si>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</si>
  <si>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</si>
  <si>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</si>
  <si>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</si>
  <si>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</si>
  <si>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</si>
  <si>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</si>
  <si>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</si>
  <si>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</si>
  <si>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</si>
  <si>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</si>
  <si>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</si>
  <si>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</si>
  <si>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</si>
  <si>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</si>
  <si>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</si>
  <si>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</si>
  <si>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</si>
  <si>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</si>
  <si>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</si>
  <si>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</si>
  <si>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</si>
  <si>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</si>
  <si>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</si>
  <si>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</si>
  <si>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</si>
  <si>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</si>
  <si>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</si>
  <si>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</si>
  <si>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</si>
  <si>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</si>
  <si>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</si>
  <si>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</si>
  <si>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</si>
  <si>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</si>
  <si>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</si>
  <si>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</si>
  <si>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</si>
  <si>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</si>
  <si>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</si>
  <si>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</si>
  <si>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</si>
  <si>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</si>
  <si>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</si>
  <si>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</si>
  <si>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</si>
  <si>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</si>
  <si>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</si>
  <si>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</si>
  <si>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</si>
  <si>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</si>
  <si>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</si>
  <si>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</si>
  <si>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</si>
  <si>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</si>
  <si>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</si>
  <si>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</si>
  <si>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</si>
  <si>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</si>
  <si>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</si>
  <si>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</si>
  <si>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</si>
  <si>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</si>
  <si>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</si>
  <si>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</si>
  <si>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</si>
  <si>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</si>
  <si>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</si>
  <si>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</si>
  <si>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</si>
  <si>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</si>
  <si>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</si>
  <si>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</si>
  <si>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</si>
  <si>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</si>
  <si>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</si>
  <si>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</si>
  <si>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</si>
  <si>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</si>
  <si>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</si>
  <si>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</si>
  <si>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</si>
  <si>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</si>
  <si>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</si>
  <si>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</si>
  <si>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</si>
  <si>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</si>
  <si>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</si>
  <si>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</si>
  <si>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</si>
  <si>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</si>
  <si>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</si>
  <si>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</si>
  <si>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</si>
  <si>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</si>
  <si>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</si>
  <si>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</si>
  <si>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</si>
  <si>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</si>
  <si>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</si>
  <si>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</si>
  <si>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</si>
  <si>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</si>
  <si>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</si>
  <si>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</si>
  <si>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</si>
  <si>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</si>
  <si>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</si>
  <si>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</si>
  <si>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</si>
  <si>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</si>
  <si>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</si>
  <si>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</si>
  <si>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</si>
  <si>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</si>
  <si>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</si>
  <si>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</si>
  <si>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</si>
  <si>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</si>
  <si>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</si>
  <si>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</si>
  <si>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</si>
  <si>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</si>
  <si>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</si>
  <si>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</si>
  <si>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</si>
  <si>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</si>
  <si>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</si>
  <si>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</si>
  <si>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</si>
  <si>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</si>
  <si>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</si>
  <si>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</si>
  <si>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</si>
  <si>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</si>
  <si>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</si>
  <si>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</si>
  <si>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</si>
  <si>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</si>
  <si>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</si>
  <si>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</si>
  <si>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</si>
  <si>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</si>
  <si>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</si>
  <si>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</si>
  <si>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</si>
  <si>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</si>
  <si>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</si>
  <si>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</si>
  <si>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</si>
  <si>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</si>
  <si>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</si>
  <si>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</si>
  <si>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</si>
  <si>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</si>
  <si>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</si>
  <si>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</si>
  <si>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</si>
  <si>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</si>
  <si>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</si>
  <si>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</si>
  <si>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</si>
  <si>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</si>
  <si>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</si>
  <si>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</si>
  <si>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</si>
  <si>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</si>
  <si>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</si>
  <si>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</si>
  <si>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</si>
  <si>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</si>
  <si>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</si>
  <si>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</si>
  <si>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</si>
  <si>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</si>
  <si>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</si>
  <si>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</si>
  <si>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</si>
  <si>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</si>
  <si>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</si>
  <si>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</si>
  <si>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</si>
  <si>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</si>
  <si>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</si>
  <si>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</si>
  <si>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</si>
  <si>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</si>
  <si>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</si>
  <si>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</si>
  <si>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</si>
  <si>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</si>
  <si>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</si>
  <si>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</si>
  <si>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</si>
  <si>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</si>
  <si>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</si>
  <si>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</si>
  <si>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</si>
  <si>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</si>
  <si>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</si>
  <si>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</si>
  <si>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</si>
  <si>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</si>
  <si>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</si>
  <si>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</si>
  <si>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</si>
  <si>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</si>
  <si>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</si>
  <si>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</si>
  <si>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</si>
  <si>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</si>
  <si>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</si>
  <si>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</si>
  <si>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</si>
  <si>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</si>
  <si>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</si>
  <si>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</si>
  <si>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</si>
  <si>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</si>
  <si>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</si>
  <si>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</si>
  <si>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</si>
  <si>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</si>
  <si>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</si>
  <si>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</si>
  <si>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</si>
  <si>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</si>
  <si>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</si>
  <si>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</si>
  <si>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</si>
  <si>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</si>
  <si>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</si>
  <si>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</si>
  <si>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</si>
  <si>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</si>
  <si>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</si>
  <si>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</si>
  <si>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</si>
  <si>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</si>
  <si>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</si>
  <si>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</si>
  <si>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</si>
  <si>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</si>
  <si>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</si>
  <si>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</si>
  <si>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</si>
  <si>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</si>
  <si>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</si>
  <si>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</si>
  <si>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</si>
  <si>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</si>
  <si>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</si>
  <si>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</si>
  <si>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</si>
  <si>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</si>
  <si>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</si>
  <si>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</si>
  <si>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</si>
  <si>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</si>
  <si>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</si>
  <si>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</si>
  <si>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</si>
  <si>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</si>
  <si>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</si>
  <si>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</si>
  <si>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</si>
  <si>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</si>
  <si>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</si>
  <si>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</si>
  <si>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</si>
  <si>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</si>
  <si>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</si>
  <si>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</si>
  <si>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</si>
  <si>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</si>
  <si>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</si>
  <si>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</si>
  <si>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</si>
  <si>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</si>
  <si>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</si>
  <si>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</si>
  <si>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</si>
  <si>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</si>
  <si>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</si>
  <si>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</si>
  <si>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</si>
  <si>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</si>
  <si>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</si>
  <si>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</si>
  <si>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</si>
  <si>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</si>
  <si>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</si>
  <si>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</si>
  <si>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</si>
  <si>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</si>
  <si>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</si>
  <si>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</si>
  <si>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</si>
  <si>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</si>
  <si>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</si>
  <si>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</si>
  <si>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</si>
  <si>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</si>
  <si>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</si>
  <si>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</si>
  <si>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</si>
  <si>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</si>
  <si>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</si>
  <si>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</si>
  <si>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</si>
  <si>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</si>
  <si>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</si>
  <si>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</si>
  <si>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</si>
  <si>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</si>
  <si>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</si>
  <si>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</si>
  <si>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</si>
  <si>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</si>
  <si>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</si>
  <si>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</si>
  <si>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</si>
  <si>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</si>
  <si>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</si>
  <si>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</si>
  <si>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</si>
  <si>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</si>
  <si>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</si>
  <si>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</si>
  <si>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</si>
  <si>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</si>
  <si>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</si>
  <si>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</si>
  <si>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</si>
  <si>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</si>
  <si>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</si>
  <si>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</si>
  <si>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</si>
  <si>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</si>
  <si>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</si>
  <si>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</si>
  <si>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</si>
  <si>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</si>
  <si>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</si>
  <si>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</si>
  <si>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</si>
  <si>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</si>
  <si>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</si>
  <si>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</si>
  <si>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</si>
  <si>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</si>
  <si>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</si>
  <si>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</si>
  <si>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</si>
  <si>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</si>
  <si>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</si>
  <si>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</si>
  <si>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</si>
  <si>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</si>
  <si>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</si>
  <si>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</si>
  <si>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</si>
  <si>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</si>
  <si>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</si>
  <si>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</si>
  <si>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</si>
  <si>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</si>
  <si>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</si>
  <si>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</si>
  <si>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</si>
  <si>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</si>
  <si>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</si>
  <si>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</si>
  <si>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</si>
  <si>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</si>
  <si>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</si>
  <si>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</si>
  <si>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</si>
  <si>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</si>
  <si>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</si>
  <si>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</si>
  <si>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</si>
  <si>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</si>
  <si>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</si>
  <si>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</si>
  <si>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</si>
  <si>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</si>
  <si>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</si>
  <si>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</si>
  <si>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</si>
  <si>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</si>
  <si>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</si>
  <si>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</si>
  <si>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</si>
  <si>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</si>
  <si>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</si>
  <si>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</si>
  <si>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</si>
  <si>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</si>
  <si>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</si>
  <si>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</si>
  <si>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</si>
  <si>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</si>
  <si>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</si>
  <si>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</si>
  <si>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</si>
  <si>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</si>
  <si>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</si>
  <si>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</si>
  <si>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</si>
  <si>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</si>
  <si>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</si>
  <si>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</si>
  <si>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</si>
  <si>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</si>
  <si>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</si>
  <si>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</si>
  <si>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</si>
  <si>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</si>
  <si>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</si>
  <si>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</si>
  <si>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</si>
  <si>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</si>
  <si>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</si>
  <si>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</si>
  <si>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</si>
  <si>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</si>
  <si>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</si>
  <si>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</si>
  <si>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</si>
  <si>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</si>
  <si>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</si>
  <si>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</si>
  <si>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</si>
  <si>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</si>
  <si>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</si>
  <si>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</si>
  <si>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</si>
  <si>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</si>
  <si>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</si>
  <si>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</si>
  <si>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</si>
  <si>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</si>
  <si>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</si>
  <si>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</si>
  <si>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</si>
  <si>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</si>
  <si>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</si>
  <si>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</si>
  <si>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</si>
  <si>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</si>
  <si>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</si>
  <si>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</si>
  <si>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</si>
  <si>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</si>
  <si>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</si>
  <si>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</si>
  <si>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</si>
  <si>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</si>
  <si>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</si>
  <si>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</si>
  <si>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</si>
  <si>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</si>
  <si>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</si>
  <si>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</si>
  <si>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</si>
  <si>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</si>
  <si>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</si>
  <si>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</si>
  <si>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</si>
  <si>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</si>
  <si>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</si>
  <si>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</si>
  <si>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</si>
  <si>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</si>
  <si>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</si>
  <si>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</si>
  <si>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</si>
  <si>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</si>
  <si>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</si>
  <si>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</si>
  <si>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</si>
  <si>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</si>
  <si>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</si>
  <si>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</si>
  <si>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</si>
  <si>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</si>
  <si>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</si>
  <si>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</si>
  <si>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</si>
  <si>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</si>
  <si>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</si>
  <si>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</si>
  <si>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</si>
  <si>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</si>
  <si>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</si>
  <si>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</si>
  <si>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</si>
  <si>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</si>
  <si>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</si>
  <si>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</si>
  <si>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</si>
  <si>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</si>
  <si>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</si>
  <si>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</si>
  <si>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</si>
  <si>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</si>
  <si>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</si>
  <si>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</si>
  <si>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DANILO VESOVIC</t>
  </si>
  <si>
    <t>MARKO LEPOVIC</t>
  </si>
  <si>
    <t>FRANCESC SENPAU VILLANUEVA</t>
  </si>
  <si>
    <t>IVANA KRSTIC</t>
  </si>
  <si>
    <t>TEODORA DIMIC</t>
  </si>
  <si>
    <t>XAVI MATEU</t>
  </si>
  <si>
    <t>07:21</t>
  </si>
  <si>
    <t>04:47</t>
  </si>
  <si>
    <t>09:17</t>
  </si>
  <si>
    <t>04:17</t>
  </si>
  <si>
    <t>00:51</t>
  </si>
  <si>
    <t>04:09</t>
  </si>
  <si>
    <t>00:42</t>
  </si>
  <si>
    <t>00:34</t>
  </si>
  <si>
    <t>Very good job overall. Make sure to enter the correct substitutions and to add the IRS. On the other hand, for turnovers, check who is responsible — sometimes the referee calls an out on a player who had to chase the ball out because of a bad pass: the turnover belongs to the passer.</t>
  </si>
  <si>
    <t>C:\Users\xavi.mateu\OneDrive - EUROLEAGUE\Documents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</si>
</sst>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05_041_DUB_BAR_E2025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41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45946.833333333336</v>
      </c>
      <c r="C3" s="178"/>
      <c r="D3" s="39">
        <v>604</v>
      </c>
      <c r="E3" s="29"/>
      <c r="F3" s="26">
        <f>SUBTOTAL(3,I17:I106)</f>
        <v>8</v>
      </c>
      <c r="G3" s="27">
        <f>IF(OR(D3="",D3=0),"",F3/D3)</f>
        <v>1.3245033112582781E-2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764</v>
      </c>
      <c r="N4" s="186"/>
      <c r="O4" s="2"/>
      <c r="P4" s="2"/>
      <c r="Q4" s="84" t="s">
        <v>175</v>
      </c>
      <c r="R4" s="94">
        <f>(IF(G3="",0,G3))</f>
        <v>1.3245033112582781E-2</v>
      </c>
      <c r="S4" s="61">
        <f>SUM(I13:M13)</f>
        <v>1</v>
      </c>
      <c r="T4" s="78"/>
      <c r="U4" s="61">
        <f>AC18</f>
        <v>3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1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1.3245033112582782</v>
      </c>
      <c r="S5" s="70">
        <f t="shared" ref="S5" si="0">S4*S3</f>
        <v>1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10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23.32450331125828</v>
      </c>
      <c r="N7" s="58"/>
      <c r="O7" s="2"/>
      <c r="P7" s="2"/>
      <c r="Q7" s="86">
        <f>SUM(R5,S5,AC16)</f>
        <v>23.32450331125828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23.324503311258276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744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41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21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41</v>
      </c>
      <c r="D17" s="32" t="s">
        <v>756</v>
      </c>
      <c r="E17" s="33">
        <v>1</v>
      </c>
      <c r="F17" s="36">
        <v>6</v>
      </c>
      <c r="G17" s="36">
        <v>0</v>
      </c>
      <c r="H17" s="38" t="str">
        <f>IF(I17="","",$I$14)</f>
        <v>SCOUTING</v>
      </c>
      <c r="I17" s="34">
        <v>26</v>
      </c>
      <c r="J17" s="13" t="s">
        <v>4</v>
      </c>
      <c r="K17" s="13" t="s">
        <v>63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41</v>
      </c>
      <c r="D18" s="32" t="s">
        <v>757</v>
      </c>
      <c r="E18" s="33">
        <v>2</v>
      </c>
      <c r="F18" s="36">
        <v>26</v>
      </c>
      <c r="G18" s="36">
        <v>24</v>
      </c>
      <c r="H18" s="38" t="str">
        <f t="shared" ref="H18:H81" si="8">IF(I18="","",$I$14)</f>
        <v>SCOUTING</v>
      </c>
      <c r="I18" s="34">
        <v>214</v>
      </c>
      <c r="J18" s="13" t="s">
        <v>3</v>
      </c>
      <c r="K18" s="13" t="s">
        <v>63</v>
      </c>
      <c r="L18" s="13" t="s">
        <v>78</v>
      </c>
      <c r="M18" s="13" t="s">
        <v>78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2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41</v>
      </c>
      <c r="D19" s="32" t="s">
        <v>758</v>
      </c>
      <c r="E19" s="33">
        <v>3</v>
      </c>
      <c r="F19" s="36">
        <v>35</v>
      </c>
      <c r="G19" s="36">
        <v>36</v>
      </c>
      <c r="H19" s="38" t="str">
        <f t="shared" si="8"/>
        <v>SCOUTING</v>
      </c>
      <c r="I19" s="34">
        <v>293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41</v>
      </c>
      <c r="D20" s="32" t="s">
        <v>759</v>
      </c>
      <c r="E20" s="33">
        <v>3</v>
      </c>
      <c r="F20" s="36">
        <v>45</v>
      </c>
      <c r="G20" s="36">
        <v>50</v>
      </c>
      <c r="H20" s="38" t="str">
        <f t="shared" si="8"/>
        <v>SCOUTING</v>
      </c>
      <c r="I20" s="34">
        <v>379</v>
      </c>
      <c r="J20" s="13" t="s">
        <v>4</v>
      </c>
      <c r="K20" s="13" t="s">
        <v>62</v>
      </c>
      <c r="L20" s="13" t="s">
        <v>6</v>
      </c>
      <c r="M20" s="13" t="s">
        <v>26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1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41</v>
      </c>
      <c r="D21" s="32" t="s">
        <v>760</v>
      </c>
      <c r="E21" s="33">
        <v>3</v>
      </c>
      <c r="F21" s="36">
        <v>55</v>
      </c>
      <c r="G21" s="36">
        <v>56</v>
      </c>
      <c r="H21" s="38" t="str">
        <f t="shared" si="8"/>
        <v>SCOUTING</v>
      </c>
      <c r="I21" s="34">
        <v>420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41</v>
      </c>
      <c r="D22" s="32" t="s">
        <v>761</v>
      </c>
      <c r="E22" s="33">
        <v>3</v>
      </c>
      <c r="F22" s="36">
        <v>71</v>
      </c>
      <c r="G22" s="36">
        <v>63</v>
      </c>
      <c r="H22" s="38" t="str">
        <f t="shared" si="8"/>
        <v>SCOUTING</v>
      </c>
      <c r="I22" s="34">
        <v>506</v>
      </c>
      <c r="J22" s="13" t="s">
        <v>4</v>
      </c>
      <c r="K22" s="13" t="s">
        <v>62</v>
      </c>
      <c r="L22" s="13" t="s">
        <v>7</v>
      </c>
      <c r="M22" s="13" t="s">
        <v>12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41</v>
      </c>
      <c r="D23" s="32" t="s">
        <v>762</v>
      </c>
      <c r="E23" s="33">
        <v>4</v>
      </c>
      <c r="F23" s="36">
        <v>80</v>
      </c>
      <c r="G23" s="36">
        <v>72</v>
      </c>
      <c r="H23" s="38" t="str">
        <f t="shared" si="8"/>
        <v>SCOUTING</v>
      </c>
      <c r="I23" s="34">
        <v>573</v>
      </c>
      <c r="J23" s="13" t="s">
        <v>4</v>
      </c>
      <c r="K23" s="13" t="s">
        <v>63</v>
      </c>
      <c r="L23" s="13" t="s">
        <v>5</v>
      </c>
      <c r="M23" s="13" t="s">
        <v>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41</v>
      </c>
      <c r="D24" s="32" t="s">
        <v>763</v>
      </c>
      <c r="E24" s="33">
        <v>4</v>
      </c>
      <c r="F24" s="36">
        <v>82</v>
      </c>
      <c r="G24" s="36">
        <v>72</v>
      </c>
      <c r="H24" s="38" t="str">
        <f t="shared" si="8"/>
        <v>SCOUTING</v>
      </c>
      <c r="I24" s="34">
        <v>579</v>
      </c>
      <c r="J24" s="13" t="s">
        <v>3</v>
      </c>
      <c r="K24" s="13" t="s">
        <v>61</v>
      </c>
      <c r="L24" s="13" t="s">
        <v>24</v>
      </c>
      <c r="M24" s="13" t="s">
        <v>24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1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REPORT_E2025041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"E2025041"</v>
      </c>
      <c r="F3" s="45" t="str">
        <f t="shared" ref="F3:F16" si="0">""""&amp;B3&amp;"""" &amp; " : " &amp;C3&amp;","</f>
        <v>"name" : "E2025041",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"E041"</v>
      </c>
      <c r="F4" s="45" t="str">
        <f t="shared" si="0"/>
        <v>"cod" : "E041",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041</v>
      </c>
      <c r="F6" s="45" t="str">
        <f t="shared" si="0"/>
        <v>"number" : 041,</v>
      </c>
    </row>
    <row r="7" spans="2:6" x14ac:dyDescent="0.25">
      <c r="B7" s="43" t="s">
        <v>116</v>
      </c>
      <c r="C7" s="43" t="str">
        <f ca="1">""""&amp;TEXT('SCOUT &amp; LOGISTICS'!B3,"dd/mm/aaaa")&amp;""""</f>
        <v>"16/10/Thursday"</v>
      </c>
      <c r="F7" s="45" t="str">
        <f t="shared" ca="1" si="0"/>
        <v>"date" : "16/10/Thursday",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 VILLANUEVA"</v>
      </c>
      <c r="F12" s="45" t="str">
        <f t="shared" si="0"/>
        <v>"Caller_2" : "FRANCESC SENPAU 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"IVANA KRSTIC"</v>
      </c>
      <c r="F13" s="45" t="str">
        <f t="shared" si="0"/>
        <v>"Timerkeeper" : "IVANA KRSTIC",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"TEODORA DIMIC"</v>
      </c>
      <c r="F14" s="45" t="str">
        <f t="shared" si="0"/>
        <v>"Shotclock" : "TEODORA DIMIC",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2</v>
      </c>
      <c r="F36" s="45" t="str">
        <f t="shared" si="1"/>
        <v>"boxscore_corrections" : 2,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1</v>
      </c>
      <c r="F44" s="45" t="str">
        <f t="shared" si="1"/>
        <v>"not_happened" : 1,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overall. Make sure to enter the correct substitutions and to add the IRS. On the other hand, for turnovers, check who is responsible — sometimes the referee calls an out on a player who had to chase the ball out because of a bad pass: the turnover belongs to the passer."</v>
      </c>
      <c r="F51" s="45" t="str">
        <f>""""&amp;B51&amp;"""" &amp; " : " &amp;C51&amp;","</f>
        <v>"comments" : "Very good job overall. Make sure to enter the correct substitutions and to add the IRS. On the other hand, for turnovers, check who is responsible — sometimes the referee calls an out on a player who had to chase the ball out because of a bad pass: the turnover belongs to the passer.",</v>
      </c>
    </row>
    <row r="52" spans="2:6" x14ac:dyDescent="0.25">
      <c r="B52" s="43" t="s">
        <v>153</v>
      </c>
      <c r="C52" s="43" t="str">
        <f>TEXT('SCOUT &amp; LOGISTICS'!F1,"0,0")</f>
        <v>05_041_DUB_BAR_E2025</v>
      </c>
      <c r="F52" s="45" t="str">
        <f>""""&amp;B52&amp;"""" &amp; " : " &amp;C52</f>
        <v>"result" : 05_041_DUB_BAR_E2025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E041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16/10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DANILO VESOVIC</v>
      </c>
      <c r="C8" s="201"/>
      <c r="D8" s="201"/>
      <c r="E8" s="201"/>
      <c r="F8" s="201"/>
      <c r="G8" s="201" t="str">
        <f>IF('SCOUT &amp; LOGISTICS'!D7="","",'SCOUT &amp; LOGISTICS'!D7)</f>
        <v>MARKO LEPOVIC</v>
      </c>
      <c r="H8" s="201"/>
      <c r="I8" s="201"/>
      <c r="J8" s="201"/>
      <c r="K8" s="201"/>
      <c r="L8" s="201" t="str">
        <f>IF('SCOUT &amp; LOGISTICS'!D8="","",'SCOUT &amp; LOGISTICS'!D8)</f>
        <v>FRANCESC SENPAU VILLANUEVA</v>
      </c>
      <c r="M8" s="201"/>
      <c r="N8" s="201"/>
      <c r="O8" s="201"/>
      <c r="P8" s="201"/>
      <c r="Q8" s="201" t="str">
        <f>IF('SCOUT &amp; LOGISTICS'!D9="","",'SCOUT &amp; LOGISTICS'!D9)</f>
        <v>IVANA KRSTIC</v>
      </c>
      <c r="R8" s="201"/>
      <c r="S8" s="201"/>
      <c r="T8" s="201"/>
      <c r="U8" s="201"/>
      <c r="V8" s="201" t="str">
        <f>IF('SCOUT &amp; LOGISTICS'!D10="","",'SCOUT &amp; LOGISTICS'!D10)</f>
        <v>TEODORA DIMIC</v>
      </c>
      <c r="W8" s="201"/>
      <c r="X8" s="201"/>
      <c r="Y8" s="201"/>
      <c r="Z8" s="201"/>
      <c r="AA8" s="201" t="str">
        <f>IF('SCOUT &amp; LOGISTICS'!D11="","",'SCOUT &amp; LOGISTICS'!D11)</f>
        <v>ANA KRSTIC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604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8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1.3245033112582781E-2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4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6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2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1</v>
      </c>
      <c r="W27" s="199"/>
      <c r="X27" s="199"/>
      <c r="Y27" s="199"/>
      <c r="Z27" s="199"/>
      <c r="AA27" s="199">
        <f>'SCOUT &amp; LOGISTICS'!AC17+'SCOUT &amp; LOGISTICS'!AC20</f>
        <v>1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 overall. Make sure to enter the correct substitutions and to add the IRS. On the other hand, for turnovers, check who is responsible — sometimes the referee calls an out on a player who had to chase the ball out because of a bad pass: the turnover belongs to the passer.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23.32450331125828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EA9ED06-6D6F-42CA-B4FE-5070CBE1C4B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2025-10-17T15:48:04Z</cp:lastPrinted>
  <dcterms:created xsi:type="dcterms:W3CDTF">2023-09-19T19:50:35Z</dcterms:created>
  <dcterms:modified xsi:type="dcterms:W3CDTF">2025-10-17T15:49:01Z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