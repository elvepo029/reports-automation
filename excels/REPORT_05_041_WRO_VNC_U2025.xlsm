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54" documentId="8_{C6C6E87F-9D92-4077-90E1-826B0F276E0B}" xr6:coauthVersionLast="47" xr6:coauthVersionMax="47" xr10:uidLastSave="{C3E934E0-CAB8-42FB-B100-1607476D0626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<sst xmlns="http://schemas.openxmlformats.org/spreadsheetml/2006/main" count="3304" uniqueCount="770">
  <si>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</si>
  <si>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</si>
  <si>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</si>
  <si>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</si>
  <si>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</si>
  <si>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</si>
  <si>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</si>
  <si>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</si>
  <si>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</si>
  <si>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</si>
  <si>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</si>
  <si>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</si>
  <si>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</si>
  <si>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</si>
  <si>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</si>
  <si>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</si>
  <si>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</si>
  <si>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</si>
  <si>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</si>
  <si>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</si>
  <si>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</si>
  <si>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</si>
  <si>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</si>
  <si>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</si>
  <si>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</si>
  <si>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</si>
  <si>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</si>
  <si>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</si>
  <si>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</si>
  <si>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</si>
  <si>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</si>
  <si>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</si>
  <si>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</si>
  <si>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</si>
  <si>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</si>
  <si>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</si>
  <si>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</si>
  <si>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</si>
  <si>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</si>
  <si>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</si>
  <si>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</si>
  <si>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</si>
  <si>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</si>
  <si>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</si>
  <si>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</si>
  <si>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</si>
  <si>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</si>
  <si>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</si>
  <si>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</si>
  <si>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</si>
  <si>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</si>
  <si>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</si>
  <si>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</si>
  <si>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</si>
  <si>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</si>
  <si>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</si>
  <si>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</si>
  <si>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</si>
  <si>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</si>
  <si>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</si>
  <si>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</si>
  <si>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</si>
  <si>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</si>
  <si>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</si>
  <si>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</si>
  <si>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</si>
  <si>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</si>
  <si>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</si>
  <si>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</si>
  <si>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</si>
  <si>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</si>
  <si>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</si>
  <si>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</si>
  <si>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</si>
  <si>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</si>
  <si>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</si>
  <si>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</si>
  <si>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</si>
  <si>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</si>
  <si>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</si>
  <si>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</si>
  <si>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</si>
  <si>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</si>
  <si>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</si>
  <si>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</si>
  <si>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</si>
  <si>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</si>
  <si>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</si>
  <si>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</si>
  <si>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</si>
  <si>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</si>
  <si>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</si>
  <si>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</si>
  <si>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</si>
  <si>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</si>
  <si>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</si>
  <si>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</si>
  <si>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</si>
  <si>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</si>
  <si>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</si>
  <si>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</si>
  <si>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</si>
  <si>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</si>
  <si>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</si>
  <si>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</si>
  <si>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</si>
  <si>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</si>
  <si>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</si>
  <si>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</si>
  <si>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</si>
  <si>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</si>
  <si>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</si>
  <si>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</si>
  <si>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</si>
  <si>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</si>
  <si>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</si>
  <si>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</si>
  <si>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</si>
  <si>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</si>
  <si>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</si>
  <si>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</si>
  <si>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</si>
  <si>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</si>
  <si>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</si>
  <si>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</si>
  <si>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</si>
  <si>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</si>
  <si>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</si>
  <si>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</si>
  <si>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</si>
  <si>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</si>
  <si>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</si>
  <si>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</si>
  <si>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</si>
  <si>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</si>
  <si>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</si>
  <si>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</si>
  <si>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</si>
  <si>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</si>
  <si>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</si>
  <si>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</si>
  <si>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</si>
  <si>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</si>
  <si>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</si>
  <si>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</si>
  <si>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</si>
  <si>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</si>
  <si>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</si>
  <si>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</si>
  <si>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</si>
  <si>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</si>
  <si>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</si>
  <si>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</si>
  <si>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</si>
  <si>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</si>
  <si>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</si>
  <si>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</si>
  <si>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</si>
  <si>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</si>
  <si>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</si>
  <si>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</si>
  <si>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</si>
  <si>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</si>
  <si>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</si>
  <si>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</si>
  <si>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</si>
  <si>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</si>
  <si>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</si>
  <si>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</si>
  <si>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</si>
  <si>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</si>
  <si>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</si>
  <si>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</si>
  <si>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</si>
  <si>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</si>
  <si>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</si>
  <si>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</si>
  <si>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</si>
  <si>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</si>
  <si>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</si>
  <si>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</si>
  <si>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</si>
  <si>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</si>
  <si>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</si>
  <si>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</si>
  <si>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</si>
  <si>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</si>
  <si>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</si>
  <si>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</si>
  <si>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</si>
  <si>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</si>
  <si>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</si>
  <si>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</si>
  <si>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</si>
  <si>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</si>
  <si>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</si>
  <si>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</si>
  <si>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</si>
  <si>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</si>
  <si>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</si>
  <si>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</si>
  <si>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</si>
  <si>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</si>
  <si>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</si>
  <si>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</si>
  <si>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</si>
  <si>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</si>
  <si>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</si>
  <si>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</si>
  <si>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</si>
  <si>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</si>
  <si>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</si>
  <si>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</si>
  <si>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</si>
  <si>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</si>
  <si>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</si>
  <si>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</si>
  <si>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</si>
  <si>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</si>
  <si>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</si>
  <si>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</si>
  <si>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</si>
  <si>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</si>
  <si>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</si>
  <si>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</si>
  <si>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</si>
  <si>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</si>
  <si>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</si>
  <si>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</si>
  <si>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</si>
  <si>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</si>
  <si>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</si>
  <si>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</si>
  <si>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</si>
  <si>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</si>
  <si>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</si>
  <si>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</si>
  <si>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</si>
  <si>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</si>
  <si>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</si>
  <si>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</si>
  <si>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</si>
  <si>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</si>
  <si>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</si>
  <si>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</si>
  <si>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</si>
  <si>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</si>
  <si>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</si>
  <si>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</si>
  <si>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</si>
  <si>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</si>
  <si>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</si>
  <si>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</si>
  <si>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</si>
  <si>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</si>
  <si>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</si>
  <si>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</si>
  <si>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</si>
  <si>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</si>
  <si>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</si>
  <si>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</si>
  <si>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</si>
  <si>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</si>
  <si>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</si>
  <si>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</si>
  <si>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</si>
  <si>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</si>
  <si>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</si>
  <si>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</si>
  <si>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</si>
  <si>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</si>
  <si>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</si>
  <si>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</si>
  <si>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</si>
  <si>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</si>
  <si>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</si>
  <si>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</si>
  <si>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</si>
  <si>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</si>
  <si>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</si>
  <si>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</si>
  <si>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</si>
  <si>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</si>
  <si>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</si>
  <si>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</si>
  <si>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</si>
  <si>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</si>
  <si>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</si>
  <si>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</si>
  <si>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</si>
  <si>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</si>
  <si>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</si>
  <si>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</si>
  <si>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</si>
  <si>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</si>
  <si>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</si>
  <si>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</si>
  <si>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</si>
  <si>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</si>
  <si>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</si>
  <si>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</si>
  <si>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</si>
  <si>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</si>
  <si>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</si>
  <si>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</si>
  <si>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</si>
  <si>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</si>
  <si>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</si>
  <si>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</si>
  <si>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</si>
  <si>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</si>
  <si>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</si>
  <si>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</si>
  <si>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</si>
  <si>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</si>
  <si>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</si>
  <si>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</si>
  <si>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</si>
  <si>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</si>
  <si>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</si>
  <si>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</si>
  <si>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</si>
  <si>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</si>
  <si>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</si>
  <si>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</si>
  <si>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</si>
  <si>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</si>
  <si>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</si>
  <si>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</si>
  <si>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</si>
  <si>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</si>
  <si>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</si>
  <si>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</si>
  <si>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</si>
  <si>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</si>
  <si>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</si>
  <si>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</si>
  <si>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</si>
  <si>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</si>
  <si>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</si>
  <si>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</si>
  <si>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</si>
  <si>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</si>
  <si>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</si>
  <si>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</si>
  <si>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</si>
  <si>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</si>
  <si>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</si>
  <si>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</si>
  <si>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</si>
  <si>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</si>
  <si>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</si>
  <si>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</si>
  <si>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</si>
  <si>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</si>
  <si>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</si>
  <si>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</si>
  <si>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</si>
  <si>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</si>
  <si>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</si>
  <si>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</si>
  <si>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</si>
  <si>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</si>
  <si>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</si>
  <si>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</si>
  <si>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</si>
  <si>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</si>
  <si>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</si>
  <si>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</si>
  <si>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</si>
  <si>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</si>
  <si>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</si>
  <si>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</si>
  <si>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</si>
  <si>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</si>
  <si>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</si>
  <si>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</si>
  <si>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</si>
  <si>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</si>
  <si>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</si>
  <si>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</si>
  <si>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</si>
  <si>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</si>
  <si>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</si>
  <si>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</si>
  <si>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</si>
  <si>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</si>
  <si>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</si>
  <si>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</si>
  <si>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</si>
  <si>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</si>
  <si>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</si>
  <si>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</si>
  <si>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</si>
  <si>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</si>
  <si>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</si>
  <si>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</si>
  <si>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</si>
  <si>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</si>
  <si>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</si>
  <si>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</si>
  <si>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</si>
  <si>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</si>
  <si>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</si>
  <si>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</si>
  <si>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</si>
  <si>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</si>
  <si>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</si>
  <si>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</si>
  <si>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</si>
  <si>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</si>
  <si>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</si>
  <si>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</si>
  <si>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</si>
  <si>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</si>
  <si>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</si>
  <si>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</si>
  <si>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</si>
  <si>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</si>
  <si>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</si>
  <si>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</si>
  <si>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</si>
  <si>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</si>
  <si>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</si>
  <si>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</si>
  <si>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</si>
  <si>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</si>
  <si>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</si>
  <si>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</si>
  <si>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</si>
  <si>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</si>
  <si>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</si>
  <si>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</si>
  <si>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</si>
  <si>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</si>
  <si>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</si>
  <si>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</si>
  <si>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</si>
  <si>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</si>
  <si>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</si>
  <si>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</si>
  <si>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</si>
  <si>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</si>
  <si>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</si>
  <si>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</si>
  <si>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</si>
  <si>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</si>
  <si>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</si>
  <si>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</si>
  <si>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</si>
  <si>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</si>
  <si>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</si>
  <si>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</si>
  <si>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</si>
  <si>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</si>
  <si>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</si>
  <si>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</si>
  <si>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</si>
  <si>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</si>
  <si>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</si>
  <si>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</si>
  <si>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</si>
  <si>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</si>
  <si>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</si>
  <si>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</si>
  <si>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</si>
  <si>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</si>
  <si>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</si>
  <si>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</si>
  <si>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</si>
  <si>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</si>
  <si>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</si>
  <si>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</si>
  <si>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</si>
  <si>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</si>
  <si>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</si>
  <si>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</si>
  <si>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</si>
  <si>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</si>
  <si>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</si>
  <si>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</si>
  <si>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</si>
  <si>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</si>
  <si>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</si>
  <si>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</si>
  <si>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</si>
  <si>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</si>
  <si>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</si>
  <si>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</si>
  <si>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</si>
  <si>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</si>
  <si>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</si>
  <si>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</si>
  <si>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</si>
  <si>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</si>
  <si>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</si>
  <si>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</si>
  <si>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</si>
  <si>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</si>
  <si>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</si>
  <si>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</si>
  <si>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</si>
  <si>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</si>
  <si>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</si>
  <si>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</si>
  <si>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</si>
  <si>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</si>
  <si>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</si>
  <si>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</si>
  <si>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</si>
  <si>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</si>
  <si>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</si>
  <si>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</si>
  <si>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</si>
  <si>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</si>
  <si>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</si>
  <si>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</si>
  <si>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</si>
  <si>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</si>
  <si>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</si>
  <si>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</si>
  <si>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</si>
  <si>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</si>
  <si>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</si>
  <si>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</si>
  <si>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</si>
  <si>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</si>
  <si>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</si>
  <si>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</si>
  <si>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</si>
  <si>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</si>
  <si>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</si>
  <si>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</si>
  <si>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</si>
  <si>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</si>
  <si>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</si>
  <si>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</si>
  <si>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</si>
  <si>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</si>
  <si>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</si>
  <si>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</si>
  <si>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</si>
  <si>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</si>
  <si>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</si>
  <si>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</si>
  <si>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</si>
  <si>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</si>
  <si>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</si>
  <si>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</si>
  <si>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</si>
  <si>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</si>
  <si>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</si>
  <si>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</si>
  <si>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</si>
  <si>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</si>
  <si>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</si>
  <si>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</si>
  <si>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</si>
  <si>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</si>
  <si>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</si>
  <si>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</si>
  <si>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</si>
  <si>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</si>
  <si>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</si>
  <si>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</si>
  <si>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</si>
  <si>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</si>
  <si>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</si>
  <si>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</si>
  <si>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</si>
  <si>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</si>
  <si>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</si>
  <si>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</si>
  <si>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</si>
  <si>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</si>
  <si>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</si>
  <si>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</si>
  <si>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</si>
  <si>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</si>
  <si>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</si>
  <si>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</si>
  <si>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</si>
  <si>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</si>
  <si>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</si>
  <si>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</si>
  <si>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</si>
  <si>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</si>
  <si>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</si>
  <si>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</si>
  <si>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</si>
  <si>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</si>
  <si>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</si>
  <si>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</si>
  <si>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</si>
  <si>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</si>
  <si>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</si>
  <si>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</si>
  <si>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</si>
  <si>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</si>
  <si>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</si>
  <si>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</si>
  <si>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</si>
  <si>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</si>
  <si>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</si>
  <si>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</si>
  <si>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</si>
  <si>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</si>
  <si>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</si>
  <si>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</si>
  <si>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</si>
  <si>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</si>
  <si>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</si>
  <si>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</si>
  <si>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</si>
  <si>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</si>
  <si>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</si>
  <si>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</si>
  <si>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</si>
  <si>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</si>
  <si>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</si>
  <si>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</si>
  <si>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</si>
  <si>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</si>
  <si>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</si>
  <si>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</si>
  <si>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</si>
  <si>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</si>
  <si>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</si>
  <si>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</si>
  <si>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</si>
  <si>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</si>
  <si>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</si>
  <si>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</si>
  <si>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</si>
  <si>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</si>
  <si>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</si>
  <si>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</si>
  <si>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</si>
  <si>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</si>
  <si>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</si>
  <si>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</si>
  <si>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</si>
  <si>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</si>
  <si>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</si>
  <si>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</si>
  <si>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</si>
  <si>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</si>
  <si>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</si>
  <si>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</si>
  <si>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</si>
  <si>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</si>
  <si>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</si>
  <si>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</si>
  <si>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</si>
  <si>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</si>
  <si>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</si>
  <si>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</si>
  <si>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</si>
  <si>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</si>
  <si>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</si>
  <si>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</si>
  <si>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</si>
  <si>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</si>
  <si>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</si>
  <si>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</si>
  <si>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</si>
  <si>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</si>
  <si>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</si>
  <si>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</si>
  <si>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</si>
  <si>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</si>
  <si>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</si>
  <si>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</si>
  <si>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</si>
  <si>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</si>
  <si>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</si>
  <si>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</si>
  <si>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</si>
  <si>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</si>
  <si>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</si>
  <si>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</si>
  <si>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</si>
  <si>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</si>
  <si>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</si>
  <si>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</si>
  <si>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</si>
  <si>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</si>
  <si>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</si>
  <si>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</si>
  <si>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</si>
  <si>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</si>
  <si>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</si>
  <si>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</si>
  <si>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</si>
  <si>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</si>
  <si>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</si>
  <si>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</si>
  <si>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</si>
  <si>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</si>
  <si>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</si>
  <si>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</si>
  <si>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</si>
  <si>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</si>
  <si>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</si>
  <si>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</si>
  <si>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</si>
  <si>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</si>
  <si>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</si>
  <si>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</si>
  <si>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</si>
  <si>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</si>
  <si>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</si>
  <si>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</si>
  <si>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</si>
  <si>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</si>
  <si>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</si>
  <si>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</si>
  <si>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</si>
  <si>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</si>
  <si>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</si>
  <si>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</si>
  <si>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</si>
  <si>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</si>
  <si>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</si>
  <si>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</si>
  <si>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</si>
  <si>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</si>
  <si>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</si>
  <si>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</si>
  <si>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</si>
  <si>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</si>
  <si>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</si>
  <si>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</si>
  <si>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</si>
  <si>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</si>
  <si>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</si>
  <si>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</si>
  <si>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</si>
  <si>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</si>
  <si>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</si>
  <si>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</si>
  <si>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</si>
  <si>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</si>
  <si>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</si>
  <si>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</si>
  <si>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</si>
  <si>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</si>
  <si>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</si>
  <si>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</si>
  <si>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</si>
  <si>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</si>
  <si>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</si>
  <si>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AGNIESZKA WYSOCKA</t>
  </si>
  <si>
    <t>DOROTA RECZUCH</t>
  </si>
  <si>
    <t>KATARZYNA LESIECKA</t>
  </si>
  <si>
    <t>ALEKSANDRA LASKOWSKA</t>
  </si>
  <si>
    <t>EMILIA GLOGOWSKA</t>
  </si>
  <si>
    <t>04:31</t>
  </si>
  <si>
    <t>01:00</t>
  </si>
  <si>
    <t>08:15</t>
  </si>
  <si>
    <t>07:37</t>
  </si>
  <si>
    <t>03:32</t>
  </si>
  <si>
    <t>01:11</t>
  </si>
  <si>
    <t>07:25</t>
  </si>
  <si>
    <t>05:59</t>
  </si>
  <si>
    <t>04:22</t>
  </si>
  <si>
    <t>03:43</t>
  </si>
  <si>
    <t>03:02</t>
  </si>
  <si>
    <t>01:29</t>
  </si>
  <si>
    <t xml:space="preserve">Be careful with assists, especially on three-point shooting situations. There have been several mistakes with this pattern. Several misidentifications or criteria in situations that don't affect the game. A seriously error in an unnoticed foul after the Instant Replay review. Of note was the excellent communication and quick response throughout the game.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</si>
</sst>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05_041_WRO_VNC_U2025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45959.791666666664</v>
      </c>
      <c r="C3" s="157"/>
      <c r="D3" s="39">
        <v>604</v>
      </c>
      <c r="E3" s="29"/>
      <c r="F3" s="26">
        <f>SUBTOTAL(3,I17:I106)</f>
        <v>12</v>
      </c>
      <c r="G3" s="27">
        <f>IF(OR(D3="",D3=0),"",F3/D3)</f>
        <v>1.9867549668874173E-2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Slask Wroclaw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742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1.9867549668874173E-2</v>
      </c>
      <c r="S4" s="61">
        <f>SUM(I13:M13)</f>
        <v>0</v>
      </c>
      <c r="T4" s="78"/>
      <c r="U4" s="61">
        <f>AC18</f>
        <v>4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Umana Reyer Venice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1.9867549668874174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30.486754966887418</v>
      </c>
      <c r="N7" s="58"/>
      <c r="O7" s="2"/>
      <c r="P7" s="2"/>
      <c r="Q7" s="86">
        <f>SUM(R5,S5,AC16)</f>
        <v>30.486754966887418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30.486754966887418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12</v>
      </c>
      <c r="J15" s="24">
        <f>SUBTOTAL(3,J17:J106)</f>
        <v>12</v>
      </c>
      <c r="K15" s="24">
        <f>SUBTOTAL(3,K17:K106)</f>
        <v>12</v>
      </c>
      <c r="L15" s="24">
        <f>SUBTOTAL(3,L17:L106)</f>
        <v>12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12</v>
      </c>
      <c r="Z16" s="90" t="s">
        <v>110</v>
      </c>
      <c r="AA16" s="75">
        <f>SUM(AA17:AA24)</f>
        <v>12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28.5</v>
      </c>
      <c r="AD16" s="75">
        <f>SUM(AD17:AD24)</f>
        <v>45</v>
      </c>
      <c r="AE16" s="76" t="s">
        <v>42</v>
      </c>
      <c r="AF16" s="75">
        <f>SUM(AF17:AF24)</f>
        <v>8</v>
      </c>
      <c r="AG16" s="75">
        <f>SUM(AG17:AG21)</f>
        <v>12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41</v>
      </c>
      <c r="D17" s="32" t="s">
        <v>757</v>
      </c>
      <c r="E17" s="33">
        <v>1</v>
      </c>
      <c r="F17" s="36">
        <v>15</v>
      </c>
      <c r="G17" s="36">
        <v>12</v>
      </c>
      <c r="H17" s="38" t="str">
        <f>IF(I17="","",$I$14)</f>
        <v>SCOUTING</v>
      </c>
      <c r="I17" s="34">
        <v>56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41</v>
      </c>
      <c r="D18" s="32" t="s">
        <v>758</v>
      </c>
      <c r="E18" s="33">
        <v>1</v>
      </c>
      <c r="F18" s="36">
        <v>26</v>
      </c>
      <c r="G18" s="36">
        <v>23</v>
      </c>
      <c r="H18" s="38" t="str">
        <f t="shared" ref="H18:H81" si="8">IF(I18="","",$I$14)</f>
        <v>SCOUTING</v>
      </c>
      <c r="I18" s="34">
        <v>112</v>
      </c>
      <c r="J18" s="13" t="s">
        <v>4</v>
      </c>
      <c r="K18" s="13" t="s">
        <v>63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41</v>
      </c>
      <c r="D19" s="32" t="s">
        <v>759</v>
      </c>
      <c r="E19" s="33">
        <v>2</v>
      </c>
      <c r="F19" s="36">
        <v>28</v>
      </c>
      <c r="G19" s="36">
        <v>26</v>
      </c>
      <c r="H19" s="38" t="str">
        <f t="shared" si="8"/>
        <v>SCOUTING</v>
      </c>
      <c r="I19" s="34">
        <v>151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5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41</v>
      </c>
      <c r="D20" s="32" t="s">
        <v>760</v>
      </c>
      <c r="E20" s="33">
        <v>2</v>
      </c>
      <c r="F20" s="36">
        <v>32</v>
      </c>
      <c r="G20" s="36">
        <v>29</v>
      </c>
      <c r="H20" s="38" t="str">
        <f t="shared" si="8"/>
        <v>SCOUTING</v>
      </c>
      <c r="I20" s="34">
        <v>163</v>
      </c>
      <c r="J20" s="13" t="s">
        <v>4</v>
      </c>
      <c r="K20" s="13" t="s">
        <v>62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3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41</v>
      </c>
      <c r="D21" s="32" t="s">
        <v>761</v>
      </c>
      <c r="E21" s="33">
        <v>2</v>
      </c>
      <c r="F21" s="36">
        <v>38</v>
      </c>
      <c r="G21" s="36">
        <v>38</v>
      </c>
      <c r="H21" s="38" t="str">
        <f t="shared" si="8"/>
        <v>SCOUTING</v>
      </c>
      <c r="I21" s="34">
        <v>245</v>
      </c>
      <c r="J21" s="13" t="s">
        <v>4</v>
      </c>
      <c r="K21" s="13" t="s">
        <v>62</v>
      </c>
      <c r="L21" s="13" t="s">
        <v>6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41</v>
      </c>
      <c r="D22" s="32" t="s">
        <v>762</v>
      </c>
      <c r="E22" s="33">
        <v>2</v>
      </c>
      <c r="F22" s="36">
        <v>44</v>
      </c>
      <c r="G22" s="36">
        <v>44</v>
      </c>
      <c r="H22" s="38" t="str">
        <f t="shared" si="8"/>
        <v>SCOUTING</v>
      </c>
      <c r="I22" s="34">
        <v>279</v>
      </c>
      <c r="J22" s="13" t="s">
        <v>4</v>
      </c>
      <c r="K22" s="13" t="s">
        <v>63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41</v>
      </c>
      <c r="D23" s="32" t="s">
        <v>763</v>
      </c>
      <c r="E23" s="33">
        <v>3</v>
      </c>
      <c r="F23" s="36">
        <v>50</v>
      </c>
      <c r="G23" s="36">
        <v>52</v>
      </c>
      <c r="H23" s="38" t="str">
        <f t="shared" si="8"/>
        <v>SCOUTING</v>
      </c>
      <c r="I23" s="34">
        <v>349</v>
      </c>
      <c r="J23" s="13" t="s">
        <v>4</v>
      </c>
      <c r="K23" s="13" t="s">
        <v>62</v>
      </c>
      <c r="L23" s="13" t="s">
        <v>5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41</v>
      </c>
      <c r="D24" s="32" t="s">
        <v>764</v>
      </c>
      <c r="E24" s="33">
        <v>3</v>
      </c>
      <c r="F24" s="36">
        <v>55</v>
      </c>
      <c r="G24" s="36">
        <v>58</v>
      </c>
      <c r="H24" s="38" t="str">
        <f t="shared" si="8"/>
        <v>SCOUTING</v>
      </c>
      <c r="I24" s="34">
        <v>363</v>
      </c>
      <c r="J24" s="13" t="s">
        <v>3</v>
      </c>
      <c r="K24" s="13" t="s">
        <v>63</v>
      </c>
      <c r="L24" s="13" t="s">
        <v>76</v>
      </c>
      <c r="M24" s="13" t="s">
        <v>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41</v>
      </c>
      <c r="D25" s="32" t="s">
        <v>765</v>
      </c>
      <c r="E25" s="33">
        <v>3</v>
      </c>
      <c r="F25" s="36">
        <v>60</v>
      </c>
      <c r="G25" s="36">
        <v>60</v>
      </c>
      <c r="H25" s="38" t="str">
        <f t="shared" si="8"/>
        <v>SCOUTING</v>
      </c>
      <c r="I25" s="34">
        <v>384</v>
      </c>
      <c r="J25" s="13" t="s">
        <v>4</v>
      </c>
      <c r="K25" s="13" t="s">
        <v>63</v>
      </c>
      <c r="L25" s="13" t="s">
        <v>6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41</v>
      </c>
      <c r="D26" s="32" t="s">
        <v>766</v>
      </c>
      <c r="E26" s="33">
        <v>3</v>
      </c>
      <c r="F26" s="36">
        <v>60</v>
      </c>
      <c r="G26" s="36">
        <v>63</v>
      </c>
      <c r="H26" s="38" t="str">
        <f t="shared" si="8"/>
        <v>SCOUTING</v>
      </c>
      <c r="I26" s="34">
        <v>391</v>
      </c>
      <c r="J26" s="13" t="s">
        <v>4</v>
      </c>
      <c r="K26" s="13" t="s">
        <v>63</v>
      </c>
      <c r="L26" s="13" t="s">
        <v>7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41</v>
      </c>
      <c r="D27" s="32" t="s">
        <v>767</v>
      </c>
      <c r="E27" s="33">
        <v>3</v>
      </c>
      <c r="F27" s="36">
        <v>63</v>
      </c>
      <c r="G27" s="36">
        <v>63</v>
      </c>
      <c r="H27" s="38" t="str">
        <f t="shared" si="8"/>
        <v>SCOUTING</v>
      </c>
      <c r="I27" s="34">
        <v>400</v>
      </c>
      <c r="J27" s="13" t="s">
        <v>4</v>
      </c>
      <c r="K27" s="13" t="s">
        <v>62</v>
      </c>
      <c r="L27" s="13" t="s">
        <v>6</v>
      </c>
      <c r="M27" s="13" t="s">
        <v>168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41</v>
      </c>
      <c r="D28" s="32" t="s">
        <v>768</v>
      </c>
      <c r="E28" s="33">
        <v>4</v>
      </c>
      <c r="F28" s="36">
        <v>89</v>
      </c>
      <c r="G28" s="36">
        <v>100</v>
      </c>
      <c r="H28" s="38" t="str">
        <f t="shared" si="8"/>
        <v>SCOUTING</v>
      </c>
      <c r="I28" s="34">
        <v>592</v>
      </c>
      <c r="J28" s="13" t="s">
        <v>4</v>
      </c>
      <c r="K28" s="13" t="s">
        <v>63</v>
      </c>
      <c r="L28" s="13" t="s">
        <v>5</v>
      </c>
      <c r="M28" s="13" t="s">
        <v>10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"U2025041"</v>
      </c>
      <c r="F3" s="45" t="str">
        <f t="shared" ref="F3:F16" si="0">""""&amp;B3&amp;"""" &amp; " : " &amp;C3&amp;","</f>
        <v>"name" : "U2025041",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"U041"</v>
      </c>
      <c r="F4" s="45" t="str">
        <f t="shared" si="0"/>
        <v>"cod" : "U041",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041</v>
      </c>
      <c r="F6" s="45" t="str">
        <f t="shared" si="0"/>
        <v>"number" : 041,</v>
      </c>
    </row>
    <row r="7" spans="2:6" x14ac:dyDescent="0.25">
      <c r="B7" s="43" t="s">
        <v>116</v>
      </c>
      <c r="C7" s="43" t="str">
        <f ca="1">""""&amp;TEXT('SCOUT &amp; LOGISTICS'!B3,"dd/mm/aaaa")&amp;""""</f>
        <v>"29/10/Wednesday"</v>
      </c>
      <c r="F7" s="45" t="str">
        <f t="shared" ca="1" si="0"/>
        <v>"date" : "29/10/Wednesday",</v>
      </c>
    </row>
    <row r="8" spans="2:6" x14ac:dyDescent="0.25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5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"AGNIESZKA WYSOCKA"</v>
      </c>
      <c r="F10" s="45" t="str">
        <f t="shared" si="0"/>
        <v>"Data_entry" : "AGNIESZKA WYSOCKA",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"DOROTA RECZUCH"</v>
      </c>
      <c r="F11" s="45" t="str">
        <f t="shared" si="0"/>
        <v>"Caller_1" : "DOROTA RECZUCH",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"KATARZYNA LESIECKA"</v>
      </c>
      <c r="F12" s="45" t="str">
        <f t="shared" si="0"/>
        <v>"Caller_2" : "KATARZYNA LESIECKA",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"ALEKSANDRA LASKOWSKA"</v>
      </c>
      <c r="F13" s="45" t="str">
        <f t="shared" si="0"/>
        <v>"Timerkeeper" : "ALEKSANDRA LASKOWSKA",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"EMILIA GLOGOWSKA"</v>
      </c>
      <c r="F14" s="45" t="str">
        <f t="shared" si="0"/>
        <v>"Shotclock" : "EMILIA GLOGOWSKA",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12</v>
      </c>
      <c r="F26" s="45" t="str">
        <f t="shared" si="1"/>
        <v>"total_correcions" : 12,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5</v>
      </c>
      <c r="F33" s="45" t="str">
        <f t="shared" si="1"/>
        <v>"q3" : 5,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12</v>
      </c>
      <c r="F37" s="45" t="str">
        <f t="shared" si="1"/>
        <v>"scoresheet_corrections" : 12,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"Be careful with assists, especially on three-point shooting situations. There have been several mistakes with this pattern. Several misidentifications or criteria in situations that don't affect the game. A seriously error in an unnoticed foul after the Instant Replay review. Of note was the excellent communication and quick response throughout the game. "</v>
      </c>
      <c r="F51" s="45" t="str">
        <f>""""&amp;B51&amp;"""" &amp; " : " &amp;C51&amp;","</f>
        <v>"comments" : "Be careful with assists, especially on three-point shooting situations. There have been several mistakes with this pattern. Several misidentifications or criteria in situations that don't affect the game. A seriously error in an unnoticed foul after the Instant Replay review. Of note was the excellent communication and quick response throughout the game. ",</v>
      </c>
    </row>
    <row r="52" spans="2:6" x14ac:dyDescent="0.25">
      <c r="B52" s="43" t="s">
        <v>153</v>
      </c>
      <c r="C52" s="43" t="str">
        <f>TEXT('SCOUT &amp; LOGISTICS'!F1,"0,0")</f>
        <v>05_041_WRO_VNC_U2025</v>
      </c>
      <c r="F52" s="45" t="str">
        <f>""""&amp;B52&amp;"""" &amp; " : " &amp;C52</f>
        <v>"result" : 05_041_WRO_VNC_U2025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U041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Slask Wroclaw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Umana Reyer Venice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AGNIESZKA WYSOCKA</v>
      </c>
      <c r="C8" s="206"/>
      <c r="D8" s="206"/>
      <c r="E8" s="206"/>
      <c r="F8" s="206"/>
      <c r="G8" s="206" t="str">
        <f>IF('SCOUT &amp; LOGISTICS'!D7="","",'SCOUT &amp; LOGISTICS'!D7)</f>
        <v>DOROTA RECZUCH</v>
      </c>
      <c r="H8" s="206"/>
      <c r="I8" s="206"/>
      <c r="J8" s="206"/>
      <c r="K8" s="206"/>
      <c r="L8" s="206" t="str">
        <f>IF('SCOUT &amp; LOGISTICS'!D8="","",'SCOUT &amp; LOGISTICS'!D8)</f>
        <v>KATARZYNA LESIECKA</v>
      </c>
      <c r="M8" s="206"/>
      <c r="N8" s="206"/>
      <c r="O8" s="206"/>
      <c r="P8" s="206"/>
      <c r="Q8" s="206" t="str">
        <f>IF('SCOUT &amp; LOGISTICS'!D9="","",'SCOUT &amp; LOGISTICS'!D9)</f>
        <v>ALEKSANDRA LASKOWSKA</v>
      </c>
      <c r="R8" s="206"/>
      <c r="S8" s="206"/>
      <c r="T8" s="206"/>
      <c r="U8" s="206"/>
      <c r="V8" s="206" t="str">
        <f>IF('SCOUT &amp; LOGISTICS'!D10="","",'SCOUT &amp; LOGISTICS'!D10)</f>
        <v>EMILIA GLOGOWSKA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1.9867549668874173E-2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5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3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Be careful with assists, especially on three-point shooting situations. There have been several mistakes with this pattern. Several misidentifications or criteria in situations that don't affect the game. A seriously error in an unnoticed foul after the Instant Replay review. Of note was the excellent communication and quick response throughout the game.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30.486754966887418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DD74B0-B430-44AB-A277-F641B3CEA12D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2025-10-29T22:10:33Z</cp:lastPrinted>
  <dcterms:created xsi:type="dcterms:W3CDTF">2023-09-19T19:50:35Z</dcterms:created>
  <dcterms:modified xsi:type="dcterms:W3CDTF">2025-10-29T22:10:35Z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