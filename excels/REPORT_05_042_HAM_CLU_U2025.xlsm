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7" Type="http://schemas.openxmlformats.org/officeDocument/2006/relationships/custom-properties" Target="docProps/custom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openxmlformats.org/package/2006/relationships/metadata/thumbnail" Target="docProps/thumbnail.emf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48" documentId="8_{71BECC66-4B8C-4698-AA66-0501E1901936}" xr6:coauthVersionLast="47" xr6:coauthVersionMax="47" xr10:uidLastSave="{A7B3C36F-58E7-42FD-BB84-AFD90E1FDB51}"/>
  <bookViews>
    <workbookView xWindow="-12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<sst xmlns="http://schemas.openxmlformats.org/spreadsheetml/2006/main" count="3263" uniqueCount="764">
  <si>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</si>
  <si>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</si>
  <si>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</si>
  <si>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</si>
  <si>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</si>
  <si>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</si>
  <si>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</si>
  <si>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</si>
  <si>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</si>
  <si>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</si>
  <si>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</si>
  <si>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</si>
  <si>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</si>
  <si>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</si>
  <si>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</si>
  <si>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</si>
  <si>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</si>
  <si>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</si>
  <si>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</si>
  <si>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</si>
  <si>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</si>
  <si>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</si>
  <si>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</si>
  <si>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</si>
  <si>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</si>
  <si>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</si>
  <si>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</si>
  <si>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</si>
  <si>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</si>
  <si>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</si>
  <si>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</si>
  <si>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</si>
  <si>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</si>
  <si>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</si>
  <si>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</si>
  <si>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</si>
  <si>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</si>
  <si>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</si>
  <si>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</si>
  <si>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</si>
  <si>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</si>
  <si>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</si>
  <si>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</si>
  <si>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</si>
  <si>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</si>
  <si>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</si>
  <si>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</si>
  <si>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</si>
  <si>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</si>
  <si>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</si>
  <si>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</si>
  <si>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</si>
  <si>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</si>
  <si>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</si>
  <si>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</si>
  <si>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</si>
  <si>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</si>
  <si>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</si>
  <si>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</si>
  <si>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</si>
  <si>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</si>
  <si>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</si>
  <si>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</si>
  <si>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</si>
  <si>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</si>
  <si>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</si>
  <si>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</si>
  <si>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</si>
  <si>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</si>
  <si>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</si>
  <si>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</si>
  <si>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</si>
  <si>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</si>
  <si>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</si>
  <si>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</si>
  <si>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</si>
  <si>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</si>
  <si>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</si>
  <si>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</si>
  <si>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</si>
  <si>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</si>
  <si>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</si>
  <si>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</si>
  <si>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</si>
  <si>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</si>
  <si>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</si>
  <si>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</si>
  <si>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</si>
  <si>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</si>
  <si>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</si>
  <si>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</si>
  <si>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</si>
  <si>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</si>
  <si>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</si>
  <si>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</si>
  <si>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</si>
  <si>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</si>
  <si>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</si>
  <si>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</si>
  <si>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</si>
  <si>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</si>
  <si>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</si>
  <si>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</si>
  <si>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</si>
  <si>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</si>
  <si>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</si>
  <si>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</si>
  <si>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</si>
  <si>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</si>
  <si>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</si>
  <si>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</si>
  <si>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</si>
  <si>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</si>
  <si>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</si>
  <si>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</si>
  <si>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</si>
  <si>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</si>
  <si>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</si>
  <si>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</si>
  <si>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</si>
  <si>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</si>
  <si>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</si>
  <si>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</si>
  <si>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</si>
  <si>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</si>
  <si>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</si>
  <si>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</si>
  <si>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</si>
  <si>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</si>
  <si>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</si>
  <si>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</si>
  <si>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</si>
  <si>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</si>
  <si>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</si>
  <si>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</si>
  <si>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</si>
  <si>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</si>
  <si>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</si>
  <si>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</si>
  <si>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</si>
  <si>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</si>
  <si>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</si>
  <si>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</si>
  <si>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</si>
  <si>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</si>
  <si>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</si>
  <si>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</si>
  <si>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</si>
  <si>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</si>
  <si>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</si>
  <si>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</si>
  <si>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</si>
  <si>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</si>
  <si>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</si>
  <si>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</si>
  <si>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</si>
  <si>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</si>
  <si>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</si>
  <si>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</si>
  <si>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</si>
  <si>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</si>
  <si>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</si>
  <si>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</si>
  <si>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</si>
  <si>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</si>
  <si>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</si>
  <si>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</si>
  <si>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</si>
  <si>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</si>
  <si>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</si>
  <si>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</si>
  <si>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</si>
  <si>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</si>
  <si>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</si>
  <si>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</si>
  <si>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</si>
  <si>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</si>
  <si>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</si>
  <si>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</si>
  <si>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</si>
  <si>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</si>
  <si>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</si>
  <si>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</si>
  <si>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</si>
  <si>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</si>
  <si>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</si>
  <si>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</si>
  <si>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</si>
  <si>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</si>
  <si>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</si>
  <si>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</si>
  <si>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</si>
  <si>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</si>
  <si>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</si>
  <si>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</si>
  <si>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</si>
  <si>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</si>
  <si>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</si>
  <si>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</si>
  <si>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</si>
  <si>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</si>
  <si>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</si>
  <si>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</si>
  <si>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</si>
  <si>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</si>
  <si>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</si>
  <si>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</si>
  <si>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</si>
  <si>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</si>
  <si>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</si>
  <si>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</si>
  <si>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</si>
  <si>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</si>
  <si>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</si>
  <si>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</si>
  <si>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</si>
  <si>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</si>
  <si>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</si>
  <si>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</si>
  <si>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</si>
  <si>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</si>
  <si>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</si>
  <si>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</si>
  <si>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</si>
  <si>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</si>
  <si>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</si>
  <si>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</si>
  <si>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</si>
  <si>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</si>
  <si>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</si>
  <si>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</si>
  <si>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</si>
  <si>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</si>
  <si>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</si>
  <si>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</si>
  <si>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</si>
  <si>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</si>
  <si>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</si>
  <si>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</si>
  <si>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</si>
  <si>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</si>
  <si>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</si>
  <si>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</si>
  <si>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</si>
  <si>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</si>
  <si>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</si>
  <si>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</si>
  <si>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</si>
  <si>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</si>
  <si>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</si>
  <si>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</si>
  <si>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</si>
  <si>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</si>
  <si>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</si>
  <si>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</si>
  <si>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</si>
  <si>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</si>
  <si>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</si>
  <si>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</si>
  <si>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</si>
  <si>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</si>
  <si>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</si>
  <si>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</si>
  <si>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</si>
  <si>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</si>
  <si>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</si>
  <si>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</si>
  <si>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</si>
  <si>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</si>
  <si>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</si>
  <si>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</si>
  <si>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</si>
  <si>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</si>
  <si>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</si>
  <si>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</si>
  <si>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</si>
  <si>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</si>
  <si>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</si>
  <si>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</si>
  <si>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</si>
  <si>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</si>
  <si>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</si>
  <si>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</si>
  <si>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</si>
  <si>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</si>
  <si>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</si>
  <si>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</si>
  <si>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</si>
  <si>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</si>
  <si>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</si>
  <si>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</si>
  <si>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</si>
  <si>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</si>
  <si>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</si>
  <si>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</si>
  <si>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</si>
  <si>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</si>
  <si>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</si>
  <si>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</si>
  <si>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</si>
  <si>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</si>
  <si>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</si>
  <si>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</si>
  <si>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</si>
  <si>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</si>
  <si>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</si>
  <si>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</si>
  <si>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</si>
  <si>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</si>
  <si>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</si>
  <si>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</si>
  <si>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</si>
  <si>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</si>
  <si>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</si>
  <si>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</si>
  <si>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</si>
  <si>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</si>
  <si>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</si>
  <si>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</si>
  <si>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</si>
  <si>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</si>
  <si>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</si>
  <si>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</si>
  <si>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</si>
  <si>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</si>
  <si>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</si>
  <si>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</si>
  <si>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</si>
  <si>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</si>
  <si>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</si>
  <si>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</si>
  <si>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</si>
  <si>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</si>
  <si>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</si>
  <si>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</si>
  <si>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</si>
  <si>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</si>
  <si>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</si>
  <si>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</si>
  <si>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</si>
  <si>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</si>
  <si>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</si>
  <si>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</si>
  <si>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</si>
  <si>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</si>
  <si>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</si>
  <si>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</si>
  <si>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</si>
  <si>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</si>
  <si>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</si>
  <si>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</si>
  <si>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</si>
  <si>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</si>
  <si>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</si>
  <si>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</si>
  <si>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</si>
  <si>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</si>
  <si>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</si>
  <si>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</si>
  <si>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</si>
  <si>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</si>
  <si>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</si>
  <si>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</si>
  <si>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</si>
  <si>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</si>
  <si>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</si>
  <si>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</si>
  <si>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</si>
  <si>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</si>
  <si>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</si>
  <si>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</si>
  <si>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</si>
  <si>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</si>
  <si>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</si>
  <si>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</si>
  <si>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</si>
  <si>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</si>
  <si>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</si>
  <si>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</si>
  <si>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</si>
  <si>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</si>
  <si>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</si>
  <si>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</si>
  <si>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</si>
  <si>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</si>
  <si>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</si>
  <si>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</si>
  <si>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</si>
  <si>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</si>
  <si>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</si>
  <si>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</si>
  <si>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</si>
  <si>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</si>
  <si>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</si>
  <si>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</si>
  <si>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</si>
  <si>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</si>
  <si>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</si>
  <si>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</si>
  <si>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</si>
  <si>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</si>
  <si>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</si>
  <si>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</si>
  <si>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</si>
  <si>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</si>
  <si>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</si>
  <si>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</si>
  <si>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</si>
  <si>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</si>
  <si>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</si>
  <si>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</si>
  <si>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</si>
  <si>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</si>
  <si>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</si>
  <si>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</si>
  <si>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</si>
  <si>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</si>
  <si>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</si>
  <si>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</si>
  <si>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</si>
  <si>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</si>
  <si>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</si>
  <si>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</si>
  <si>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</si>
  <si>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</si>
  <si>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</si>
  <si>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</si>
  <si>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</si>
  <si>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</si>
  <si>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</si>
  <si>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</si>
  <si>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</si>
  <si>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</si>
  <si>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</si>
  <si>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</si>
  <si>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</si>
  <si>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</si>
  <si>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</si>
  <si>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</si>
  <si>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</si>
  <si>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</si>
  <si>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</si>
  <si>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</si>
  <si>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</si>
  <si>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</si>
  <si>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</si>
  <si>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</si>
  <si>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</si>
  <si>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</si>
  <si>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</si>
  <si>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</si>
  <si>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</si>
  <si>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</si>
  <si>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</si>
  <si>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</si>
  <si>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</si>
  <si>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</si>
  <si>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</si>
  <si>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</si>
  <si>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</si>
  <si>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</si>
  <si>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</si>
  <si>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</si>
  <si>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</si>
  <si>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</si>
  <si>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</si>
  <si>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</si>
  <si>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</si>
  <si>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</si>
  <si>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</si>
  <si>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</si>
  <si>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</si>
  <si>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</si>
  <si>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</si>
  <si>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</si>
  <si>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</si>
  <si>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</si>
  <si>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</si>
  <si>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</si>
  <si>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</si>
  <si>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</si>
  <si>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</si>
  <si>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</si>
  <si>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</si>
  <si>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</si>
  <si>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</si>
  <si>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</si>
  <si>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</si>
  <si>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</si>
  <si>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</si>
  <si>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</si>
  <si>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</si>
  <si>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</si>
  <si>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</si>
  <si>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</si>
  <si>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</si>
  <si>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</si>
  <si>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</si>
  <si>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</si>
  <si>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</si>
  <si>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</si>
  <si>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</si>
  <si>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</si>
  <si>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</si>
  <si>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</si>
  <si>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</si>
  <si>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</si>
  <si>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</si>
  <si>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</si>
  <si>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</si>
  <si>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</si>
  <si>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</si>
  <si>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</si>
  <si>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</si>
  <si>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</si>
  <si>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</si>
  <si>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</si>
  <si>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</si>
  <si>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</si>
  <si>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</si>
  <si>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</si>
  <si>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</si>
  <si>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</si>
  <si>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</si>
  <si>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</si>
  <si>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</si>
  <si>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</si>
  <si>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</si>
  <si>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</si>
  <si>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</si>
  <si>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</si>
  <si>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</si>
  <si>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</si>
  <si>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</si>
  <si>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</si>
  <si>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</si>
  <si>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</si>
  <si>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</si>
  <si>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</si>
  <si>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</si>
  <si>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</si>
  <si>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</si>
  <si>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</si>
  <si>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</si>
  <si>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</si>
  <si>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</si>
  <si>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</si>
  <si>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</si>
  <si>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</si>
  <si>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</si>
  <si>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</si>
  <si>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</si>
  <si>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</si>
  <si>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</si>
  <si>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</si>
  <si>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</si>
  <si>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</si>
  <si>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</si>
  <si>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</si>
  <si>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</si>
  <si>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</si>
  <si>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</si>
  <si>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</si>
  <si>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</si>
  <si>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</si>
  <si>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</si>
  <si>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</si>
  <si>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</si>
  <si>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</si>
  <si>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</si>
  <si>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</si>
  <si>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</si>
  <si>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</si>
  <si>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</si>
  <si>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</si>
  <si>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</si>
  <si>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</si>
  <si>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</si>
  <si>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</si>
  <si>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</si>
  <si>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</si>
  <si>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</si>
  <si>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</si>
  <si>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</si>
  <si>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</si>
  <si>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</si>
  <si>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</si>
  <si>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</si>
  <si>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</si>
  <si>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</si>
  <si>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</si>
  <si>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</si>
  <si>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</si>
  <si>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</si>
  <si>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</si>
  <si>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</si>
  <si>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</si>
  <si>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</si>
  <si>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</si>
  <si>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</si>
  <si>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</si>
  <si>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</si>
  <si>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</si>
  <si>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</si>
  <si>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</si>
  <si>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</si>
  <si>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</si>
  <si>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</si>
  <si>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</si>
  <si>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</si>
  <si>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</si>
  <si>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</si>
  <si>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</si>
  <si>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</si>
  <si>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</si>
  <si>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</si>
  <si>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</si>
  <si>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</si>
  <si>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</si>
  <si>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</si>
  <si>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</si>
  <si>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</si>
  <si>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</si>
  <si>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</si>
  <si>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</si>
  <si>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</si>
  <si>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</si>
  <si>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</si>
  <si>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</si>
  <si>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</si>
  <si>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</si>
  <si>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</si>
  <si>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</si>
  <si>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</si>
  <si>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</si>
  <si>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</si>
  <si>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</si>
  <si>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</si>
  <si>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</si>
  <si>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</si>
  <si>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</si>
  <si>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</si>
  <si>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</si>
  <si>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</si>
  <si>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</si>
  <si>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</si>
  <si>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</si>
  <si>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</si>
  <si>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</si>
  <si>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</si>
  <si>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</si>
  <si>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</si>
  <si>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</si>
  <si>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</si>
  <si>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</si>
  <si>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</si>
  <si>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</si>
  <si>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</si>
  <si>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</si>
  <si>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</si>
  <si>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</si>
  <si>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</si>
  <si>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</si>
  <si>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</si>
  <si>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</si>
  <si>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</si>
  <si>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</si>
  <si>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</si>
  <si>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</si>
  <si>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</si>
  <si>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</si>
  <si>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</si>
  <si>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</si>
  <si>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</si>
  <si>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</si>
  <si>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</si>
  <si>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</si>
  <si>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</si>
  <si>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</si>
  <si>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</si>
  <si>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</si>
  <si>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</si>
  <si>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</si>
  <si>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</si>
  <si>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</si>
  <si>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</si>
  <si>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</si>
  <si>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</si>
  <si>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</si>
  <si>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</si>
  <si>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</si>
  <si>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</si>
  <si>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</si>
  <si>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</si>
  <si>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</si>
  <si>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</si>
  <si>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</si>
  <si>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</si>
  <si>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</si>
  <si>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</si>
  <si>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</si>
  <si>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</si>
  <si>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</si>
  <si>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</si>
  <si>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</si>
  <si>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</si>
  <si>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</si>
  <si>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</si>
  <si>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</si>
  <si>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</si>
  <si>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</si>
  <si>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</si>
  <si>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</si>
  <si>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</si>
  <si>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</si>
  <si>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</si>
  <si>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</si>
  <si>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</si>
  <si>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</si>
  <si>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</si>
  <si>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</si>
  <si>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</si>
  <si>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</si>
  <si>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</si>
  <si>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</si>
  <si>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</si>
  <si>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</si>
  <si>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</si>
  <si>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</si>
  <si>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</si>
  <si>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</si>
  <si>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</si>
  <si>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</si>
  <si>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</si>
  <si>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</si>
  <si>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</si>
  <si>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</si>
  <si>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</si>
  <si>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</si>
  <si>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</si>
  <si>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</si>
  <si>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</si>
  <si>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</si>
  <si>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</si>
  <si>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</si>
  <si>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</si>
  <si>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</si>
  <si>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</si>
  <si>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</si>
  <si>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</si>
  <si>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MARC VENTURA</t>
  </si>
  <si>
    <t>GOOD JOB</t>
  </si>
  <si>
    <t>EXCELLENT JOB. 1 MINOR "MISTAKE" AND VERY FEW CORRECTIONS OR EDITS. KEEP THIS FOUS!!</t>
  </si>
  <si>
    <t>MATTHIAS RUDOLPH</t>
  </si>
  <si>
    <t>TIM BLAWAT</t>
  </si>
  <si>
    <t>KIM GLOMB</t>
  </si>
  <si>
    <t>STEFAN BOIE</t>
  </si>
  <si>
    <t>JÖRN ASMUSSEN</t>
  </si>
  <si>
    <t>02:34</t>
  </si>
  <si>
    <t>SAME TEAM DIFFERENT PLAYER</t>
  </si>
  <si>
    <t>02:15</t>
  </si>
  <si>
    <t>WRONG SUBS/PLAYER</t>
  </si>
  <si>
    <t>04:06</t>
  </si>
  <si>
    <t>MISSING A DEF REBOUND AFTER A MISSED 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</si>
</sst>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K21" sqref="K21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05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05_042_HAM_CLU_U2025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42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>
        <f ca="1">IF(ISERROR(VLOOKUP($B$2&amp;TEXT($C$2,"000"),GAMES!$A$3:$I$562,8,FALSE)),NOW(),VLOOKUP($B$2&amp;TEXT($C$2,"000"),GAMES!$A$3:$I$562,8,FALSE))</f>
        <v>45958.8125</v>
      </c>
      <c r="C3" s="157"/>
      <c r="D3" s="39">
        <v>609</v>
      </c>
      <c r="E3" s="29"/>
      <c r="F3" s="26">
        <f>SUBTOTAL(3,I17:I106)</f>
        <v>3</v>
      </c>
      <c r="G3" s="27">
        <f>IF(OR(D3="",D3=0),"",F3/D3)</f>
        <v>4.9261083743842365E-3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Veolia Towers Hamburg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HAM</v>
      </c>
      <c r="I4" s="5"/>
      <c r="J4" s="119" t="s">
        <v>714</v>
      </c>
      <c r="K4" s="54" t="s">
        <v>743</v>
      </c>
      <c r="L4" s="5"/>
      <c r="M4" s="167" t="s">
        <v>752</v>
      </c>
      <c r="N4" s="168"/>
      <c r="O4" s="2"/>
      <c r="P4" s="2"/>
      <c r="Q4" s="84" t="s">
        <v>175</v>
      </c>
      <c r="R4" s="94">
        <f>(IF(G3="",0,G3))</f>
        <v>4.9261083743842365E-3</v>
      </c>
      <c r="S4" s="61">
        <f>SUM(I13:M13)</f>
        <v>0</v>
      </c>
      <c r="T4" s="78"/>
      <c r="U4" s="61">
        <f>AC18</f>
        <v>0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1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U-BT Cluj-Napoca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CLU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0.49261083743842365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2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 t="s">
        <v>753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 t="s">
        <v>754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5.9926108374384235</v>
      </c>
      <c r="N7" s="58"/>
      <c r="O7" s="2"/>
      <c r="P7" s="2"/>
      <c r="Q7" s="86">
        <f>SUM(R5,S5,AC16)</f>
        <v>5.9926108374384235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 t="s">
        <v>755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5.9926108374384235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 t="s">
        <v>756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 t="s">
        <v>757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42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 t="s">
        <v>751</v>
      </c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5.5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42</v>
      </c>
      <c r="D17" s="32" t="s">
        <v>758</v>
      </c>
      <c r="E17" s="33">
        <v>2</v>
      </c>
      <c r="F17" s="36">
        <v>26</v>
      </c>
      <c r="G17" s="36">
        <v>44</v>
      </c>
      <c r="H17" s="38" t="str">
        <f>IF(I17="","",$I$14)</f>
        <v>SCOUTING</v>
      </c>
      <c r="I17" s="34">
        <v>239</v>
      </c>
      <c r="J17" s="13" t="s">
        <v>4</v>
      </c>
      <c r="K17" s="13" t="s">
        <v>63</v>
      </c>
      <c r="L17" s="13" t="s">
        <v>6</v>
      </c>
      <c r="M17" s="13" t="s">
        <v>168</v>
      </c>
      <c r="N17" s="35" t="s">
        <v>759</v>
      </c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3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U2025</v>
      </c>
      <c r="C18" s="31">
        <f t="shared" si="3"/>
        <v>42</v>
      </c>
      <c r="D18" s="32" t="s">
        <v>760</v>
      </c>
      <c r="E18" s="33">
        <v>2</v>
      </c>
      <c r="F18" s="36">
        <v>26</v>
      </c>
      <c r="G18" s="36">
        <v>44</v>
      </c>
      <c r="H18" s="38" t="str">
        <f t="shared" ref="H18:H81" si="8">IF(I18="","",$I$14)</f>
        <v>SCOUTING</v>
      </c>
      <c r="I18" s="34">
        <v>247</v>
      </c>
      <c r="J18" s="13" t="s">
        <v>4</v>
      </c>
      <c r="K18" s="13" t="s">
        <v>63</v>
      </c>
      <c r="L18" s="13" t="s">
        <v>48</v>
      </c>
      <c r="M18" s="13" t="s">
        <v>78</v>
      </c>
      <c r="N18" s="35" t="s">
        <v>761</v>
      </c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>U2025</v>
      </c>
      <c r="C19" s="31">
        <f t="shared" si="3"/>
        <v>42</v>
      </c>
      <c r="D19" s="32" t="s">
        <v>762</v>
      </c>
      <c r="E19" s="33">
        <v>3</v>
      </c>
      <c r="F19" s="36">
        <v>43</v>
      </c>
      <c r="G19" s="36">
        <v>61</v>
      </c>
      <c r="H19" s="38" t="str">
        <f t="shared" si="8"/>
        <v>SCOUTING</v>
      </c>
      <c r="I19" s="34">
        <v>396</v>
      </c>
      <c r="J19" s="13" t="s">
        <v>4</v>
      </c>
      <c r="K19" s="13" t="s">
        <v>63</v>
      </c>
      <c r="L19" s="13" t="s">
        <v>7</v>
      </c>
      <c r="M19" s="13" t="s">
        <v>168</v>
      </c>
      <c r="N19" s="35" t="s">
        <v>763</v>
      </c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2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1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REPORT_U2025042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"U2025042"</v>
      </c>
      <c r="F3" s="45" t="str">
        <f t="shared" ref="F3:F16" si="0">""""&amp;B3&amp;"""" &amp; " : " &amp;C3&amp;","</f>
        <v>"name" : "U2025042",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"U042"</v>
      </c>
      <c r="F4" s="45" t="str">
        <f t="shared" si="0"/>
        <v>"cod" : "U042",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042</v>
      </c>
      <c r="F6" s="45" t="str">
        <f t="shared" si="0"/>
        <v>"number" : 042,</v>
      </c>
    </row>
    <row r="7" spans="2:6" x14ac:dyDescent="0.2">
      <c r="B7" s="43" t="s">
        <v>116</v>
      </c>
      <c r="C7" s="43" t="str">
        <f ca="1">""""&amp;TEXT('SCOUT &amp; LOGISTICS'!B3,"dd/mm/aaaa")&amp;""""</f>
        <v>"28/10/2025"</v>
      </c>
      <c r="F7" s="45" t="str">
        <f t="shared" ca="1" si="0"/>
        <v>"date" : "28/10/2025",</v>
      </c>
    </row>
    <row r="8" spans="2:6" x14ac:dyDescent="0.2">
      <c r="B8" s="43" t="s">
        <v>125</v>
      </c>
      <c r="C8" s="43" t="str">
        <f>""""&amp;'SCOUT &amp; LOGISTICS'!D4 &amp;""""</f>
        <v>"Veolia Towers Hamburg"</v>
      </c>
      <c r="F8" s="45" t="str">
        <f t="shared" si="0"/>
        <v>"home_team" : "Veolia Towers Hamburg",</v>
      </c>
    </row>
    <row r="9" spans="2:6" x14ac:dyDescent="0.2">
      <c r="B9" s="43" t="s">
        <v>126</v>
      </c>
      <c r="C9" s="43" t="str">
        <f>""""&amp;'SCOUT &amp; LOGISTICS'!D5&amp;""""</f>
        <v>"U-BT Cluj-Napoca"</v>
      </c>
      <c r="F9" s="45" t="str">
        <f t="shared" si="0"/>
        <v>"away_team" : "U-BT Cluj-Napoca",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"MATTHIAS RUDOLPH"</v>
      </c>
      <c r="F10" s="45" t="str">
        <f t="shared" si="0"/>
        <v>"Data_entry" : "MATTHIAS RUDOLPH",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"TIM BLAWAT"</v>
      </c>
      <c r="F11" s="45" t="str">
        <f t="shared" si="0"/>
        <v>"Caller_1" : "TIM BLAWAT",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"KIM GLOMB"</v>
      </c>
      <c r="F12" s="45" t="str">
        <f t="shared" si="0"/>
        <v>"Caller_2" : "KIM GLOMB",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"STEFAN BOIE"</v>
      </c>
      <c r="F13" s="45" t="str">
        <f t="shared" si="0"/>
        <v>"Timerkeeper" : "STEFAN BOIE",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"JÖRN ASMUSSEN"</v>
      </c>
      <c r="F14" s="45" t="str">
        <f t="shared" si="0"/>
        <v>"Shotclock" : "JÖRN ASMUSSEN",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"MARC VENTURA"</v>
      </c>
      <c r="F16" s="45" t="str">
        <f t="shared" si="0"/>
        <v>"Live_Game_Manager" : "MARC VENTURA",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609</v>
      </c>
      <c r="F25" s="45" t="str">
        <f t="shared" ref="F25:F48" si="1">""""&amp;C25&amp;"""" &amp; " : " &amp;D25&amp;","</f>
        <v>"total_actions" : 609,</v>
      </c>
    </row>
    <row r="26" spans="2:6" x14ac:dyDescent="0.2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">
      <c r="C27" s="43" t="s">
        <v>133</v>
      </c>
      <c r="D27" s="43" t="str">
        <f>""""&amp;IF(OR(D25="",D25=0),"",TEXT(D26/D25,"0,0%"))&amp;""""</f>
        <v>"0,5%"</v>
      </c>
      <c r="F27" s="45" t="str">
        <f t="shared" si="1"/>
        <v>"%_corrections" : "0,5%",</v>
      </c>
    </row>
    <row r="28" spans="2:6" x14ac:dyDescent="0.2">
      <c r="C28" s="43" t="s">
        <v>125</v>
      </c>
      <c r="D28" s="43">
        <f>IF('SCOUT &amp; LOGISTICS'!AA17="","",'SCOUT &amp; LOGISTICS'!AA17)</f>
        <v>3</v>
      </c>
      <c r="F28" s="45" t="str">
        <f t="shared" si="1"/>
        <v>"home_team" : 3,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"EXCELLENT JOB. 1 MINOR "MISTAKE" AND VERY FEW CORRECTIONS OR EDITS. KEEP THIS FOUS!!"</v>
      </c>
      <c r="F51" s="45" t="str">
        <f>""""&amp;B51&amp;"""" &amp; " : " &amp;C51&amp;","</f>
        <v>"comments" : "EXCELLENT JOB. 1 MINOR "MISTAKE" AND VERY FEW CORRECTIONS OR EDITS. KEEP THIS FOUS!!",</v>
      </c>
    </row>
    <row r="52" spans="2:6" x14ac:dyDescent="0.2">
      <c r="B52" s="43" t="s">
        <v>153</v>
      </c>
      <c r="C52" s="43" t="str">
        <f>TEXT('SCOUT &amp; LOGISTICS'!F1,"0,0")</f>
        <v>05_042_HAM_CLU_U2025</v>
      </c>
      <c r="F52" s="45" t="str">
        <f>""""&amp;B52&amp;"""" &amp; " : " &amp;C52</f>
        <v>"result" : 05_042_HAM_CLU_U2025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4">
      <c r="A3" s="48"/>
      <c r="B3" s="208" t="str">
        <f>"GAME: "&amp; LEFT('SCOUT &amp; LOGISTICS'!B2,1) &amp; TEXT('SCOUT &amp; LOGISTICS'!C2,"000") &amp; " " &amp; IF(LEFT('SCOUT &amp; LOGISTICS'!B2,1)="U","(EUROCUP)","(EUROLEAGUE)")</f>
        <v>GAME: U042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4">
      <c r="A4" s="48"/>
      <c r="B4" s="194" t="str">
        <f ca="1">"DATE: " &amp; TEXT('SCOUT &amp; LOGISTICS'!B3,"dd/mm")</f>
        <v>DATE: 28/10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4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4">
      <c r="A6" s="48"/>
      <c r="B6" s="212" t="str">
        <f>PROPER('SCOUT &amp; LOGISTICS'!D4)</f>
        <v>Veolia Towers Hamburg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U-Bt Cluj-Napoca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4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4">
      <c r="A8" s="48"/>
      <c r="B8" s="206" t="str">
        <f>IF('SCOUT &amp; LOGISTICS'!D6="","",'SCOUT &amp; LOGISTICS'!D6)</f>
        <v>MATTHIAS RUDOLPH</v>
      </c>
      <c r="C8" s="206"/>
      <c r="D8" s="206"/>
      <c r="E8" s="206"/>
      <c r="F8" s="206"/>
      <c r="G8" s="206" t="str">
        <f>IF('SCOUT &amp; LOGISTICS'!D7="","",'SCOUT &amp; LOGISTICS'!D7)</f>
        <v>TIM BLAWAT</v>
      </c>
      <c r="H8" s="206"/>
      <c r="I8" s="206"/>
      <c r="J8" s="206"/>
      <c r="K8" s="206"/>
      <c r="L8" s="206" t="str">
        <f>IF('SCOUT &amp; LOGISTICS'!D8="","",'SCOUT &amp; LOGISTICS'!D8)</f>
        <v>KIM GLOMB</v>
      </c>
      <c r="M8" s="206"/>
      <c r="N8" s="206"/>
      <c r="O8" s="206"/>
      <c r="P8" s="206"/>
      <c r="Q8" s="206" t="str">
        <f>IF('SCOUT &amp; LOGISTICS'!D9="","",'SCOUT &amp; LOGISTICS'!D9)</f>
        <v>STEFAN BOIE</v>
      </c>
      <c r="R8" s="206"/>
      <c r="S8" s="206"/>
      <c r="T8" s="206"/>
      <c r="U8" s="206"/>
      <c r="V8" s="206" t="str">
        <f>IF('SCOUT &amp; LOGISTICS'!D10="","",'SCOUT &amp; LOGISTICS'!D10)</f>
        <v>JÖRN ASMUSSEN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7.25" thickBot="1" x14ac:dyDescent="0.4">
      <c r="A9" s="48"/>
      <c r="B9" s="200" t="str">
        <f>IF(OR('SCOUT &amp; LOGISTICS'!D14="",'SCOUT &amp; LOGISTICS'!D14=0),"",'SCOUT &amp; LOGISTICS'!B14 &amp; ": " &amp; 'SCOUT &amp; LOGISTICS'!D14) &amp; "     "</f>
        <v xml:space="preserve">L G M: : MARC VENTURA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7.25" thickBot="1" x14ac:dyDescent="0.4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4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7.25" thickBot="1" x14ac:dyDescent="0.4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4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4">
        <f>'SCOUT &amp; LOGISTICS'!D3</f>
        <v>609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4.9261083743842365E-3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7.25" thickBot="1" x14ac:dyDescent="0.4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7">
        <f>IF('SCOUT &amp; LOGISTICS'!AA17="","",'SCOUT &amp; LOGISTICS'!AA17)</f>
        <v>3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7.25" thickBot="1" x14ac:dyDescent="0.4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7">
        <f>'SCOUT &amp; LOGISTICS'!AC25</f>
        <v>1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7.25" thickBot="1" x14ac:dyDescent="0.4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4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4">
      <c r="A32" s="48"/>
      <c r="B32" s="195" t="str">
        <f>IF('SCOUT &amp; LOGISTICS'!M4="","",'SCOUT &amp; LOGISTICS'!M4)</f>
        <v>EXCELLENT JOB. 1 MINOR "MISTAKE" AND VERY FEW CORRECTIONS OR EDITS. KEEP THIS FOUS!!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4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4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196">
        <f>'SCOUT &amp; LOGISTICS'!M7</f>
        <v>5.9926108374384235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C760929-A69B-433D-8815-189AFA95627B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Marc Ventura</cp:lastModifiedBy>
  <cp:lastPrinted>2025-10-28T17:34:01Z</cp:lastPrinted>
  <dcterms:created xsi:type="dcterms:W3CDTF">2023-09-19T19:50:35Z</dcterms:created>
  <dcterms:modified xsi:type="dcterms:W3CDTF">2025-10-29T14:57:21Z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