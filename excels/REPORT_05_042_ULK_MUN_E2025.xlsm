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5" documentId="8_{96962750-1631-44D6-94B0-1949816CD100}" xr6:coauthVersionLast="47" xr6:coauthVersionMax="47" xr10:uidLastSave="{C760D42A-8462-4DE6-AFD8-05FE8AD00283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<sst xmlns="http://schemas.openxmlformats.org/spreadsheetml/2006/main" count="3262" uniqueCount="760">
  <si>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</si>
  <si>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</si>
  <si>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</si>
  <si>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</si>
  <si>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</si>
  <si>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</si>
  <si>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</si>
  <si>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</si>
  <si>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</si>
  <si>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</si>
  <si>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</si>
  <si>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</si>
  <si>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</si>
  <si>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</si>
  <si>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</si>
  <si>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</si>
  <si>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</si>
  <si>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</si>
  <si>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</si>
  <si>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</si>
  <si>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</si>
  <si>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</si>
  <si>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</si>
  <si>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</si>
  <si>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</si>
  <si>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</si>
  <si>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</si>
  <si>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</si>
  <si>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</si>
  <si>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</si>
  <si>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</si>
  <si>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</si>
  <si>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</si>
  <si>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</si>
  <si>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</si>
  <si>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</si>
  <si>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</si>
  <si>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</si>
  <si>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</si>
  <si>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</si>
  <si>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</si>
  <si>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</si>
  <si>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</si>
  <si>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</si>
  <si>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</si>
  <si>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</si>
  <si>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</si>
  <si>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</si>
  <si>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</si>
  <si>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</si>
  <si>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</si>
  <si>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</si>
  <si>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</si>
  <si>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</si>
  <si>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</si>
  <si>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</si>
  <si>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</si>
  <si>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</si>
  <si>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</si>
  <si>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</si>
  <si>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</si>
  <si>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</si>
  <si>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</si>
  <si>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</si>
  <si>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</si>
  <si>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</si>
  <si>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</si>
  <si>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</si>
  <si>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</si>
  <si>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</si>
  <si>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</si>
  <si>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</si>
  <si>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</si>
  <si>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</si>
  <si>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</si>
  <si>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</si>
  <si>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</si>
  <si>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</si>
  <si>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</si>
  <si>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</si>
  <si>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</si>
  <si>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</si>
  <si>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</si>
  <si>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</si>
  <si>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</si>
  <si>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</si>
  <si>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</si>
  <si>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</si>
  <si>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</si>
  <si>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</si>
  <si>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</si>
  <si>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</si>
  <si>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</si>
  <si>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</si>
  <si>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</si>
  <si>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</si>
  <si>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</si>
  <si>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</si>
  <si>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</si>
  <si>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</si>
  <si>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</si>
  <si>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</si>
  <si>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</si>
  <si>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</si>
  <si>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</si>
  <si>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</si>
  <si>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</si>
  <si>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</si>
  <si>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</si>
  <si>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</si>
  <si>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</si>
  <si>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</si>
  <si>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</si>
  <si>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</si>
  <si>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</si>
  <si>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</si>
  <si>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</si>
  <si>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</si>
  <si>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</si>
  <si>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</si>
  <si>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</si>
  <si>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</si>
  <si>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</si>
  <si>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</si>
  <si>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</si>
  <si>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</si>
  <si>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</si>
  <si>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</si>
  <si>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</si>
  <si>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</si>
  <si>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</si>
  <si>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</si>
  <si>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</si>
  <si>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</si>
  <si>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</si>
  <si>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</si>
  <si>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</si>
  <si>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</si>
  <si>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</si>
  <si>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</si>
  <si>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</si>
  <si>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</si>
  <si>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</si>
  <si>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</si>
  <si>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</si>
  <si>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</si>
  <si>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</si>
  <si>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</si>
  <si>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</si>
  <si>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</si>
  <si>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</si>
  <si>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</si>
  <si>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</si>
  <si>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</si>
  <si>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</si>
  <si>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</si>
  <si>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</si>
  <si>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</si>
  <si>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</si>
  <si>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</si>
  <si>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</si>
  <si>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</si>
  <si>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</si>
  <si>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</si>
  <si>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</si>
  <si>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</si>
  <si>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</si>
  <si>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</si>
  <si>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</si>
  <si>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</si>
  <si>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</si>
  <si>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</si>
  <si>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</si>
  <si>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</si>
  <si>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</si>
  <si>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</si>
  <si>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</si>
  <si>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</si>
  <si>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</si>
  <si>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</si>
  <si>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</si>
  <si>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</si>
  <si>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</si>
  <si>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</si>
  <si>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</si>
  <si>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</si>
  <si>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</si>
  <si>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</si>
  <si>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</si>
  <si>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</si>
  <si>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</si>
  <si>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</si>
  <si>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</si>
  <si>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</si>
  <si>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</si>
  <si>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</si>
  <si>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</si>
  <si>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</si>
  <si>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</si>
  <si>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</si>
  <si>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</si>
  <si>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</si>
  <si>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</si>
  <si>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</si>
  <si>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</si>
  <si>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</si>
  <si>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</si>
  <si>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</si>
  <si>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</si>
  <si>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</si>
  <si>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</si>
  <si>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</si>
  <si>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</si>
  <si>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</si>
  <si>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</si>
  <si>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</si>
  <si>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</si>
  <si>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</si>
  <si>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</si>
  <si>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</si>
  <si>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</si>
  <si>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</si>
  <si>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</si>
  <si>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</si>
  <si>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</si>
  <si>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</si>
  <si>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</si>
  <si>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</si>
  <si>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</si>
  <si>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</si>
  <si>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</si>
  <si>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</si>
  <si>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</si>
  <si>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</si>
  <si>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</si>
  <si>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</si>
  <si>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</si>
  <si>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</si>
  <si>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</si>
  <si>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</si>
  <si>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</si>
  <si>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</si>
  <si>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</si>
  <si>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</si>
  <si>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</si>
  <si>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</si>
  <si>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</si>
  <si>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</si>
  <si>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</si>
  <si>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</si>
  <si>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</si>
  <si>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</si>
  <si>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</si>
  <si>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</si>
  <si>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</si>
  <si>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</si>
  <si>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</si>
  <si>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</si>
  <si>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</si>
  <si>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</si>
  <si>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</si>
  <si>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</si>
  <si>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</si>
  <si>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</si>
  <si>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</si>
  <si>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</si>
  <si>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</si>
  <si>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</si>
  <si>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</si>
  <si>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</si>
  <si>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</si>
  <si>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</si>
  <si>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</si>
  <si>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</si>
  <si>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</si>
  <si>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</si>
  <si>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</si>
  <si>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</si>
  <si>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</si>
  <si>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</si>
  <si>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</si>
  <si>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</si>
  <si>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</si>
  <si>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</si>
  <si>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</si>
  <si>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</si>
  <si>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</si>
  <si>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</si>
  <si>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</si>
  <si>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</si>
  <si>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</si>
  <si>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</si>
  <si>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</si>
  <si>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</si>
  <si>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</si>
  <si>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</si>
  <si>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</si>
  <si>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</si>
  <si>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</si>
  <si>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</si>
  <si>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</si>
  <si>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</si>
  <si>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</si>
  <si>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</si>
  <si>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</si>
  <si>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</si>
  <si>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</si>
  <si>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</si>
  <si>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</si>
  <si>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</si>
  <si>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</si>
  <si>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</si>
  <si>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</si>
  <si>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</si>
  <si>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</si>
  <si>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</si>
  <si>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</si>
  <si>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</si>
  <si>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</si>
  <si>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</si>
  <si>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</si>
  <si>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</si>
  <si>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</si>
  <si>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</si>
  <si>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</si>
  <si>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</si>
  <si>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</si>
  <si>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</si>
  <si>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</si>
  <si>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</si>
  <si>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</si>
  <si>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</si>
  <si>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</si>
  <si>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</si>
  <si>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</si>
  <si>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</si>
  <si>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</si>
  <si>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</si>
  <si>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</si>
  <si>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</si>
  <si>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</si>
  <si>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</si>
  <si>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</si>
  <si>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</si>
  <si>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</si>
  <si>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</si>
  <si>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</si>
  <si>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</si>
  <si>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</si>
  <si>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</si>
  <si>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</si>
  <si>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</si>
  <si>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</si>
  <si>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</si>
  <si>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</si>
  <si>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</si>
  <si>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</si>
  <si>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</si>
  <si>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</si>
  <si>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</si>
  <si>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</si>
  <si>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</si>
  <si>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</si>
  <si>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</si>
  <si>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</si>
  <si>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</si>
  <si>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</si>
  <si>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</si>
  <si>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</si>
  <si>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</si>
  <si>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</si>
  <si>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</si>
  <si>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</si>
  <si>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</si>
  <si>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</si>
  <si>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</si>
  <si>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</si>
  <si>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</si>
  <si>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</si>
  <si>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</si>
  <si>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</si>
  <si>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</si>
  <si>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</si>
  <si>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</si>
  <si>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</si>
  <si>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</si>
  <si>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</si>
  <si>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</si>
  <si>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</si>
  <si>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</si>
  <si>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</si>
  <si>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</si>
  <si>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</si>
  <si>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</si>
  <si>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</si>
  <si>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</si>
  <si>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</si>
  <si>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</si>
  <si>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</si>
  <si>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</si>
  <si>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</si>
  <si>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</si>
  <si>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</si>
  <si>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</si>
  <si>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</si>
  <si>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</si>
  <si>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</si>
  <si>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</si>
  <si>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</si>
  <si>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</si>
  <si>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</si>
  <si>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</si>
  <si>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</si>
  <si>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</si>
  <si>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</si>
  <si>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</si>
  <si>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</si>
  <si>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</si>
  <si>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</si>
  <si>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</si>
  <si>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</si>
  <si>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</si>
  <si>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</si>
  <si>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</si>
  <si>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</si>
  <si>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</si>
  <si>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</si>
  <si>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</si>
  <si>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</si>
  <si>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</si>
  <si>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</si>
  <si>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</si>
  <si>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</si>
  <si>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</si>
  <si>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</si>
  <si>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</si>
  <si>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</si>
  <si>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</si>
  <si>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</si>
  <si>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</si>
  <si>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</si>
  <si>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</si>
  <si>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</si>
  <si>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</si>
  <si>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</si>
  <si>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</si>
  <si>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</si>
  <si>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</si>
  <si>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</si>
  <si>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</si>
  <si>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</si>
  <si>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</si>
  <si>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</si>
  <si>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</si>
  <si>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</si>
  <si>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</si>
  <si>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</si>
  <si>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</si>
  <si>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</si>
  <si>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</si>
  <si>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</si>
  <si>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</si>
  <si>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</si>
  <si>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</si>
  <si>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</si>
  <si>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</si>
  <si>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</si>
  <si>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</si>
  <si>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</si>
  <si>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</si>
  <si>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</si>
  <si>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</si>
  <si>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</si>
  <si>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</si>
  <si>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</si>
  <si>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</si>
  <si>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</si>
  <si>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</si>
  <si>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</si>
  <si>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</si>
  <si>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</si>
  <si>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</si>
  <si>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</si>
  <si>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</si>
  <si>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</si>
  <si>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</si>
  <si>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</si>
  <si>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</si>
  <si>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</si>
  <si>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</si>
  <si>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</si>
  <si>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</si>
  <si>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</si>
  <si>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</si>
  <si>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</si>
  <si>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</si>
  <si>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</si>
  <si>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</si>
  <si>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</si>
  <si>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</si>
  <si>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</si>
  <si>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</si>
  <si>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</si>
  <si>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</si>
  <si>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</si>
  <si>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</si>
  <si>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</si>
  <si>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</si>
  <si>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</si>
  <si>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</si>
  <si>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</si>
  <si>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</si>
  <si>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</si>
  <si>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</si>
  <si>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</si>
  <si>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</si>
  <si>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</si>
  <si>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</si>
  <si>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</si>
  <si>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</si>
  <si>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</si>
  <si>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</si>
  <si>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</si>
  <si>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</si>
  <si>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</si>
  <si>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</si>
  <si>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</si>
  <si>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</si>
  <si>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</si>
  <si>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</si>
  <si>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</si>
  <si>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</si>
  <si>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</si>
  <si>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</si>
  <si>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</si>
  <si>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</si>
  <si>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</si>
  <si>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</si>
  <si>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</si>
  <si>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</si>
  <si>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</si>
  <si>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</si>
  <si>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</si>
  <si>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</si>
  <si>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</si>
  <si>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</si>
  <si>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</si>
  <si>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</si>
  <si>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</si>
  <si>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</si>
  <si>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</si>
  <si>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</si>
  <si>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</si>
  <si>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</si>
  <si>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</si>
  <si>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</si>
  <si>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</si>
  <si>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</si>
  <si>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</si>
  <si>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</si>
  <si>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</si>
  <si>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</si>
  <si>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</si>
  <si>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</si>
  <si>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</si>
  <si>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</si>
  <si>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</si>
  <si>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</si>
  <si>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</si>
  <si>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</si>
  <si>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</si>
  <si>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</si>
  <si>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</si>
  <si>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</si>
  <si>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</si>
  <si>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</si>
  <si>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</si>
  <si>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</si>
  <si>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</si>
  <si>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</si>
  <si>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</si>
  <si>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</si>
  <si>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</si>
  <si>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</si>
  <si>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</si>
  <si>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</si>
  <si>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</si>
  <si>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</si>
  <si>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</si>
  <si>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</si>
  <si>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</si>
  <si>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</si>
  <si>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</si>
  <si>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</si>
  <si>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</si>
  <si>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</si>
  <si>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</si>
  <si>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</si>
  <si>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</si>
  <si>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</si>
  <si>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</si>
  <si>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</si>
  <si>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</si>
  <si>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</si>
  <si>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</si>
  <si>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</si>
  <si>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</si>
  <si>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</si>
  <si>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</si>
  <si>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</si>
  <si>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</si>
  <si>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</si>
  <si>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</si>
  <si>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</si>
  <si>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</si>
  <si>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</si>
  <si>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</si>
  <si>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</si>
  <si>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</si>
  <si>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</si>
  <si>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</si>
  <si>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</si>
  <si>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</si>
  <si>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</si>
  <si>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</si>
  <si>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</si>
  <si>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</si>
  <si>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</si>
  <si>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</si>
  <si>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</si>
  <si>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</si>
  <si>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</si>
  <si>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</si>
  <si>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</si>
  <si>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</si>
  <si>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</si>
  <si>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</si>
  <si>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</si>
  <si>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</si>
  <si>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</si>
  <si>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</si>
  <si>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</si>
  <si>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</si>
  <si>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</si>
  <si>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</si>
  <si>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</si>
  <si>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</si>
  <si>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</si>
  <si>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</si>
  <si>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</si>
  <si>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</si>
  <si>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</si>
  <si>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</si>
  <si>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</si>
  <si>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</si>
  <si>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</si>
  <si>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</si>
  <si>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</si>
  <si>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</si>
  <si>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</si>
  <si>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</si>
  <si>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</si>
  <si>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</si>
  <si>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</si>
  <si>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</si>
  <si>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</si>
  <si>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</si>
  <si>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</si>
  <si>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</si>
  <si>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</si>
  <si>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</si>
  <si>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</si>
  <si>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</si>
  <si>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</si>
  <si>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</si>
  <si>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</si>
  <si>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</si>
  <si>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</si>
  <si>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</si>
  <si>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</si>
  <si>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</si>
  <si>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</si>
  <si>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</si>
  <si>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</si>
  <si>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</si>
  <si>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</si>
  <si>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</si>
  <si>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</si>
  <si>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</si>
  <si>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</si>
  <si>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</si>
  <si>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</si>
  <si>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</si>
  <si>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</si>
  <si>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</si>
  <si>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</si>
  <si>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</si>
  <si>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</si>
  <si>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</si>
  <si>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</si>
  <si>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</si>
  <si>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</si>
  <si>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</si>
  <si>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</si>
  <si>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</si>
  <si>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</si>
  <si>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</si>
  <si>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</si>
  <si>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</si>
  <si>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</si>
  <si>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</si>
  <si>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</si>
  <si>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</si>
  <si>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</si>
  <si>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</si>
  <si>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</si>
  <si>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</si>
  <si>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</si>
  <si>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</si>
  <si>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</si>
  <si>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</si>
  <si>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</si>
  <si>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</si>
  <si>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</si>
  <si>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</si>
  <si>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</si>
  <si>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</si>
  <si>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</si>
  <si>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</si>
  <si>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</si>
  <si>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</si>
  <si>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</si>
  <si>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</si>
  <si>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</si>
  <si>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</si>
  <si>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</si>
  <si>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</si>
  <si>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</si>
  <si>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</si>
  <si>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</si>
  <si>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</si>
  <si>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</si>
  <si>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</si>
  <si>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</si>
  <si>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</si>
  <si>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</si>
  <si>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</si>
  <si>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</si>
  <si>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</si>
  <si>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ENDER OZBEK</t>
  </si>
  <si>
    <t>ORHAN YENIHAYAT</t>
  </si>
  <si>
    <t>GIZEM UNSAL</t>
  </si>
  <si>
    <t>DINCER ADILLER</t>
  </si>
  <si>
    <t>ELOI VERGÉ</t>
  </si>
  <si>
    <t>C:\Users\eloi.verge\OneDrive - EUROLEAGUE\Desktop\GAME REPORTS\25-26</t>
  </si>
  <si>
    <t>01:23</t>
  </si>
  <si>
    <t>It was a Def REB</t>
  </si>
  <si>
    <t>And the related STL</t>
  </si>
  <si>
    <t>07:13</t>
  </si>
  <si>
    <t>Really good job as always!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</si>
</sst>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05_042_ULK_MUN_E2025</v>
      </c>
      <c r="G1" s="5"/>
      <c r="H1" s="5"/>
      <c r="I1" s="5"/>
      <c r="J1" s="8" t="s">
        <v>707</v>
      </c>
      <c r="K1" s="121" t="s">
        <v>754</v>
      </c>
      <c r="L1" s="121"/>
      <c r="M1" s="122" t="s">
        <v>239</v>
      </c>
      <c r="N1" s="121" t="s">
        <v>754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42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45946.864583333336</v>
      </c>
      <c r="C3" s="178"/>
      <c r="D3" s="39">
        <v>612</v>
      </c>
      <c r="E3" s="29"/>
      <c r="F3" s="26">
        <f>SUBTOTAL(3,I17:I106)</f>
        <v>3</v>
      </c>
      <c r="G3" s="27">
        <f>IF(OR(D3="",D3=0),"",F3/D3)</f>
        <v>4.9019607843137254E-3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Fenerbahce Beko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742</v>
      </c>
      <c r="L4" s="5"/>
      <c r="M4" s="185" t="s">
        <v>759</v>
      </c>
      <c r="N4" s="186"/>
      <c r="O4" s="2"/>
      <c r="P4" s="2"/>
      <c r="Q4" s="84" t="s">
        <v>175</v>
      </c>
      <c r="R4" s="94">
        <f>(IF(G3="",0,G3))</f>
        <v>4.9019607843137254E-3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1</v>
      </c>
      <c r="Y4" s="61">
        <f>AC25</f>
        <v>1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Bayern Munich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0.49019607843137253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1</v>
      </c>
      <c r="Y5" s="70">
        <f t="shared" si="1"/>
        <v>2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735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749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5.9901960784313726</v>
      </c>
      <c r="N7" s="58"/>
      <c r="O7" s="2"/>
      <c r="P7" s="2"/>
      <c r="Q7" s="86">
        <f>SUM(R5,S5,AC16)</f>
        <v>5.9901960784313726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750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5.9901960784313726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751</v>
      </c>
      <c r="E9" s="159"/>
      <c r="F9" s="159"/>
      <c r="G9" s="16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752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740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42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753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42</v>
      </c>
      <c r="D17" s="32" t="s">
        <v>755</v>
      </c>
      <c r="E17" s="33">
        <v>1</v>
      </c>
      <c r="F17" s="36">
        <v>14</v>
      </c>
      <c r="G17" s="36">
        <v>15</v>
      </c>
      <c r="H17" s="38" t="str">
        <f>IF(I17="","",$I$14)</f>
        <v>SCOUTING</v>
      </c>
      <c r="I17" s="34">
        <v>138</v>
      </c>
      <c r="J17" s="13" t="s">
        <v>4</v>
      </c>
      <c r="K17" s="13" t="s">
        <v>63</v>
      </c>
      <c r="L17" s="13" t="s">
        <v>48</v>
      </c>
      <c r="M17" s="13" t="s">
        <v>28</v>
      </c>
      <c r="N17" s="35" t="s">
        <v>756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42</v>
      </c>
      <c r="D18" s="32" t="s">
        <v>755</v>
      </c>
      <c r="E18" s="33">
        <v>1</v>
      </c>
      <c r="F18" s="36">
        <v>14</v>
      </c>
      <c r="G18" s="36">
        <v>15</v>
      </c>
      <c r="H18" s="38" t="str">
        <f t="shared" ref="H18:H81" si="8">IF(I18="","",$I$14)</f>
        <v>SCOUTING</v>
      </c>
      <c r="I18" s="34">
        <v>138</v>
      </c>
      <c r="J18" s="13" t="s">
        <v>4</v>
      </c>
      <c r="K18" s="13" t="s">
        <v>62</v>
      </c>
      <c r="L18" s="13" t="s">
        <v>7</v>
      </c>
      <c r="M18" s="13" t="s">
        <v>9</v>
      </c>
      <c r="N18" s="35" t="s">
        <v>757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42</v>
      </c>
      <c r="D19" s="32" t="s">
        <v>758</v>
      </c>
      <c r="E19" s="33">
        <v>4</v>
      </c>
      <c r="F19" s="36">
        <v>70</v>
      </c>
      <c r="G19" s="36">
        <v>46</v>
      </c>
      <c r="H19" s="38" t="str">
        <f t="shared" si="8"/>
        <v>SCOUTING</v>
      </c>
      <c r="I19" s="34">
        <v>509</v>
      </c>
      <c r="J19" s="13" t="s">
        <v>4</v>
      </c>
      <c r="K19" s="13" t="s">
        <v>62</v>
      </c>
      <c r="L19" s="13" t="s">
        <v>75</v>
      </c>
      <c r="M19" s="13" t="s">
        <v>26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REPORT_E2025042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"E2025042"</v>
      </c>
      <c r="F3" s="45" t="str">
        <f t="shared" ref="F3:F16" si="0">""""&amp;B3&amp;"""" &amp; " : " &amp;C3&amp;","</f>
        <v>"name" : "E2025042",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"E042"</v>
      </c>
      <c r="F4" s="45" t="str">
        <f t="shared" si="0"/>
        <v>"cod" : "E042",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042</v>
      </c>
      <c r="F6" s="45" t="str">
        <f t="shared" si="0"/>
        <v>"number" : 042,</v>
      </c>
    </row>
    <row r="7" spans="2:6" x14ac:dyDescent="0.25">
      <c r="B7" s="43" t="s">
        <v>116</v>
      </c>
      <c r="C7" s="43" t="str">
        <f ca="1">""""&amp;TEXT('SCOUT &amp; LOGISTICS'!B3,"dd/mm/aaaa")&amp;""""</f>
        <v>"16/10/2025"</v>
      </c>
      <c r="F7" s="45" t="str">
        <f t="shared" ca="1" si="0"/>
        <v>"date" : "16/10/2025",</v>
      </c>
    </row>
    <row r="8" spans="2:6" x14ac:dyDescent="0.25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5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"ENDER OZBEK"</v>
      </c>
      <c r="F11" s="45" t="str">
        <f t="shared" si="0"/>
        <v>"Caller_1" : "ENDER OZBEK",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"GIZEM UNSAL"</v>
      </c>
      <c r="F13" s="45" t="str">
        <f t="shared" si="0"/>
        <v>"Timerkeeper" : "GIZEM UNSAL",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"DINCER ADILLER"</v>
      </c>
      <c r="F14" s="45" t="str">
        <f t="shared" si="0"/>
        <v>"Shotclock" : "DINCER ADILLER",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612</v>
      </c>
      <c r="F25" s="45" t="str">
        <f t="shared" ref="F25:F48" si="1">""""&amp;C25&amp;"""" &amp; " : " &amp;D25&amp;","</f>
        <v>"total_actions" : 612,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"0,5%"</v>
      </c>
      <c r="F27" s="45" t="str">
        <f t="shared" si="1"/>
        <v>"%_corrections" : "0,5%",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"Really good job as always! Keep it up!"</v>
      </c>
      <c r="F51" s="45" t="str">
        <f>""""&amp;B51&amp;"""" &amp; " : " &amp;C51&amp;","</f>
        <v>"comments" : "Really good job as always! Keep it up!",</v>
      </c>
    </row>
    <row r="52" spans="2:6" x14ac:dyDescent="0.25">
      <c r="B52" s="43" t="s">
        <v>153</v>
      </c>
      <c r="C52" s="43" t="str">
        <f>TEXT('SCOUT &amp; LOGISTICS'!F1,"0,0")</f>
        <v>05_042_ULK_MUN_E2025</v>
      </c>
      <c r="F52" s="45" t="str">
        <f>""""&amp;B52&amp;"""" &amp; " : " &amp;C52</f>
        <v>"result" : 05_042_ULK_MUN_E2025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E042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16/10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Fenerbahce Beko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Bayern Munich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CAN KUTLUATA</v>
      </c>
      <c r="C8" s="201"/>
      <c r="D8" s="201"/>
      <c r="E8" s="201"/>
      <c r="F8" s="201"/>
      <c r="G8" s="201" t="str">
        <f>IF('SCOUT &amp; LOGISTICS'!D7="","",'SCOUT &amp; LOGISTICS'!D7)</f>
        <v>ENDER OZBEK</v>
      </c>
      <c r="H8" s="201"/>
      <c r="I8" s="201"/>
      <c r="J8" s="201"/>
      <c r="K8" s="201"/>
      <c r="L8" s="201" t="str">
        <f>IF('SCOUT &amp; LOGISTICS'!D8="","",'SCOUT &amp; LOGISTICS'!D8)</f>
        <v>ORHAN YENIHAYAT</v>
      </c>
      <c r="M8" s="201"/>
      <c r="N8" s="201"/>
      <c r="O8" s="201"/>
      <c r="P8" s="201"/>
      <c r="Q8" s="201" t="str">
        <f>IF('SCOUT &amp; LOGISTICS'!D9="","",'SCOUT &amp; LOGISTICS'!D9)</f>
        <v>GIZEM UNSAL</v>
      </c>
      <c r="R8" s="201"/>
      <c r="S8" s="201"/>
      <c r="T8" s="201"/>
      <c r="U8" s="201"/>
      <c r="V8" s="201" t="str">
        <f>IF('SCOUT &amp; LOGISTICS'!D10="","",'SCOUT &amp; LOGISTICS'!D10)</f>
        <v>DINCER ADILLER</v>
      </c>
      <c r="W8" s="201"/>
      <c r="X8" s="201"/>
      <c r="Y8" s="201"/>
      <c r="Z8" s="201"/>
      <c r="AA8" s="201" t="str">
        <f>IF('SCOUT &amp; LOGISTICS'!D11="","",'SCOUT &amp; LOGISTICS'!D11)</f>
        <v>MURAT KUS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VERGÉ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612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4.9019607843137254E-3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2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1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Really good job as always!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5.9901960784313726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10957C5-5F0B-449A-B5EA-0B9AFD3B29DA}"/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2025-10-16T20:03:14Z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