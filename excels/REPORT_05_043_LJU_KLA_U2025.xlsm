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10" documentId="8_{F8065B3D-BDCC-4929-96A2-A556DA4C861A}" xr6:coauthVersionLast="47" xr6:coauthVersionMax="47" xr10:uidLastSave="{6E18B2A1-7E06-40A1-9E01-BFBC28864ECD}"/>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AD16" i="1" l="1"/>
  <c r="H5" i="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<sst xmlns="http://schemas.openxmlformats.org/spreadsheetml/2006/main" count="3289" uniqueCount="767">
  <si>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</si>
  <si>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</si>
  <si>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</si>
  <si>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</si>
  <si>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</si>
  <si>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</si>
  <si>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</si>
  <si>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</si>
  <si>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</si>
  <si>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</si>
  <si>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</si>
  <si>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</si>
  <si>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</si>
  <si>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</si>
  <si>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</si>
  <si>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</si>
  <si>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</si>
  <si>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</si>
  <si>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</si>
  <si>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</si>
  <si>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</si>
  <si>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</si>
  <si>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</si>
  <si>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</si>
  <si>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</si>
  <si>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</si>
  <si>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</si>
  <si>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</si>
  <si>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</si>
  <si>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</si>
  <si>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</si>
  <si>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</si>
  <si>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</si>
  <si>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</si>
  <si>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</si>
  <si>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</si>
  <si>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</si>
  <si>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</si>
  <si>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</si>
  <si>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</si>
  <si>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</si>
  <si>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</si>
  <si>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</si>
  <si>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</si>
  <si>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</si>
  <si>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</si>
  <si>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</si>
  <si>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</si>
  <si>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</si>
  <si>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</si>
  <si>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</si>
  <si>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</si>
  <si>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</si>
  <si>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</si>
  <si>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</si>
  <si>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</si>
  <si>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</si>
  <si>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</si>
  <si>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</si>
  <si>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</si>
  <si>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</si>
  <si>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</si>
  <si>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</si>
  <si>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</si>
  <si>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</si>
  <si>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</si>
  <si>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</si>
  <si>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</si>
  <si>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</si>
  <si>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</si>
  <si>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</si>
  <si>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</si>
  <si>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</si>
  <si>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</si>
  <si>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</si>
  <si>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</si>
  <si>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</si>
  <si>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</si>
  <si>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</si>
  <si>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</si>
  <si>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</si>
  <si>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</si>
  <si>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</si>
  <si>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</si>
  <si>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</si>
  <si>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</si>
  <si>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</si>
  <si>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</si>
  <si>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</si>
  <si>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</si>
  <si>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</si>
  <si>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</si>
  <si>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</si>
  <si>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</si>
  <si>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</si>
  <si>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</si>
  <si>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</si>
  <si>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</si>
  <si>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</si>
  <si>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</si>
  <si>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</si>
  <si>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</si>
  <si>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</si>
  <si>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</si>
  <si>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</si>
  <si>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</si>
  <si>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</si>
  <si>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</si>
  <si>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</si>
  <si>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</si>
  <si>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</si>
  <si>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</si>
  <si>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</si>
  <si>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</si>
  <si>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</si>
  <si>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</si>
  <si>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</si>
  <si>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</si>
  <si>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</si>
  <si>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</si>
  <si>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</si>
  <si>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</si>
  <si>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</si>
  <si>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</si>
  <si>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</si>
  <si>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</si>
  <si>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</si>
  <si>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</si>
  <si>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</si>
  <si>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</si>
  <si>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</si>
  <si>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</si>
  <si>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</si>
  <si>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</si>
  <si>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</si>
  <si>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</si>
  <si>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</si>
  <si>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</si>
  <si>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</si>
  <si>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</si>
  <si>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</si>
  <si>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</si>
  <si>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</si>
  <si>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</si>
  <si>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</si>
  <si>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</si>
  <si>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</si>
  <si>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</si>
  <si>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</si>
  <si>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</si>
  <si>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</si>
  <si>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</si>
  <si>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</si>
  <si>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</si>
  <si>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</si>
  <si>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</si>
  <si>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</si>
  <si>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</si>
  <si>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</si>
  <si>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</si>
  <si>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</si>
  <si>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</si>
  <si>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</si>
  <si>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</si>
  <si>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</si>
  <si>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</si>
  <si>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</si>
  <si>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</si>
  <si>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</si>
  <si>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</si>
  <si>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</si>
  <si>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</si>
  <si>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</si>
  <si>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</si>
  <si>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</si>
  <si>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</si>
  <si>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</si>
  <si>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</si>
  <si>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</si>
  <si>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</si>
  <si>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</si>
  <si>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</si>
  <si>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</si>
  <si>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</si>
  <si>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</si>
  <si>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</si>
  <si>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</si>
  <si>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</si>
  <si>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</si>
  <si>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</si>
  <si>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</si>
  <si>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</si>
  <si>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</si>
  <si>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</si>
  <si>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</si>
  <si>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</si>
  <si>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</si>
  <si>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</si>
  <si>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</si>
  <si>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</si>
  <si>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</si>
  <si>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</si>
  <si>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</si>
  <si>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</si>
  <si>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</si>
  <si>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</si>
  <si>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</si>
  <si>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</si>
  <si>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</si>
  <si>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</si>
  <si>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</si>
  <si>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</si>
  <si>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</si>
  <si>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</si>
  <si>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</si>
  <si>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</si>
  <si>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</si>
  <si>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</si>
  <si>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</si>
  <si>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</si>
  <si>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</si>
  <si>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</si>
  <si>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</si>
  <si>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</si>
  <si>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</si>
  <si>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</si>
  <si>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</si>
  <si>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</si>
  <si>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</si>
  <si>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</si>
  <si>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</si>
  <si>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</si>
  <si>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</si>
  <si>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</si>
  <si>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</si>
  <si>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</si>
  <si>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</si>
  <si>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</si>
  <si>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</si>
  <si>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</si>
  <si>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</si>
  <si>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</si>
  <si>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</si>
  <si>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</si>
  <si>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</si>
  <si>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</si>
  <si>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</si>
  <si>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</si>
  <si>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</si>
  <si>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</si>
  <si>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</si>
  <si>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</si>
  <si>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</si>
  <si>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</si>
  <si>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</si>
  <si>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</si>
  <si>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</si>
  <si>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</si>
  <si>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</si>
  <si>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</si>
  <si>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</si>
  <si>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</si>
  <si>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</si>
  <si>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</si>
  <si>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</si>
  <si>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</si>
  <si>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</si>
  <si>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</si>
  <si>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</si>
  <si>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</si>
  <si>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</si>
  <si>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</si>
  <si>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</si>
  <si>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</si>
  <si>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</si>
  <si>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</si>
  <si>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</si>
  <si>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</si>
  <si>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</si>
  <si>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</si>
  <si>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</si>
  <si>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</si>
  <si>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</si>
  <si>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</si>
  <si>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</si>
  <si>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</si>
  <si>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</si>
  <si>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</si>
  <si>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</si>
  <si>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</si>
  <si>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</si>
  <si>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</si>
  <si>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</si>
  <si>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</si>
  <si>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</si>
  <si>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</si>
  <si>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</si>
  <si>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</si>
  <si>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</si>
  <si>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</si>
  <si>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</si>
  <si>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</si>
  <si>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</si>
  <si>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</si>
  <si>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</si>
  <si>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</si>
  <si>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</si>
  <si>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</si>
  <si>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</si>
  <si>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</si>
  <si>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</si>
  <si>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</si>
  <si>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</si>
  <si>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</si>
  <si>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</si>
  <si>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</si>
  <si>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</si>
  <si>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</si>
  <si>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</si>
  <si>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</si>
  <si>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</si>
  <si>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</si>
  <si>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</si>
  <si>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</si>
  <si>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</si>
  <si>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</si>
  <si>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</si>
  <si>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</si>
  <si>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</si>
  <si>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</si>
  <si>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</si>
  <si>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</si>
  <si>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</si>
  <si>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</si>
  <si>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</si>
  <si>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</si>
  <si>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</si>
  <si>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</si>
  <si>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</si>
  <si>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</si>
  <si>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</si>
  <si>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</si>
  <si>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</si>
  <si>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</si>
  <si>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</si>
  <si>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</si>
  <si>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</si>
  <si>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</si>
  <si>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</si>
  <si>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</si>
  <si>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</si>
  <si>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</si>
  <si>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</si>
  <si>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</si>
  <si>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</si>
  <si>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</si>
  <si>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</si>
  <si>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</si>
  <si>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</si>
  <si>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</si>
  <si>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</si>
  <si>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</si>
  <si>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</si>
  <si>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</si>
  <si>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</si>
  <si>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</si>
  <si>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</si>
  <si>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</si>
  <si>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</si>
  <si>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</si>
  <si>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</si>
  <si>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</si>
  <si>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</si>
  <si>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</si>
  <si>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</si>
  <si>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</si>
  <si>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</si>
  <si>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</si>
  <si>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</si>
  <si>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</si>
  <si>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</si>
  <si>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</si>
  <si>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</si>
  <si>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</si>
  <si>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</si>
  <si>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</si>
  <si>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</si>
  <si>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</si>
  <si>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</si>
  <si>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</si>
  <si>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</si>
  <si>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</si>
  <si>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</si>
  <si>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</si>
  <si>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</si>
  <si>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</si>
  <si>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</si>
  <si>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</si>
  <si>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</si>
  <si>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</si>
  <si>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</si>
  <si>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</si>
  <si>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</si>
  <si>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</si>
  <si>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</si>
  <si>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</si>
  <si>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</si>
  <si>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</si>
  <si>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</si>
  <si>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</si>
  <si>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</si>
  <si>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</si>
  <si>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</si>
  <si>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</si>
  <si>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</si>
  <si>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</si>
  <si>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</si>
  <si>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</si>
  <si>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</si>
  <si>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</si>
  <si>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</si>
  <si>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</si>
  <si>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</si>
  <si>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</si>
  <si>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</si>
  <si>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</si>
  <si>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</si>
  <si>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</si>
  <si>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</si>
  <si>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</si>
  <si>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</si>
  <si>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</si>
  <si>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</si>
  <si>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</si>
  <si>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</si>
  <si>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</si>
  <si>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</si>
  <si>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</si>
  <si>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</si>
  <si>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</si>
  <si>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</si>
  <si>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</si>
  <si>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</si>
  <si>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</si>
  <si>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</si>
  <si>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</si>
  <si>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</si>
  <si>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</si>
  <si>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</si>
  <si>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</si>
  <si>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</si>
  <si>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</si>
  <si>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</si>
  <si>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</si>
  <si>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</si>
  <si>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</si>
  <si>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</si>
  <si>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</si>
  <si>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</si>
  <si>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</si>
  <si>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</si>
  <si>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</si>
  <si>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</si>
  <si>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</si>
  <si>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</si>
  <si>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</si>
  <si>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</si>
  <si>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</si>
  <si>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</si>
  <si>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</si>
  <si>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</si>
  <si>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</si>
  <si>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</si>
  <si>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</si>
  <si>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</si>
  <si>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</si>
  <si>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</si>
  <si>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</si>
  <si>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</si>
  <si>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</si>
  <si>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</si>
  <si>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</si>
  <si>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</si>
  <si>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</si>
  <si>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</si>
  <si>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</si>
  <si>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</si>
  <si>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</si>
  <si>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</si>
  <si>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</si>
  <si>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</si>
  <si>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</si>
  <si>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</si>
  <si>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</si>
  <si>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</si>
  <si>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</si>
  <si>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</si>
  <si>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</si>
  <si>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</si>
  <si>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</si>
  <si>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</si>
  <si>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</si>
  <si>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</si>
  <si>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</si>
  <si>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</si>
  <si>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</si>
  <si>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</si>
  <si>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</si>
  <si>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</si>
  <si>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</si>
  <si>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</si>
  <si>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</si>
  <si>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</si>
  <si>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</si>
  <si>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</si>
  <si>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</si>
  <si>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</si>
  <si>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</si>
  <si>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</si>
  <si>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</si>
  <si>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</si>
  <si>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</si>
  <si>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</si>
  <si>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</si>
  <si>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</si>
  <si>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</si>
  <si>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</si>
  <si>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</si>
  <si>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</si>
  <si>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</si>
  <si>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</si>
  <si>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</si>
  <si>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</si>
  <si>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</si>
  <si>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</si>
  <si>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</si>
  <si>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</si>
  <si>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</si>
  <si>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</si>
  <si>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</si>
  <si>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</si>
  <si>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</si>
  <si>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</si>
  <si>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</si>
  <si>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</si>
  <si>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</si>
  <si>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</si>
  <si>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</si>
  <si>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</si>
  <si>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</si>
  <si>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</si>
  <si>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</si>
  <si>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</si>
  <si>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</si>
  <si>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</si>
  <si>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</si>
  <si>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</si>
  <si>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</si>
  <si>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</si>
  <si>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</si>
  <si>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</si>
  <si>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</si>
  <si>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</si>
  <si>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</si>
  <si>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</si>
  <si>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</si>
  <si>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</si>
  <si>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</si>
  <si>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</si>
  <si>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</si>
  <si>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</si>
  <si>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</si>
  <si>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</si>
  <si>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</si>
  <si>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</si>
  <si>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</si>
  <si>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</si>
  <si>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</si>
  <si>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</si>
  <si>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</si>
  <si>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</si>
  <si>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</si>
  <si>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</si>
  <si>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</si>
  <si>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</si>
  <si>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</si>
  <si>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</si>
  <si>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</si>
  <si>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</si>
  <si>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</si>
  <si>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</si>
  <si>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</si>
  <si>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</si>
  <si>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</si>
  <si>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</si>
  <si>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</si>
  <si>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</si>
  <si>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</si>
  <si>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</si>
  <si>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</si>
  <si>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</si>
  <si>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</si>
  <si>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</si>
  <si>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</si>
  <si>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</si>
  <si>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</si>
  <si>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</si>
  <si>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</si>
  <si>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</si>
  <si>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</si>
  <si>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</si>
  <si>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</si>
  <si>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</si>
  <si>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</si>
  <si>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</si>
  <si>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</si>
  <si>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</si>
  <si>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</si>
  <si>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</si>
  <si>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</si>
  <si>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</si>
  <si>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</si>
  <si>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</si>
  <si>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</si>
  <si>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</si>
  <si>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</si>
  <si>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</si>
  <si>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</si>
  <si>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</si>
  <si>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</si>
  <si>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</si>
  <si>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</si>
  <si>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</si>
  <si>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</si>
  <si>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</si>
  <si>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</si>
  <si>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</si>
  <si>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</si>
  <si>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</si>
  <si>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</si>
  <si>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</si>
  <si>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</si>
  <si>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</si>
  <si>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</si>
  <si>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</si>
  <si>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</si>
  <si>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</si>
  <si>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</si>
  <si>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</si>
  <si>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</si>
  <si>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</si>
  <si>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</si>
  <si>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</si>
  <si>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</si>
  <si>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</si>
  <si>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</si>
  <si>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</si>
  <si>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</si>
  <si>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</si>
  <si>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</si>
  <si>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</si>
  <si>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</si>
  <si>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</si>
  <si>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</si>
  <si>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</si>
  <si>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</si>
  <si>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</si>
  <si>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</si>
  <si>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</si>
  <si>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</si>
  <si>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</si>
  <si>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</si>
  <si>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</si>
  <si>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</si>
  <si>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</si>
  <si>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</si>
  <si>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</si>
  <si>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</si>
  <si>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</si>
  <si>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</si>
  <si>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</si>
  <si>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</si>
  <si>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</si>
  <si>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</si>
  <si>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</si>
  <si>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</si>
  <si>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</si>
  <si>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</si>
  <si>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</si>
  <si>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</si>
  <si>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</si>
  <si>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</si>
  <si>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</si>
  <si>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</si>
  <si>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</si>
  <si>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</si>
  <si>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</si>
  <si>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</si>
  <si>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</si>
  <si>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</si>
  <si>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</si>
  <si>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</si>
  <si>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</si>
  <si>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</si>
  <si>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</si>
  <si>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</si>
  <si>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</si>
  <si>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</si>
  <si>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</si>
  <si>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</si>
  <si>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</si>
  <si>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</si>
  <si>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</si>
  <si>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</si>
  <si>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</si>
  <si>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</si>
  <si>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</si>
  <si>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</si>
  <si>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</si>
  <si>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</si>
  <si>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</si>
  <si>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</si>
  <si>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</si>
  <si>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</si>
  <si>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</si>
  <si>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</si>
  <si>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</si>
  <si>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</si>
  <si>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</si>
  <si>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</si>
  <si>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</si>
  <si>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</si>
  <si>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</si>
  <si>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</si>
  <si>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</si>
  <si>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</si>
  <si>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</si>
  <si>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</si>
  <si>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</si>
  <si>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</si>
  <si>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</si>
  <si>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</si>
  <si>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</si>
  <si>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</si>
  <si>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</si>
  <si>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</si>
  <si>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</si>
  <si>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</si>
  <si>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</si>
  <si>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</si>
  <si>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ANA JUG</t>
  </si>
  <si>
    <t>MATIC MARKIC</t>
  </si>
  <si>
    <t>SILVO MARKIC</t>
  </si>
  <si>
    <t>GORAN HODZIC</t>
  </si>
  <si>
    <t>ANDREJ STRUKELJ</t>
  </si>
  <si>
    <t>XAVI MATEU</t>
  </si>
  <si>
    <t>09:42</t>
  </si>
  <si>
    <t>07:17</t>
  </si>
  <si>
    <t>06:08</t>
  </si>
  <si>
    <t>04:37</t>
  </si>
  <si>
    <t>07:54</t>
  </si>
  <si>
    <t>04:56</t>
  </si>
  <si>
    <t>02:09</t>
  </si>
  <si>
    <t>07:51</t>
  </si>
  <si>
    <t>01:18</t>
  </si>
  <si>
    <t>C:\Users\xavi.mateu\OneDrive - EUROLEAGUE\Desktop</t>
  </si>
  <si>
    <t>Regarding the scouting, you did a very good job. The first quarter was perfect, and in the rest I only had to make minor corrections. At the end of the game, there were some substitutions that were not properly recorded. It’s important to stay very attentive to all substitution opportunities and to those quick changes where players go in and out within just a few possessions. In the PbP, there was an illegal substitution listed (the clock hadn’t started), which actually didn’t happen.
On another note, the modification of the starting five cannot be made without the knowledge and approval of the referees. If by mistake you add an extra player after a coach has signed, no problem, it can be corrected, but the referees must authorize it first. And you must check that both teams have the correct roster and are informed of everything.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</si>
</sst>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05</v>
      </c>
      <c r="D1" s="124" t="s">
        <v>749</v>
      </c>
      <c r="E1" s="125">
        <v>2025</v>
      </c>
      <c r="F1" s="120" t="str">
        <f>TEXT(C1,"00") &amp; "_" &amp; TEXT(C2,"000")&amp; "_" &amp; H4 &amp; "_" &amp; H5 &amp; "_" &amp; B2</f>
        <v>05_043_LJU_KLA_U2025</v>
      </c>
      <c r="G1" s="5"/>
      <c r="H1" s="5"/>
      <c r="I1" s="5"/>
      <c r="J1" s="8" t="s">
        <v>707</v>
      </c>
      <c r="K1" s="121" t="s">
        <v>742</v>
      </c>
      <c r="L1" s="121"/>
      <c r="M1" s="122" t="s">
        <v>239</v>
      </c>
      <c r="N1" s="121" t="s">
        <v>765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43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45959.8125</v>
      </c>
      <c r="C3" s="157"/>
      <c r="D3" s="39">
        <v>649</v>
      </c>
      <c r="E3" s="29"/>
      <c r="F3" s="26">
        <f>SUBTOTAL(3,I17:I106)</f>
        <v>9</v>
      </c>
      <c r="G3" s="27">
        <f>IF(OR(D3="",D3=0),"",F3/D3)</f>
        <v>1.386748844375963E-2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Cedevita Olimpija Ljubljana</v>
      </c>
      <c r="E4" s="161"/>
      <c r="F4" s="161"/>
      <c r="G4" s="162"/>
      <c r="H4" s="118" t="str">
        <f>IF(ISERROR(VLOOKUP($B$2&amp;TEXT($C$2,"000"),GAMES!$A$3:$I$562,6,FALSE)),"LOC",VLOOKUP($B$2&amp;TEXT($C$2,"000"),GAMES!$A$3:$I$562,6,FALSE))</f>
        <v>LJU</v>
      </c>
      <c r="I4" s="5"/>
      <c r="J4" s="119" t="s">
        <v>714</v>
      </c>
      <c r="K4" s="54" t="s">
        <v>743</v>
      </c>
      <c r="L4" s="5"/>
      <c r="M4" s="167" t="s">
        <v>766</v>
      </c>
      <c r="N4" s="168"/>
      <c r="O4" s="2"/>
      <c r="P4" s="2"/>
      <c r="Q4" s="84" t="s">
        <v>175</v>
      </c>
      <c r="R4" s="94">
        <f>(IF(G3="",0,G3))</f>
        <v>1.386748844375963E-2</v>
      </c>
      <c r="S4" s="61">
        <f>SUM(I13:M13)</f>
        <v>2</v>
      </c>
      <c r="T4" s="78"/>
      <c r="U4" s="61">
        <f>AC18</f>
        <v>5</v>
      </c>
      <c r="V4" s="61">
        <f>+AC22</f>
        <v>2</v>
      </c>
      <c r="W4" s="61">
        <f>AC24</f>
        <v>0</v>
      </c>
      <c r="X4" s="61">
        <f>AC29</f>
        <v>0</v>
      </c>
      <c r="Y4" s="61">
        <f>AC25</f>
        <v>0</v>
      </c>
      <c r="Z4" s="84">
        <f>AC23</f>
        <v>1</v>
      </c>
      <c r="AA4" s="61">
        <f>AC21</f>
        <v>0</v>
      </c>
      <c r="AB4" s="61">
        <f>AC27</f>
        <v>1</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Neptunas Klaipeda</v>
      </c>
      <c r="E5" s="174"/>
      <c r="F5" s="174"/>
      <c r="G5" s="175"/>
      <c r="H5" s="118" t="str">
        <f>IF(ISERROR(VLOOKUP($B$2&amp;TEXT($C$2,"000"),GAMES!$A$3:$I$562,7,FALSE)),"VIS",VLOOKUP($B$2&amp;TEXT($C$2,"000"),GAMES!$A$3:$I$562,7,FALSE))</f>
        <v>KLA</v>
      </c>
      <c r="I5" s="5"/>
      <c r="J5" s="5"/>
      <c r="K5" s="5"/>
      <c r="L5" s="5"/>
      <c r="M5" s="169"/>
      <c r="N5" s="170"/>
      <c r="O5" s="2"/>
      <c r="P5" s="2"/>
      <c r="Q5" s="89" t="s">
        <v>174</v>
      </c>
      <c r="R5" s="94">
        <f>R4*R3</f>
        <v>1.386748844375963</v>
      </c>
      <c r="S5" s="70">
        <f t="shared" ref="S5" si="0">S4*S3</f>
        <v>2</v>
      </c>
      <c r="T5" s="92"/>
      <c r="U5" s="70">
        <f t="shared" ref="U5:AG5" si="1">U4*U3</f>
        <v>2.5</v>
      </c>
      <c r="V5" s="70">
        <f t="shared" si="1"/>
        <v>2</v>
      </c>
      <c r="W5" s="70">
        <f t="shared" si="1"/>
        <v>0</v>
      </c>
      <c r="X5" s="70">
        <f t="shared" si="1"/>
        <v>0</v>
      </c>
      <c r="Y5" s="70">
        <f t="shared" si="1"/>
        <v>0</v>
      </c>
      <c r="Z5" s="89">
        <f t="shared" si="1"/>
        <v>2.5</v>
      </c>
      <c r="AA5" s="70">
        <f t="shared" si="1"/>
        <v>0</v>
      </c>
      <c r="AB5" s="70">
        <f t="shared" si="1"/>
        <v>5</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15.386748844375962</v>
      </c>
      <c r="N7" s="58"/>
      <c r="O7" s="2"/>
      <c r="P7" s="2"/>
      <c r="Q7" s="86">
        <f>SUM(R5,S5,AC16)</f>
        <v>15.386748844375962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15.386748844375962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43</v>
      </c>
      <c r="H12" s="40" t="str">
        <f>$I$10</f>
        <v>LOGISTICS</v>
      </c>
      <c r="I12" s="14" t="s">
        <v>17</v>
      </c>
      <c r="J12" s="15" t="s">
        <v>14</v>
      </c>
      <c r="K12" s="15" t="s">
        <v>71</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9</v>
      </c>
      <c r="J15" s="24">
        <f>SUBTOTAL(3,J17:J106)</f>
        <v>9</v>
      </c>
      <c r="K15" s="24">
        <f>SUBTOTAL(3,K17:K106)</f>
        <v>9</v>
      </c>
      <c r="L15" s="24">
        <f>SUBTOTAL(3,L17:L106)</f>
        <v>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9</v>
      </c>
      <c r="Z16" s="90" t="s">
        <v>110</v>
      </c>
      <c r="AA16" s="75">
        <f>SUM(AA17:AA24)</f>
        <v>9</v>
      </c>
      <c r="AB16" s="76" t="s">
        <v>54</v>
      </c>
      <c r="AC16" s="75">
        <f>SUM(AC17*AD17,AC18*AD18,AC19*AD19,AC20*AD20,AC21*AD21,AC22*AD22,AC23*AD23,AC24*AD24,AC25*AD25,AC26*AD26,AC27*AD27,AC28*AD28,AC29*AD29,AC30*AD30,AC30*AD30,AC31*AD31,AC32*AD32,AC33*AD33,AC34*AD34,AC35*AD35,AC36*AD36)</f>
        <v>12</v>
      </c>
      <c r="AD16" s="75">
        <f>SUM(AD17:AD24)</f>
        <v>45</v>
      </c>
      <c r="AE16" s="76" t="s">
        <v>42</v>
      </c>
      <c r="AF16" s="75">
        <f>SUM(AF17:AF24)</f>
        <v>4</v>
      </c>
      <c r="AG16" s="75">
        <f>SUM(AG17:AG21)</f>
        <v>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43</v>
      </c>
      <c r="D17" s="32" t="s">
        <v>757</v>
      </c>
      <c r="E17" s="33">
        <v>2</v>
      </c>
      <c r="F17" s="36">
        <v>22</v>
      </c>
      <c r="G17" s="36">
        <v>39</v>
      </c>
      <c r="H17" s="38" t="str">
        <f>IF(I17="","",$I$14)</f>
        <v>SCOUTING</v>
      </c>
      <c r="I17" s="34">
        <v>193</v>
      </c>
      <c r="J17" s="13" t="s">
        <v>4</v>
      </c>
      <c r="K17" s="13" t="s">
        <v>63</v>
      </c>
      <c r="L17" s="13" t="s">
        <v>7</v>
      </c>
      <c r="M17" s="13" t="s">
        <v>12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43</v>
      </c>
      <c r="D18" s="32" t="s">
        <v>756</v>
      </c>
      <c r="E18" s="33">
        <v>2</v>
      </c>
      <c r="F18" s="36">
        <v>16</v>
      </c>
      <c r="G18" s="36">
        <v>34</v>
      </c>
      <c r="H18" s="38" t="str">
        <f t="shared" ref="H18:H81" si="8">IF(I18="","",$I$14)</f>
        <v>SCOUTING</v>
      </c>
      <c r="I18" s="34">
        <v>159</v>
      </c>
      <c r="J18" s="13" t="s">
        <v>4</v>
      </c>
      <c r="K18" s="13" t="s">
        <v>62</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5</v>
      </c>
      <c r="AD18" s="61">
        <f t="shared" si="6"/>
        <v>0.5</v>
      </c>
      <c r="AE18" s="66" t="s">
        <v>12</v>
      </c>
      <c r="AF18" s="65">
        <f t="shared" si="7"/>
        <v>2</v>
      </c>
      <c r="AG18" s="62">
        <f>COUNTIF($E$17:$E$106,$AK18)</f>
        <v>4</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43</v>
      </c>
      <c r="D19" s="32" t="s">
        <v>758</v>
      </c>
      <c r="E19" s="33">
        <v>2</v>
      </c>
      <c r="F19" s="36">
        <v>24</v>
      </c>
      <c r="G19" s="36">
        <v>42</v>
      </c>
      <c r="H19" s="38" t="str">
        <f t="shared" si="8"/>
        <v>SCOUTING</v>
      </c>
      <c r="I19" s="34">
        <v>208</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43</v>
      </c>
      <c r="D20" s="32" t="s">
        <v>759</v>
      </c>
      <c r="E20" s="33">
        <v>2</v>
      </c>
      <c r="F20" s="36">
        <v>29</v>
      </c>
      <c r="G20" s="36">
        <v>45</v>
      </c>
      <c r="H20" s="38" t="str">
        <f t="shared" si="8"/>
        <v>SCOUTING</v>
      </c>
      <c r="I20" s="34">
        <v>239</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43</v>
      </c>
      <c r="D21" s="32" t="s">
        <v>760</v>
      </c>
      <c r="E21" s="33">
        <v>3</v>
      </c>
      <c r="F21" s="36">
        <v>47</v>
      </c>
      <c r="G21" s="36">
        <v>54</v>
      </c>
      <c r="H21" s="38" t="str">
        <f t="shared" si="8"/>
        <v>SCOUTING</v>
      </c>
      <c r="I21" s="34">
        <v>327</v>
      </c>
      <c r="J21" s="13" t="s">
        <v>4</v>
      </c>
      <c r="K21" s="13" t="s">
        <v>63</v>
      </c>
      <c r="L21" s="13" t="s">
        <v>5</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43</v>
      </c>
      <c r="D22" s="32" t="s">
        <v>761</v>
      </c>
      <c r="E22" s="33">
        <v>3</v>
      </c>
      <c r="F22" s="36">
        <v>55</v>
      </c>
      <c r="G22" s="36">
        <v>61</v>
      </c>
      <c r="H22" s="38" t="str">
        <f t="shared" si="8"/>
        <v>SCOUTING</v>
      </c>
      <c r="I22" s="34">
        <v>377</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43</v>
      </c>
      <c r="D23" s="32" t="s">
        <v>762</v>
      </c>
      <c r="E23" s="33">
        <v>3</v>
      </c>
      <c r="F23" s="36">
        <v>62</v>
      </c>
      <c r="G23" s="36">
        <v>68</v>
      </c>
      <c r="H23" s="38" t="str">
        <f t="shared" si="8"/>
        <v>SCOUTING</v>
      </c>
      <c r="I23" s="34">
        <v>425</v>
      </c>
      <c r="J23" s="13" t="s">
        <v>4</v>
      </c>
      <c r="K23" s="13" t="s">
        <v>63</v>
      </c>
      <c r="L23" s="13" t="s">
        <v>5</v>
      </c>
      <c r="M23" s="13" t="s">
        <v>12</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43</v>
      </c>
      <c r="D24" s="32" t="s">
        <v>763</v>
      </c>
      <c r="E24" s="33">
        <v>4</v>
      </c>
      <c r="F24" s="36">
        <v>71</v>
      </c>
      <c r="G24" s="36">
        <v>73</v>
      </c>
      <c r="H24" s="38" t="str">
        <f t="shared" si="8"/>
        <v>SCOUTING</v>
      </c>
      <c r="I24" s="34">
        <v>479</v>
      </c>
      <c r="J24" s="13" t="s">
        <v>4</v>
      </c>
      <c r="K24" s="13" t="s">
        <v>62</v>
      </c>
      <c r="L24" s="13" t="s">
        <v>5</v>
      </c>
      <c r="M24" s="13" t="s">
        <v>28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IF(I25="","",$C$2)</f>
        <v>43</v>
      </c>
      <c r="D25" s="32" t="s">
        <v>764</v>
      </c>
      <c r="E25" s="33">
        <v>4</v>
      </c>
      <c r="F25" s="36">
        <v>84</v>
      </c>
      <c r="G25" s="36">
        <v>89</v>
      </c>
      <c r="H25" s="38" t="str">
        <f>IF(I25="","",$I$14)</f>
        <v>SCOUTING</v>
      </c>
      <c r="I25" s="34">
        <v>586</v>
      </c>
      <c r="J25" s="13" t="s">
        <v>3</v>
      </c>
      <c r="K25" s="13" t="s">
        <v>63</v>
      </c>
      <c r="L25" s="13" t="s">
        <v>78</v>
      </c>
      <c r="M25" s="13" t="s">
        <v>78</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IF(I26="","",$C$2)</f>
        <v/>
      </c>
      <c r="D26" s="32"/>
      <c r="E26" s="33"/>
      <c r="F26" s="36"/>
      <c r="G26" s="36"/>
      <c r="H26" s="38" t="str">
        <f>IF(I26="","",$I$14)</f>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1</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REPORT_U2025043</v>
      </c>
    </row>
    <row r="2" spans="2:6" x14ac:dyDescent="0.25">
      <c r="F2" s="45" t="s">
        <v>157</v>
      </c>
    </row>
    <row r="3" spans="2:6" x14ac:dyDescent="0.25">
      <c r="B3" s="43" t="s">
        <v>156</v>
      </c>
      <c r="C3" s="43" t="str">
        <f>""""&amp;'SCOUT &amp; LOGISTICS'!B2&amp;TEXT('SCOUT &amp; LOGISTICS'!C2,"000")&amp;""""</f>
        <v>"U2025043"</v>
      </c>
      <c r="F3" s="45" t="str">
        <f t="shared" ref="F3:F16" si="0">""""&amp;B3&amp;"""" &amp; " : " &amp;C3&amp;","</f>
        <v>"name" : "U2025043",</v>
      </c>
    </row>
    <row r="4" spans="2:6" x14ac:dyDescent="0.25">
      <c r="B4" s="43" t="s">
        <v>119</v>
      </c>
      <c r="C4" s="43" t="str">
        <f>""""&amp;LEFT('SCOUT &amp; LOGISTICS'!B2,1) &amp; TEXT('SCOUT &amp; LOGISTICS'!C2,"000")&amp;""""</f>
        <v>"U043"</v>
      </c>
      <c r="F4" s="45" t="str">
        <f t="shared" si="0"/>
        <v>"cod" : "U043",</v>
      </c>
    </row>
    <row r="5" spans="2:6" x14ac:dyDescent="0.25">
      <c r="B5" s="43" t="s">
        <v>117</v>
      </c>
      <c r="C5" s="43" t="str">
        <f>""""&amp;LEFT('SCOUT &amp; LOGISTICS'!B2,1)&amp;""""</f>
        <v>"U"</v>
      </c>
      <c r="F5" s="45" t="str">
        <f t="shared" si="0"/>
        <v>"competition" : "U",</v>
      </c>
    </row>
    <row r="6" spans="2:6" x14ac:dyDescent="0.25">
      <c r="B6" s="43" t="s">
        <v>118</v>
      </c>
      <c r="C6" s="43" t="str">
        <f>TEXT('SCOUT &amp; LOGISTICS'!C2,"000")</f>
        <v>043</v>
      </c>
      <c r="F6" s="45" t="str">
        <f t="shared" si="0"/>
        <v>"number" : 043,</v>
      </c>
    </row>
    <row r="7" spans="2:6" x14ac:dyDescent="0.25">
      <c r="B7" s="43" t="s">
        <v>116</v>
      </c>
      <c r="C7" s="43" t="str">
        <f ca="1">""""&amp;TEXT('SCOUT &amp; LOGISTICS'!B3,"dd/mm/aaaa")&amp;""""</f>
        <v>"29/10/Wednesday"</v>
      </c>
      <c r="F7" s="45" t="str">
        <f t="shared" ca="1" si="0"/>
        <v>"date" : "29/10/Wednesday",</v>
      </c>
    </row>
    <row r="8" spans="2:6" x14ac:dyDescent="0.25">
      <c r="B8" s="43" t="s">
        <v>125</v>
      </c>
      <c r="C8" s="43" t="str">
        <f>""""&amp;'SCOUT &amp; LOGISTICS'!D4 &amp;""""</f>
        <v>"Cedevita Olimpija Ljubljana"</v>
      </c>
      <c r="F8" s="45" t="str">
        <f t="shared" si="0"/>
        <v>"home_team" : "Cedevita Olimpija Ljubljana",</v>
      </c>
    </row>
    <row r="9" spans="2:6" x14ac:dyDescent="0.25">
      <c r="B9" s="43" t="s">
        <v>126</v>
      </c>
      <c r="C9" s="43" t="str">
        <f>""""&amp;'SCOUT &amp; LOGISTICS'!D5&amp;""""</f>
        <v>"Neptunas Klaipeda"</v>
      </c>
      <c r="F9" s="45" t="str">
        <f t="shared" si="0"/>
        <v>"away_team" : "Neptunas Klaipeda",</v>
      </c>
    </row>
    <row r="10" spans="2:6" x14ac:dyDescent="0.25">
      <c r="B10" s="43" t="s">
        <v>127</v>
      </c>
      <c r="C10" s="43" t="str">
        <f>""""&amp;IF('SCOUT &amp; LOGISTICS'!D6="","",'SCOUT &amp; LOGISTICS'!D6)&amp;""""</f>
        <v>"ANA JUG"</v>
      </c>
      <c r="F10" s="45" t="str">
        <f t="shared" si="0"/>
        <v>"Data_entry" : "ANA JUG",</v>
      </c>
    </row>
    <row r="11" spans="2:6" x14ac:dyDescent="0.25">
      <c r="B11" s="43" t="s">
        <v>128</v>
      </c>
      <c r="C11" s="43" t="str">
        <f>""""&amp;IF('SCOUT &amp; LOGISTICS'!D7="","",'SCOUT &amp; LOGISTICS'!D7)&amp;""""</f>
        <v>"MATIC MARKIC"</v>
      </c>
      <c r="F11" s="45" t="str">
        <f t="shared" si="0"/>
        <v>"Caller_1" : "MATIC MARKIC",</v>
      </c>
    </row>
    <row r="12" spans="2:6" x14ac:dyDescent="0.25">
      <c r="B12" s="43" t="s">
        <v>129</v>
      </c>
      <c r="C12" s="43" t="str">
        <f>""""&amp;IF('SCOUT &amp; LOGISTICS'!D8="","",'SCOUT &amp; LOGISTICS'!D8)&amp;""""</f>
        <v>"SILVO MARKIC"</v>
      </c>
      <c r="F12" s="45" t="str">
        <f t="shared" si="0"/>
        <v>"Caller_2" : "SILVO MARKIC",</v>
      </c>
    </row>
    <row r="13" spans="2:6" x14ac:dyDescent="0.25">
      <c r="B13" s="43" t="s">
        <v>98</v>
      </c>
      <c r="C13" s="43" t="str">
        <f>""""&amp;IF('SCOUT &amp; LOGISTICS'!D9="","",'SCOUT &amp; LOGISTICS'!D9)&amp;""""</f>
        <v>"GORAN HODZIC"</v>
      </c>
      <c r="F13" s="45" t="str">
        <f t="shared" si="0"/>
        <v>"Timerkeeper" : "GORAN HODZIC",</v>
      </c>
    </row>
    <row r="14" spans="2:6" x14ac:dyDescent="0.25">
      <c r="B14" s="43" t="s">
        <v>99</v>
      </c>
      <c r="C14" s="43" t="str">
        <f>""""&amp;IF('SCOUT &amp; LOGISTICS'!D10="","",'SCOUT &amp; LOGISTICS'!D10)&amp;""""</f>
        <v>"ANDREJ STRUKELJ"</v>
      </c>
      <c r="F14" s="45" t="str">
        <f t="shared" si="0"/>
        <v>"Shotclock" : "ANDREJ STRUKELJ",</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649</v>
      </c>
      <c r="F25" s="45" t="str">
        <f t="shared" ref="F25:F48" si="1">""""&amp;C25&amp;"""" &amp; " : " &amp;D25&amp;","</f>
        <v>"total_actions" : 649,</v>
      </c>
    </row>
    <row r="26" spans="2:6" x14ac:dyDescent="0.25">
      <c r="C26" s="43" t="s">
        <v>132</v>
      </c>
      <c r="D26" s="43">
        <f>'SCOUT &amp; LOGISTICS'!F3</f>
        <v>9</v>
      </c>
      <c r="F26" s="45" t="str">
        <f t="shared" si="1"/>
        <v>"total_correcions" : 9,</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4</v>
      </c>
      <c r="F32" s="45" t="str">
        <f t="shared" si="1"/>
        <v>"q2" : 4,</v>
      </c>
    </row>
    <row r="33" spans="3:6" x14ac:dyDescent="0.25">
      <c r="C33" s="43" t="s">
        <v>137</v>
      </c>
      <c r="D33" s="43">
        <f>'SCOUT &amp; LOGISTICS'!AG19</f>
        <v>3</v>
      </c>
      <c r="F33" s="45" t="str">
        <f t="shared" si="1"/>
        <v>"q3" : 3,</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9</v>
      </c>
      <c r="F37" s="45" t="str">
        <f t="shared" si="1"/>
        <v>"scoresheet_corrections" : 9,</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"Regarding the scouting, you did a very good job. The first quarter was perfect, and in the rest I only had to make minor corrections. At the end of the game, there were some substitutions that were not properly recorded. It’s important to stay very attentive to all substitution opportunities and to those quick changes where players go in and out within just a few possessions. In the PbP, there was an illegal substitution listed (the clock hadn’t started), which actually didn’t happen.
On another note, the modification of the starting five cannot be made without the knowledge and approval of the referees. If by mistake you add an extra player after a coach has signed, no problem, it can be corrected, but the referees must authorize it first. And you must check that both teams have the correct roster and are informed of everything."</v>
      </c>
      <c r="F51" s="45" t="str">
        <f>""""&amp;B51&amp;"""" &amp; " : " &amp;C51&amp;","</f>
        <v>"comments" : "Regarding the scouting, you did a very good job. The first quarter was perfect, and in the rest I only had to make minor corrections. At the end of the game, there were some substitutions that were not properly recorded. It’s important to stay very attentive to all substitution opportunities and to those quick changes where players go in and out within just a few possessions. In the PbP, there was an illegal substitution listed (the clock hadn’t started), which actually didn’t happen.
On another note, the modification of the starting five cannot be made without the knowledge and approval of the referees. If by mistake you add an extra player after a coach has signed, no problem, it can be corrected, but the referees must authorize it first. And you must check that both teams have the correct roster and are informed of everything.",</v>
      </c>
    </row>
    <row r="52" spans="2:6" x14ac:dyDescent="0.25">
      <c r="B52" s="43" t="s">
        <v>153</v>
      </c>
      <c r="C52" s="43" t="str">
        <f>TEXT('SCOUT &amp; LOGISTICS'!F1,"0,0")</f>
        <v>05_043_LJU_KLA_U2025</v>
      </c>
      <c r="F52" s="45" t="str">
        <f>""""&amp;B52&amp;"""" &amp; " : " &amp;C52</f>
        <v>"result" : 05_043_LJU_KLA_U2025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U043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29/10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Cedevita Olimpija Ljubljana</v>
      </c>
      <c r="C6" s="212"/>
      <c r="D6" s="212"/>
      <c r="E6" s="212"/>
      <c r="F6" s="212"/>
      <c r="G6" s="212"/>
      <c r="H6" s="212"/>
      <c r="I6" s="212"/>
      <c r="J6" s="212"/>
      <c r="K6" s="212"/>
      <c r="L6" s="212"/>
      <c r="M6" s="212"/>
      <c r="N6" s="212"/>
      <c r="O6" s="212"/>
      <c r="P6" s="212"/>
      <c r="Q6" s="212" t="str">
        <f>PROPER('SCOUT &amp; LOGISTICS'!D5)</f>
        <v>Neptunas Klaipeda</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ANA JUG</v>
      </c>
      <c r="C8" s="206"/>
      <c r="D8" s="206"/>
      <c r="E8" s="206"/>
      <c r="F8" s="206"/>
      <c r="G8" s="206" t="str">
        <f>IF('SCOUT &amp; LOGISTICS'!D7="","",'SCOUT &amp; LOGISTICS'!D7)</f>
        <v>MATIC MARKIC</v>
      </c>
      <c r="H8" s="206"/>
      <c r="I8" s="206"/>
      <c r="J8" s="206"/>
      <c r="K8" s="206"/>
      <c r="L8" s="206" t="str">
        <f>IF('SCOUT &amp; LOGISTICS'!D8="","",'SCOUT &amp; LOGISTICS'!D8)</f>
        <v>SILVO MARKIC</v>
      </c>
      <c r="M8" s="206"/>
      <c r="N8" s="206"/>
      <c r="O8" s="206"/>
      <c r="P8" s="206"/>
      <c r="Q8" s="206" t="str">
        <f>IF('SCOUT &amp; LOGISTICS'!D9="","",'SCOUT &amp; LOGISTICS'!D9)</f>
        <v>GORAN HODZIC</v>
      </c>
      <c r="R8" s="206"/>
      <c r="S8" s="206"/>
      <c r="T8" s="206"/>
      <c r="U8" s="206"/>
      <c r="V8" s="206" t="str">
        <f>IF('SCOUT &amp; LOGISTICS'!D10="","",'SCOUT &amp; LOGISTICS'!D10)</f>
        <v>ANDREJ STRUKELJ</v>
      </c>
      <c r="W8" s="206"/>
      <c r="X8" s="206"/>
      <c r="Y8" s="206"/>
      <c r="Z8" s="206"/>
      <c r="AA8" s="206" t="str">
        <f>IF('SCOUT &amp; LOGISTICS'!D11="","",'SCOUT &amp; LOGISTICS'!D11)</f>
        <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649</v>
      </c>
      <c r="C17" s="204"/>
      <c r="D17" s="204"/>
      <c r="E17" s="204"/>
      <c r="F17" s="204"/>
      <c r="G17" s="204"/>
      <c r="H17" s="204"/>
      <c r="I17" s="204"/>
      <c r="J17" s="204"/>
      <c r="K17" s="204"/>
      <c r="L17" s="204">
        <f>'SCOUT &amp; LOGISTICS'!F3</f>
        <v>9</v>
      </c>
      <c r="M17" s="204"/>
      <c r="N17" s="204"/>
      <c r="O17" s="204"/>
      <c r="P17" s="204"/>
      <c r="Q17" s="204"/>
      <c r="R17" s="204"/>
      <c r="S17" s="204"/>
      <c r="T17" s="204"/>
      <c r="U17" s="204"/>
      <c r="V17" s="205">
        <f>IF(OR(B17="",B17=0),"",L17/B17)</f>
        <v>1.386748844375963E-2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4</v>
      </c>
      <c r="I22" s="197"/>
      <c r="J22" s="197"/>
      <c r="K22" s="197"/>
      <c r="L22" s="197"/>
      <c r="M22" s="197"/>
      <c r="N22" s="197">
        <f>'SCOUT &amp; LOGISTICS'!AG19</f>
        <v>3</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8</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5</v>
      </c>
      <c r="C27" s="197"/>
      <c r="D27" s="197"/>
      <c r="E27" s="197"/>
      <c r="F27" s="197"/>
      <c r="G27" s="197">
        <f>'SCOUT &amp; LOGISTICS'!AC22</f>
        <v>2</v>
      </c>
      <c r="H27" s="197"/>
      <c r="I27" s="197"/>
      <c r="J27" s="197"/>
      <c r="K27" s="197"/>
      <c r="L27" s="197">
        <f>'SCOUT &amp; LOGISTICS'!AC23</f>
        <v>1</v>
      </c>
      <c r="M27" s="197"/>
      <c r="N27" s="197"/>
      <c r="O27" s="197"/>
      <c r="P27" s="197"/>
      <c r="Q27" s="197">
        <f>'SCOUT &amp; LOGISTICS'!AC21</f>
        <v>0</v>
      </c>
      <c r="R27" s="197"/>
      <c r="S27" s="197"/>
      <c r="T27" s="197"/>
      <c r="U27" s="197"/>
      <c r="V27" s="197">
        <f>'SCOUT &amp; LOGISTICS'!AC27</f>
        <v>1</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Regarding the scouting, you did a very good job. The first quarter was perfect, and in the rest I only had to make minor corrections. At the end of the game, there were some substitutions that were not properly recorded. It’s important to stay very attentive to all substitution opportunities and to those quick changes where players go in and out within just a few possessions. In the PbP, there was an illegal substitution listed (the clock hadn’t started), which actually didn’t happen.
On another note, the modification of the starting five cannot be made without the knowledge and approval of the referees. If by mistake you add an extra player after a coach has signed, no problem, it can be corrected, but the referees must authorize it first. And you must check that both teams have the correct roster and are informed of everything.</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15.386748844375962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7797CFA4-406F-495D-A32F-7D0B08311F40}"/>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2025-10-30T15:09:31Z</cp:lastPrinted>
  <dcterms:created xsi:type="dcterms:W3CDTF">2023-09-19T19:50:35Z</dcterms:created>
  <dcterms:modified xsi:type="dcterms:W3CDTF">2025-10-30T15:09:34Z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