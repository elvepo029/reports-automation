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" documentId="13_ncr:1_{200F8DFD-7232-40B7-9B40-9D2C136F6F22}" xr6:coauthVersionLast="47" xr6:coauthVersionMax="47" xr10:uidLastSave="{C6FA20C5-01A5-4950-90AE-2964E40E119E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<sst xmlns="http://schemas.openxmlformats.org/spreadsheetml/2006/main" count="3245" uniqueCount="757">
  <si>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</si>
  <si>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</si>
  <si>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</si>
  <si>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</si>
  <si>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</si>
  <si>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</si>
  <si>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</si>
  <si>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</si>
  <si>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</si>
  <si>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</si>
  <si>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</si>
  <si>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</si>
  <si>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</si>
  <si>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</si>
  <si>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</si>
  <si>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</si>
  <si>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</si>
  <si>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</si>
  <si>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</si>
  <si>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</si>
  <si>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</si>
  <si>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</si>
  <si>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</si>
  <si>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</si>
  <si>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</si>
  <si>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</si>
  <si>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</si>
  <si>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</si>
  <si>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</si>
  <si>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</si>
  <si>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</si>
  <si>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</si>
  <si>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</si>
  <si>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</si>
  <si>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</si>
  <si>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</si>
  <si>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</si>
  <si>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</si>
  <si>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</si>
  <si>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</si>
  <si>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</si>
  <si>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</si>
  <si>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</si>
  <si>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</si>
  <si>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</si>
  <si>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</si>
  <si>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</si>
  <si>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</si>
  <si>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</si>
  <si>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</si>
  <si>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</si>
  <si>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</si>
  <si>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</si>
  <si>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</si>
  <si>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</si>
  <si>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</si>
  <si>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</si>
  <si>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</si>
  <si>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</si>
  <si>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</si>
  <si>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</si>
  <si>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</si>
  <si>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</si>
  <si>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</si>
  <si>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</si>
  <si>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</si>
  <si>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</si>
  <si>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</si>
  <si>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</si>
  <si>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</si>
  <si>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</si>
  <si>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</si>
  <si>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</si>
  <si>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</si>
  <si>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</si>
  <si>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</si>
  <si>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</si>
  <si>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</si>
  <si>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</si>
  <si>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</si>
  <si>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</si>
  <si>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</si>
  <si>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</si>
  <si>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</si>
  <si>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</si>
  <si>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</si>
  <si>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</si>
  <si>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</si>
  <si>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</si>
  <si>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</si>
  <si>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</si>
  <si>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</si>
  <si>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</si>
  <si>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</si>
  <si>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</si>
  <si>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</si>
  <si>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</si>
  <si>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</si>
  <si>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</si>
  <si>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</si>
  <si>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</si>
  <si>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</si>
  <si>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</si>
  <si>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</si>
  <si>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</si>
  <si>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</si>
  <si>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</si>
  <si>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</si>
  <si>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</si>
  <si>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</si>
  <si>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</si>
  <si>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</si>
  <si>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</si>
  <si>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</si>
  <si>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</si>
  <si>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</si>
  <si>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</si>
  <si>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</si>
  <si>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</si>
  <si>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</si>
  <si>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</si>
  <si>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</si>
  <si>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</si>
  <si>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</si>
  <si>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</si>
  <si>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</si>
  <si>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</si>
  <si>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</si>
  <si>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</si>
  <si>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</si>
  <si>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</si>
  <si>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</si>
  <si>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</si>
  <si>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</si>
  <si>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</si>
  <si>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</si>
  <si>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</si>
  <si>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</si>
  <si>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</si>
  <si>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</si>
  <si>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</si>
  <si>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</si>
  <si>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</si>
  <si>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</si>
  <si>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</si>
  <si>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</si>
  <si>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</si>
  <si>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</si>
  <si>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</si>
  <si>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</si>
  <si>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</si>
  <si>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</si>
  <si>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</si>
  <si>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</si>
  <si>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</si>
  <si>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</si>
  <si>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</si>
  <si>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</si>
  <si>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</si>
  <si>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</si>
  <si>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</si>
  <si>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</si>
  <si>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</si>
  <si>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</si>
  <si>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</si>
  <si>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</si>
  <si>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</si>
  <si>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</si>
  <si>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</si>
  <si>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</si>
  <si>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</si>
  <si>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</si>
  <si>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</si>
  <si>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</si>
  <si>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</si>
  <si>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</si>
  <si>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</si>
  <si>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</si>
  <si>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</si>
  <si>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</si>
  <si>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</si>
  <si>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</si>
  <si>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</si>
  <si>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</si>
  <si>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</si>
  <si>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</si>
  <si>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</si>
  <si>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</si>
  <si>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</si>
  <si>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</si>
  <si>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</si>
  <si>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</si>
  <si>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</si>
  <si>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</si>
  <si>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</si>
  <si>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</si>
  <si>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</si>
  <si>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</si>
  <si>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</si>
  <si>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</si>
  <si>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</si>
  <si>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</si>
  <si>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</si>
  <si>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</si>
  <si>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</si>
  <si>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</si>
  <si>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</si>
  <si>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</si>
  <si>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</si>
  <si>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</si>
  <si>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</si>
  <si>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</si>
  <si>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</si>
  <si>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</si>
  <si>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</si>
  <si>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</si>
  <si>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</si>
  <si>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</si>
  <si>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</si>
  <si>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</si>
  <si>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</si>
  <si>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</si>
  <si>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</si>
  <si>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</si>
  <si>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</si>
  <si>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</si>
  <si>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</si>
  <si>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</si>
  <si>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</si>
  <si>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</si>
  <si>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</si>
  <si>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</si>
  <si>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</si>
  <si>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</si>
  <si>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</si>
  <si>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</si>
  <si>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</si>
  <si>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</si>
  <si>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</si>
  <si>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</si>
  <si>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</si>
  <si>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</si>
  <si>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</si>
  <si>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</si>
  <si>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</si>
  <si>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</si>
  <si>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</si>
  <si>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</si>
  <si>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</si>
  <si>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</si>
  <si>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</si>
  <si>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</si>
  <si>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</si>
  <si>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</si>
  <si>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</si>
  <si>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</si>
  <si>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</si>
  <si>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</si>
  <si>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</si>
  <si>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</si>
  <si>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</si>
  <si>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</si>
  <si>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</si>
  <si>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</si>
  <si>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</si>
  <si>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</si>
  <si>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</si>
  <si>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</si>
  <si>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</si>
  <si>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</si>
  <si>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</si>
  <si>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</si>
  <si>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</si>
  <si>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</si>
  <si>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</si>
  <si>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</si>
  <si>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</si>
  <si>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</si>
  <si>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</si>
  <si>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</si>
  <si>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</si>
  <si>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</si>
  <si>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</si>
  <si>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</si>
  <si>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</si>
  <si>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</si>
  <si>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</si>
  <si>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</si>
  <si>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</si>
  <si>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</si>
  <si>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</si>
  <si>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</si>
  <si>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</si>
  <si>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</si>
  <si>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</si>
  <si>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</si>
  <si>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</si>
  <si>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</si>
  <si>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</si>
  <si>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</si>
  <si>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</si>
  <si>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</si>
  <si>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</si>
  <si>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</si>
  <si>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</si>
  <si>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</si>
  <si>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</si>
  <si>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</si>
  <si>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</si>
  <si>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</si>
  <si>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</si>
  <si>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</si>
  <si>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</si>
  <si>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</si>
  <si>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</si>
  <si>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</si>
  <si>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</si>
  <si>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</si>
  <si>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</si>
  <si>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</si>
  <si>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</si>
  <si>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</si>
  <si>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</si>
  <si>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</si>
  <si>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</si>
  <si>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</si>
  <si>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</si>
  <si>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</si>
  <si>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</si>
  <si>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</si>
  <si>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</si>
  <si>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</si>
  <si>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</si>
  <si>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</si>
  <si>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</si>
  <si>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</si>
  <si>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</si>
  <si>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</si>
  <si>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</si>
  <si>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</si>
  <si>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</si>
  <si>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</si>
  <si>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</si>
  <si>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</si>
  <si>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</si>
  <si>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</si>
  <si>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</si>
  <si>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</si>
  <si>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</si>
  <si>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</si>
  <si>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</si>
  <si>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</si>
  <si>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</si>
  <si>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</si>
  <si>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</si>
  <si>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</si>
  <si>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</si>
  <si>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</si>
  <si>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</si>
  <si>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</si>
  <si>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</si>
  <si>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</si>
  <si>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</si>
  <si>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</si>
  <si>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</si>
  <si>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</si>
  <si>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</si>
  <si>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</si>
  <si>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</si>
  <si>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</si>
  <si>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</si>
  <si>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</si>
  <si>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</si>
  <si>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</si>
  <si>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</si>
  <si>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</si>
  <si>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</si>
  <si>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</si>
  <si>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</si>
  <si>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</si>
  <si>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</si>
  <si>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</si>
  <si>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</si>
  <si>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</si>
  <si>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</si>
  <si>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</si>
  <si>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</si>
  <si>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</si>
  <si>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</si>
  <si>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</si>
  <si>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</si>
  <si>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</si>
  <si>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</si>
  <si>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</si>
  <si>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</si>
  <si>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</si>
  <si>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</si>
  <si>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</si>
  <si>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</si>
  <si>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</si>
  <si>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</si>
  <si>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</si>
  <si>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</si>
  <si>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</si>
  <si>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</si>
  <si>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</si>
  <si>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</si>
  <si>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</si>
  <si>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</si>
  <si>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</si>
  <si>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</si>
  <si>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</si>
  <si>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</si>
  <si>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</si>
  <si>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</si>
  <si>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</si>
  <si>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</si>
  <si>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</si>
  <si>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</si>
  <si>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</si>
  <si>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</si>
  <si>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</si>
  <si>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</si>
  <si>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</si>
  <si>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</si>
  <si>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</si>
  <si>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</si>
  <si>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</si>
  <si>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</si>
  <si>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</si>
  <si>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</si>
  <si>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</si>
  <si>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</si>
  <si>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</si>
  <si>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</si>
  <si>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</si>
  <si>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</si>
  <si>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</si>
  <si>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</si>
  <si>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</si>
  <si>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</si>
  <si>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</si>
  <si>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</si>
  <si>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</si>
  <si>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</si>
  <si>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</si>
  <si>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</si>
  <si>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</si>
  <si>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</si>
  <si>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</si>
  <si>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</si>
  <si>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</si>
  <si>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</si>
  <si>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</si>
  <si>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</si>
  <si>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</si>
  <si>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</si>
  <si>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</si>
  <si>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</si>
  <si>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</si>
  <si>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</si>
  <si>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</si>
  <si>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</si>
  <si>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</si>
  <si>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</si>
  <si>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</si>
  <si>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</si>
  <si>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</si>
  <si>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</si>
  <si>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</si>
  <si>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</si>
  <si>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</si>
  <si>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</si>
  <si>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</si>
  <si>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</si>
  <si>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</si>
  <si>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</si>
  <si>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</si>
  <si>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</si>
  <si>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</si>
  <si>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</si>
  <si>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</si>
  <si>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</si>
  <si>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</si>
  <si>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</si>
  <si>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</si>
  <si>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</si>
  <si>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</si>
  <si>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</si>
  <si>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</si>
  <si>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</si>
  <si>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</si>
  <si>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</si>
  <si>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</si>
  <si>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</si>
  <si>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</si>
  <si>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</si>
  <si>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</si>
  <si>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</si>
  <si>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</si>
  <si>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</si>
  <si>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</si>
  <si>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</si>
  <si>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</si>
  <si>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</si>
  <si>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</si>
  <si>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</si>
  <si>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</si>
  <si>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</si>
  <si>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</si>
  <si>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</si>
  <si>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</si>
  <si>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</si>
  <si>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</si>
  <si>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</si>
  <si>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</si>
  <si>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</si>
  <si>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</si>
  <si>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</si>
  <si>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</si>
  <si>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</si>
  <si>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</si>
  <si>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</si>
  <si>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</si>
  <si>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</si>
  <si>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</si>
  <si>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</si>
  <si>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</si>
  <si>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</si>
  <si>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</si>
  <si>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</si>
  <si>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</si>
  <si>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</si>
  <si>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</si>
  <si>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</si>
  <si>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</si>
  <si>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</si>
  <si>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</si>
  <si>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</si>
  <si>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</si>
  <si>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</si>
  <si>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</si>
  <si>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</si>
  <si>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</si>
  <si>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</si>
  <si>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</si>
  <si>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</si>
  <si>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</si>
  <si>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</si>
  <si>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</si>
  <si>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</si>
  <si>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</si>
  <si>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</si>
  <si>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</si>
  <si>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</si>
  <si>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</si>
  <si>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</si>
  <si>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</si>
  <si>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</si>
  <si>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</si>
  <si>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</si>
  <si>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</si>
  <si>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</si>
  <si>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</si>
  <si>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</si>
  <si>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</si>
  <si>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</si>
  <si>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</si>
  <si>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</si>
  <si>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</si>
  <si>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</si>
  <si>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</si>
  <si>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</si>
  <si>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</si>
  <si>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</si>
  <si>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</si>
  <si>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</si>
  <si>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</si>
  <si>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</si>
  <si>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</si>
  <si>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</si>
  <si>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</si>
  <si>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</si>
  <si>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</si>
  <si>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</si>
  <si>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</si>
  <si>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</si>
  <si>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</si>
  <si>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</si>
  <si>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</si>
  <si>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</si>
  <si>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</si>
  <si>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</si>
  <si>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</si>
  <si>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</si>
  <si>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</si>
  <si>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</si>
  <si>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</si>
  <si>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</si>
  <si>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</si>
  <si>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</si>
  <si>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</si>
  <si>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</si>
  <si>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</si>
  <si>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</si>
  <si>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</si>
  <si>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</si>
  <si>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</si>
  <si>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</si>
  <si>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</si>
  <si>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</si>
  <si>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</si>
  <si>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</si>
  <si>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</si>
  <si>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</si>
  <si>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</si>
  <si>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</si>
  <si>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</si>
  <si>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</si>
  <si>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</si>
  <si>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</si>
  <si>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</si>
  <si>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</si>
  <si>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</si>
  <si>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</si>
  <si>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</si>
  <si>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</si>
  <si>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</si>
  <si>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</si>
  <si>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</si>
  <si>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</si>
  <si>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</si>
  <si>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</si>
  <si>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</si>
  <si>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</si>
  <si>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</si>
  <si>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</si>
  <si>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</si>
  <si>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</si>
  <si>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</si>
  <si>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</si>
  <si>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</si>
  <si>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</si>
  <si>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</si>
  <si>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</si>
  <si>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</si>
  <si>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</si>
  <si>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</si>
  <si>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</si>
  <si>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</si>
  <si>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</si>
  <si>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</si>
  <si>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</si>
  <si>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</si>
  <si>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</si>
  <si>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</si>
  <si>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</si>
  <si>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</si>
  <si>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</si>
  <si>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</si>
  <si>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</si>
  <si>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</si>
  <si>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</si>
  <si>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</si>
  <si>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</si>
  <si>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</si>
  <si>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</si>
  <si>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</si>
  <si>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</si>
  <si>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</si>
  <si>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</si>
  <si>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</si>
  <si>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</si>
  <si>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</si>
  <si>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</si>
  <si>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</si>
  <si>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</si>
  <si>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</si>
  <si>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</si>
  <si>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</si>
  <si>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</si>
  <si>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</si>
  <si>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</si>
  <si>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</si>
  <si>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</si>
  <si>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</si>
  <si>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</si>
  <si>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</si>
  <si>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</si>
  <si>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</si>
  <si>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</si>
  <si>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</si>
  <si>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</si>
  <si>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</si>
  <si>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</si>
  <si>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</si>
  <si>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</si>
  <si>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</si>
  <si>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</si>
  <si>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</si>
  <si>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</si>
  <si>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</si>
  <si>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</si>
  <si>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</si>
  <si>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</si>
  <si>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</si>
  <si>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</si>
  <si>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</si>
  <si>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</si>
  <si>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</si>
  <si>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</si>
  <si>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</si>
  <si>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</si>
  <si>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</si>
  <si>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</si>
  <si>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</si>
  <si>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</si>
  <si>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</si>
  <si>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</si>
  <si>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</si>
  <si>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</si>
  <si>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</si>
  <si>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</si>
  <si>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</si>
  <si>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</si>
  <si>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</si>
  <si>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</si>
  <si>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</si>
  <si>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</si>
  <si>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</si>
  <si>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</si>
  <si>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</si>
  <si>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</si>
  <si>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</si>
  <si>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</si>
  <si>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</si>
  <si>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</si>
  <si>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</si>
  <si>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</si>
  <si>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</si>
  <si>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</si>
  <si>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</si>
  <si>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</si>
  <si>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</si>
  <si>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</si>
  <si>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</si>
  <si>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</si>
  <si>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</si>
  <si>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</si>
  <si>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</si>
  <si>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</si>
  <si>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Northing to comment! More games like that!</t>
  </si>
  <si>
    <t>MILAN KYRGIC</t>
  </si>
  <si>
    <t>SONJA STANKOVIC</t>
  </si>
  <si>
    <t>MIROSLAVA DERIKONJIC</t>
  </si>
  <si>
    <t>BILJANA KOSTRES</t>
  </si>
  <si>
    <t>C:\Users\oriol.garcia\OneDrive - EUROLEAGUE\Documents\Season 25-26\Reports\Euroleague\Partizan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</si>
</sst>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8" sqref="L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05_043_TEL_OLY_E2025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45946.875</v>
      </c>
      <c r="C3" s="178"/>
      <c r="D3" s="39">
        <v>567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751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747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746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REPORT_E2025043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"E2025043"</v>
      </c>
      <c r="F3" s="45" t="str">
        <f t="shared" ref="F3:F16" si="0">""""&amp;B3&amp;"""" &amp; " : " &amp;C3&amp;","</f>
        <v>"name" : "E2025043",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"E043"</v>
      </c>
      <c r="F4" s="45" t="str">
        <f t="shared" si="0"/>
        <v>"cod" : "E043",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043</v>
      </c>
      <c r="F6" s="45" t="str">
        <f t="shared" si="0"/>
        <v>"number" : 043,</v>
      </c>
    </row>
    <row r="7" spans="2:6" x14ac:dyDescent="0.2">
      <c r="B7" s="43" t="s">
        <v>116</v>
      </c>
      <c r="C7" s="43" t="str">
        <f ca="1">""""&amp;TEXT('SCOUT &amp; LOGISTICS'!B3,"dd/mm/aaaa")&amp;""""</f>
        <v>"16/10/Thursday"</v>
      </c>
      <c r="F7" s="45" t="str">
        <f t="shared" ca="1" si="0"/>
        <v>"date" : "16/10/Thursday",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"MILAN KYRGIC"</v>
      </c>
      <c r="F12" s="45" t="str">
        <f t="shared" si="0"/>
        <v>"Caller_2" : "MILAN KYRGIC",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567</v>
      </c>
      <c r="F25" s="45" t="str">
        <f t="shared" ref="F25:F48" si="1">""""&amp;C25&amp;"""" &amp; " : " &amp;D25&amp;","</f>
        <v>"total_actions" : 567,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"Northing to comment! More games like that!"</v>
      </c>
      <c r="F51" s="45" t="str">
        <f>""""&amp;B51&amp;"""" &amp; " : " &amp;C51&amp;","</f>
        <v>"comments" : "Northing to comment! More games like that!",</v>
      </c>
    </row>
    <row r="52" spans="2:6" x14ac:dyDescent="0.2">
      <c r="B52" s="43" t="s">
        <v>153</v>
      </c>
      <c r="C52" s="43" t="str">
        <f>TEXT('SCOUT &amp; LOGISTICS'!F1,"0,0")</f>
        <v>05_043_TEL_OLY_E2025</v>
      </c>
      <c r="F52" s="45" t="str">
        <f>""""&amp;B52&amp;"""" &amp; " : " &amp;C52</f>
        <v>"result" : 05_043_TEL_OLY_E2025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E043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16/10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PETAR VASILJEVIC</v>
      </c>
      <c r="C8" s="201"/>
      <c r="D8" s="201"/>
      <c r="E8" s="201"/>
      <c r="F8" s="201"/>
      <c r="G8" s="201" t="str">
        <f>IF('SCOUT &amp; LOGISTICS'!D7="","",'SCOUT &amp; LOGISTICS'!D7)</f>
        <v>IVANA VASILJEVIC</v>
      </c>
      <c r="H8" s="201"/>
      <c r="I8" s="201"/>
      <c r="J8" s="201"/>
      <c r="K8" s="201"/>
      <c r="L8" s="201" t="str">
        <f>IF('SCOUT &amp; LOGISTICS'!D8="","",'SCOUT &amp; LOGISTICS'!D8)</f>
        <v>MILAN KYRGIC</v>
      </c>
      <c r="M8" s="201"/>
      <c r="N8" s="201"/>
      <c r="O8" s="201"/>
      <c r="P8" s="201"/>
      <c r="Q8" s="201" t="str">
        <f>IF('SCOUT &amp; LOGISTICS'!D9="","",'SCOUT &amp; LOGISTICS'!D9)</f>
        <v>SONJA STANKOVIC</v>
      </c>
      <c r="R8" s="201"/>
      <c r="S8" s="201"/>
      <c r="T8" s="201"/>
      <c r="U8" s="201"/>
      <c r="V8" s="201" t="str">
        <f>IF('SCOUT &amp; LOGISTICS'!D10="","",'SCOUT &amp; LOGISTICS'!D10)</f>
        <v>MIROSLAVA DERIKONJIC</v>
      </c>
      <c r="W8" s="201"/>
      <c r="X8" s="201"/>
      <c r="Y8" s="201"/>
      <c r="Z8" s="201"/>
      <c r="AA8" s="201" t="str">
        <f>IF('SCOUT &amp; LOGISTICS'!D11="","",'SCOUT &amp; LOGISTICS'!D11)</f>
        <v>BILJANA KOSTRES</v>
      </c>
      <c r="AB8" s="201"/>
      <c r="AC8" s="201"/>
      <c r="AD8" s="201"/>
      <c r="AE8" s="201"/>
      <c r="AF8" s="48"/>
    </row>
    <row r="9" spans="1:33" ht="13.5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5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5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567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5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5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5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Northing to comment! More games like that!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763BD59-CC75-4C15-8E68-2900C90F0BC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2025-10-16T21:09:56Z</cp:lastPrinted>
  <dcterms:created xsi:type="dcterms:W3CDTF">2023-09-19T19:50:35Z</dcterms:created>
  <dcterms:modified xsi:type="dcterms:W3CDTF">2025-10-21T14:13:17Z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