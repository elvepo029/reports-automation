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2" documentId="8_{BC5419F2-2541-4AA4-9A6A-BC0A6996BF76}" xr6:coauthVersionLast="47" xr6:coauthVersionMax="47" xr10:uidLastSave="{82BD33D2-DB89-46E8-B854-1AB565D5D07D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<sst xmlns="http://schemas.openxmlformats.org/spreadsheetml/2006/main" count="3264" uniqueCount="762">
  <si>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</si>
  <si>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</si>
  <si>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</si>
  <si>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</si>
  <si>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</si>
  <si>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</si>
  <si>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</si>
  <si>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</si>
  <si>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</si>
  <si>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</si>
  <si>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</si>
  <si>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</si>
  <si>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</si>
  <si>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</si>
  <si>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</si>
  <si>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</si>
  <si>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</si>
  <si>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</si>
  <si>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</si>
  <si>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</si>
  <si>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</si>
  <si>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</si>
  <si>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</si>
  <si>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</si>
  <si>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</si>
  <si>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</si>
  <si>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</si>
  <si>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</si>
  <si>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</si>
  <si>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</si>
  <si>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</si>
  <si>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</si>
  <si>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</si>
  <si>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</si>
  <si>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</si>
  <si>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</si>
  <si>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</si>
  <si>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</si>
  <si>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</si>
  <si>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</si>
  <si>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</si>
  <si>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</si>
  <si>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</si>
  <si>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</si>
  <si>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</si>
  <si>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</si>
  <si>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</si>
  <si>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</si>
  <si>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</si>
  <si>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</si>
  <si>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</si>
  <si>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</si>
  <si>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</si>
  <si>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</si>
  <si>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</si>
  <si>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</si>
  <si>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</si>
  <si>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</si>
  <si>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</si>
  <si>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</si>
  <si>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</si>
  <si>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</si>
  <si>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</si>
  <si>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</si>
  <si>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</si>
  <si>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</si>
  <si>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</si>
  <si>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</si>
  <si>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</si>
  <si>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</si>
  <si>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</si>
  <si>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</si>
  <si>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</si>
  <si>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</si>
  <si>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</si>
  <si>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</si>
  <si>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</si>
  <si>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</si>
  <si>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</si>
  <si>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</si>
  <si>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</si>
  <si>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</si>
  <si>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</si>
  <si>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</si>
  <si>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</si>
  <si>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</si>
  <si>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</si>
  <si>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</si>
  <si>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</si>
  <si>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</si>
  <si>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</si>
  <si>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</si>
  <si>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</si>
  <si>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</si>
  <si>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</si>
  <si>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</si>
  <si>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</si>
  <si>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</si>
  <si>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</si>
  <si>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</si>
  <si>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</si>
  <si>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</si>
  <si>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</si>
  <si>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</si>
  <si>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</si>
  <si>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</si>
  <si>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</si>
  <si>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</si>
  <si>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</si>
  <si>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</si>
  <si>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</si>
  <si>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</si>
  <si>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</si>
  <si>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</si>
  <si>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</si>
  <si>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</si>
  <si>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</si>
  <si>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</si>
  <si>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</si>
  <si>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</si>
  <si>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</si>
  <si>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</si>
  <si>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</si>
  <si>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</si>
  <si>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</si>
  <si>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</si>
  <si>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</si>
  <si>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</si>
  <si>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</si>
  <si>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</si>
  <si>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</si>
  <si>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</si>
  <si>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</si>
  <si>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</si>
  <si>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</si>
  <si>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</si>
  <si>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</si>
  <si>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</si>
  <si>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</si>
  <si>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</si>
  <si>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</si>
  <si>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</si>
  <si>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</si>
  <si>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</si>
  <si>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</si>
  <si>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</si>
  <si>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</si>
  <si>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</si>
  <si>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</si>
  <si>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</si>
  <si>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</si>
  <si>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</si>
  <si>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</si>
  <si>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</si>
  <si>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</si>
  <si>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</si>
  <si>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</si>
  <si>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</si>
  <si>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</si>
  <si>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</si>
  <si>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</si>
  <si>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</si>
  <si>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</si>
  <si>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</si>
  <si>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</si>
  <si>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</si>
  <si>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</si>
  <si>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</si>
  <si>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</si>
  <si>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</si>
  <si>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</si>
  <si>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</si>
  <si>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</si>
  <si>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</si>
  <si>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</si>
  <si>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</si>
  <si>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</si>
  <si>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</si>
  <si>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</si>
  <si>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</si>
  <si>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</si>
  <si>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</si>
  <si>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</si>
  <si>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</si>
  <si>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</si>
  <si>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</si>
  <si>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</si>
  <si>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</si>
  <si>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</si>
  <si>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</si>
  <si>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</si>
  <si>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</si>
  <si>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</si>
  <si>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</si>
  <si>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</si>
  <si>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</si>
  <si>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</si>
  <si>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</si>
  <si>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</si>
  <si>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</si>
  <si>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</si>
  <si>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</si>
  <si>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</si>
  <si>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</si>
  <si>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</si>
  <si>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</si>
  <si>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</si>
  <si>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</si>
  <si>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</si>
  <si>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</si>
  <si>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</si>
  <si>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</si>
  <si>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</si>
  <si>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</si>
  <si>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</si>
  <si>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</si>
  <si>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</si>
  <si>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</si>
  <si>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</si>
  <si>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</si>
  <si>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</si>
  <si>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</si>
  <si>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</si>
  <si>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</si>
  <si>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</si>
  <si>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</si>
  <si>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</si>
  <si>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</si>
  <si>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</si>
  <si>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</si>
  <si>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</si>
  <si>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</si>
  <si>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</si>
  <si>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</si>
  <si>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</si>
  <si>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</si>
  <si>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</si>
  <si>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</si>
  <si>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</si>
  <si>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</si>
  <si>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</si>
  <si>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</si>
  <si>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</si>
  <si>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</si>
  <si>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</si>
  <si>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</si>
  <si>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</si>
  <si>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</si>
  <si>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</si>
  <si>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</si>
  <si>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</si>
  <si>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</si>
  <si>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</si>
  <si>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</si>
  <si>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</si>
  <si>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</si>
  <si>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</si>
  <si>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</si>
  <si>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</si>
  <si>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</si>
  <si>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</si>
  <si>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</si>
  <si>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</si>
  <si>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</si>
  <si>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</si>
  <si>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</si>
  <si>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</si>
  <si>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</si>
  <si>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</si>
  <si>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</si>
  <si>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</si>
  <si>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</si>
  <si>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</si>
  <si>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</si>
  <si>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</si>
  <si>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</si>
  <si>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</si>
  <si>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</si>
  <si>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</si>
  <si>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</si>
  <si>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</si>
  <si>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</si>
  <si>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</si>
  <si>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</si>
  <si>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</si>
  <si>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</si>
  <si>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</si>
  <si>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</si>
  <si>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</si>
  <si>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</si>
  <si>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</si>
  <si>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</si>
  <si>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</si>
  <si>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</si>
  <si>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</si>
  <si>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</si>
  <si>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</si>
  <si>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</si>
  <si>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</si>
  <si>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</si>
  <si>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</si>
  <si>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</si>
  <si>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</si>
  <si>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</si>
  <si>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</si>
  <si>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</si>
  <si>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</si>
  <si>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</si>
  <si>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</si>
  <si>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</si>
  <si>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</si>
  <si>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</si>
  <si>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</si>
  <si>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</si>
  <si>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</si>
  <si>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</si>
  <si>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</si>
  <si>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</si>
  <si>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</si>
  <si>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</si>
  <si>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</si>
  <si>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</si>
  <si>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</si>
  <si>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</si>
  <si>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</si>
  <si>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</si>
  <si>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</si>
  <si>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</si>
  <si>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</si>
  <si>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</si>
  <si>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</si>
  <si>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</si>
  <si>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</si>
  <si>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</si>
  <si>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</si>
  <si>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</si>
  <si>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</si>
  <si>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</si>
  <si>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</si>
  <si>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</si>
  <si>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</si>
  <si>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</si>
  <si>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</si>
  <si>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</si>
  <si>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</si>
  <si>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</si>
  <si>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</si>
  <si>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</si>
  <si>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</si>
  <si>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</si>
  <si>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</si>
  <si>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</si>
  <si>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</si>
  <si>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</si>
  <si>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</si>
  <si>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</si>
  <si>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</si>
  <si>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</si>
  <si>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</si>
  <si>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</si>
  <si>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</si>
  <si>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</si>
  <si>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</si>
  <si>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</si>
  <si>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</si>
  <si>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</si>
  <si>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</si>
  <si>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</si>
  <si>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</si>
  <si>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</si>
  <si>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</si>
  <si>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</si>
  <si>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</si>
  <si>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</si>
  <si>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</si>
  <si>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</si>
  <si>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</si>
  <si>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</si>
  <si>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</si>
  <si>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</si>
  <si>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</si>
  <si>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</si>
  <si>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</si>
  <si>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</si>
  <si>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</si>
  <si>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</si>
  <si>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</si>
  <si>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</si>
  <si>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</si>
  <si>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</si>
  <si>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</si>
  <si>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</si>
  <si>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</si>
  <si>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</si>
  <si>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</si>
  <si>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</si>
  <si>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</si>
  <si>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</si>
  <si>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</si>
  <si>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</si>
  <si>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</si>
  <si>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</si>
  <si>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</si>
  <si>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</si>
  <si>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</si>
  <si>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</si>
  <si>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</si>
  <si>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</si>
  <si>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</si>
  <si>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</si>
  <si>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</si>
  <si>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</si>
  <si>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</si>
  <si>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</si>
  <si>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</si>
  <si>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</si>
  <si>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</si>
  <si>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</si>
  <si>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</si>
  <si>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</si>
  <si>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</si>
  <si>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</si>
  <si>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</si>
  <si>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</si>
  <si>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</si>
  <si>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</si>
  <si>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</si>
  <si>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</si>
  <si>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</si>
  <si>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</si>
  <si>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</si>
  <si>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</si>
  <si>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</si>
  <si>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</si>
  <si>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</si>
  <si>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</si>
  <si>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</si>
  <si>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</si>
  <si>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</si>
  <si>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</si>
  <si>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</si>
  <si>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</si>
  <si>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</si>
  <si>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</si>
  <si>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</si>
  <si>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</si>
  <si>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</si>
  <si>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</si>
  <si>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</si>
  <si>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</si>
  <si>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</si>
  <si>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</si>
  <si>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</si>
  <si>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</si>
  <si>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</si>
  <si>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</si>
  <si>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</si>
  <si>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</si>
  <si>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</si>
  <si>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</si>
  <si>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</si>
  <si>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</si>
  <si>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</si>
  <si>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</si>
  <si>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</si>
  <si>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</si>
  <si>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</si>
  <si>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</si>
  <si>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</si>
  <si>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</si>
  <si>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</si>
  <si>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</si>
  <si>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</si>
  <si>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</si>
  <si>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</si>
  <si>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</si>
  <si>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</si>
  <si>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</si>
  <si>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</si>
  <si>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</si>
  <si>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</si>
  <si>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</si>
  <si>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</si>
  <si>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</si>
  <si>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</si>
  <si>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</si>
  <si>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</si>
  <si>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</si>
  <si>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</si>
  <si>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</si>
  <si>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</si>
  <si>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</si>
  <si>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</si>
  <si>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</si>
  <si>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</si>
  <si>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</si>
  <si>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</si>
  <si>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</si>
  <si>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</si>
  <si>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</si>
  <si>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</si>
  <si>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</si>
  <si>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</si>
  <si>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</si>
  <si>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</si>
  <si>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</si>
  <si>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</si>
  <si>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</si>
  <si>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</si>
  <si>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</si>
  <si>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</si>
  <si>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</si>
  <si>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</si>
  <si>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</si>
  <si>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</si>
  <si>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</si>
  <si>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</si>
  <si>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</si>
  <si>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</si>
  <si>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</si>
  <si>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</si>
  <si>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</si>
  <si>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</si>
  <si>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</si>
  <si>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</si>
  <si>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</si>
  <si>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</si>
  <si>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</si>
  <si>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</si>
  <si>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</si>
  <si>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</si>
  <si>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</si>
  <si>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</si>
  <si>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</si>
  <si>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</si>
  <si>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</si>
  <si>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</si>
  <si>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</si>
  <si>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</si>
  <si>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</si>
  <si>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</si>
  <si>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</si>
  <si>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</si>
  <si>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</si>
  <si>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</si>
  <si>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</si>
  <si>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</si>
  <si>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</si>
  <si>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</si>
  <si>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</si>
  <si>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</si>
  <si>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</si>
  <si>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</si>
  <si>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</si>
  <si>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</si>
  <si>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</si>
  <si>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</si>
  <si>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</si>
  <si>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</si>
  <si>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</si>
  <si>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</si>
  <si>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</si>
  <si>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</si>
  <si>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</si>
  <si>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</si>
  <si>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</si>
  <si>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</si>
  <si>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</si>
  <si>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</si>
  <si>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</si>
  <si>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</si>
  <si>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</si>
  <si>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</si>
  <si>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</si>
  <si>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</si>
  <si>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</si>
  <si>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</si>
  <si>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</si>
  <si>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</si>
  <si>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</si>
  <si>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</si>
  <si>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</si>
  <si>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</si>
  <si>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</si>
  <si>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</si>
  <si>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</si>
  <si>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</si>
  <si>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</si>
  <si>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</si>
  <si>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</si>
  <si>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</si>
  <si>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</si>
  <si>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</si>
  <si>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</si>
  <si>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</si>
  <si>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</si>
  <si>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</si>
  <si>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</si>
  <si>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</si>
  <si>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</si>
  <si>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</si>
  <si>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</si>
  <si>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</si>
  <si>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</si>
  <si>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</si>
  <si>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</si>
  <si>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</si>
  <si>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</si>
  <si>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</si>
  <si>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</si>
  <si>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</si>
  <si>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</si>
  <si>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</si>
  <si>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</si>
  <si>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</si>
  <si>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</si>
  <si>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</si>
  <si>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</si>
  <si>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</si>
  <si>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</si>
  <si>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</si>
  <si>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</si>
  <si>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</si>
  <si>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</si>
  <si>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</si>
  <si>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</si>
  <si>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</si>
  <si>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</si>
  <si>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</si>
  <si>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</si>
  <si>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</si>
  <si>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</si>
  <si>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</si>
  <si>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</si>
  <si>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</si>
  <si>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</si>
  <si>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</si>
  <si>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</si>
  <si>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</si>
  <si>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</si>
  <si>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</si>
  <si>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</si>
  <si>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</si>
  <si>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</si>
  <si>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</si>
  <si>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</si>
  <si>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</si>
  <si>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</si>
  <si>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</si>
  <si>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</si>
  <si>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</si>
  <si>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</si>
  <si>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</si>
  <si>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</si>
  <si>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</si>
  <si>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</si>
  <si>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</si>
  <si>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</si>
  <si>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</si>
  <si>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</si>
  <si>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</si>
  <si>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</si>
  <si>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</si>
  <si>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</si>
  <si>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</si>
  <si>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</si>
  <si>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</si>
  <si>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</si>
  <si>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</si>
  <si>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</si>
  <si>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</si>
  <si>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</si>
  <si>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</si>
  <si>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</si>
  <si>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</si>
  <si>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</si>
  <si>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</si>
  <si>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</si>
  <si>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</si>
  <si>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</si>
  <si>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</si>
  <si>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</si>
  <si>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</si>
  <si>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</si>
  <si>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</si>
  <si>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</si>
  <si>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</si>
  <si>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</si>
  <si>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</si>
  <si>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</si>
  <si>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</si>
  <si>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</si>
  <si>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</si>
  <si>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</si>
  <si>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</si>
  <si>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</si>
  <si>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</si>
  <si>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</si>
  <si>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</si>
  <si>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</si>
  <si>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</si>
  <si>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</si>
  <si>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</si>
  <si>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</si>
  <si>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</si>
  <si>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</si>
  <si>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</si>
  <si>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</si>
  <si>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</si>
  <si>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</si>
  <si>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</si>
  <si>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</si>
  <si>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</si>
  <si>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</si>
  <si>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</si>
  <si>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</si>
  <si>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</si>
  <si>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</si>
  <si>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</si>
  <si>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</si>
  <si>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</si>
  <si>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</si>
  <si>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</si>
  <si>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</si>
  <si>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</si>
  <si>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</si>
  <si>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</si>
  <si>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</si>
  <si>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</si>
  <si>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</si>
  <si>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</si>
  <si>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</si>
  <si>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</si>
  <si>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</si>
  <si>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</si>
  <si>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</si>
  <si>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</si>
  <si>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</si>
  <si>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</si>
  <si>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</si>
  <si>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</si>
  <si>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</si>
  <si>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</si>
  <si>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</si>
  <si>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</si>
  <si>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</si>
  <si>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</si>
  <si>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</si>
  <si>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</si>
  <si>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C:\Users\hector.guillen\EUROLEAGUE\EB STATS - Documents\General\SEASON 2025-26\Reports\Eurocup</t>
  </si>
  <si>
    <t>C:\Users\hector.guillen\EUROLEAGUE\EB STATS - Documents\General\SEASON 2025-26\Reports\Eurocup\PDF</t>
  </si>
  <si>
    <t>GERARD CAROD</t>
  </si>
  <si>
    <t>VERONICA NAVARRO</t>
  </si>
  <si>
    <t>ALBERTO MORALES</t>
  </si>
  <si>
    <t>GEMMA BOERA</t>
  </si>
  <si>
    <t>NARCIS JUBANY</t>
  </si>
  <si>
    <t>HECTOR GUILLEN</t>
  </si>
  <si>
    <t>5:00</t>
  </si>
  <si>
    <t>3:40</t>
  </si>
  <si>
    <t>4:00</t>
  </si>
  <si>
    <t>3:51</t>
  </si>
  <si>
    <t>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</si>
</sst>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05_044_MAN_BAH_U2025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45959.864583333336</v>
      </c>
      <c r="C3" s="157"/>
      <c r="D3" s="39">
        <v>647</v>
      </c>
      <c r="E3" s="29"/>
      <c r="F3" s="26">
        <f>SUBTOTAL(3,I17:I106)</f>
        <v>4</v>
      </c>
      <c r="G3" s="27">
        <f>IF(OR(D3="",D3=0),"",F3/D3)</f>
        <v>6.1823802163833074E-3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BAXI Manresa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6.1823802163833074E-3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Bahcesehir College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0.61823802163833075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5.118238021638331</v>
      </c>
      <c r="N7" s="58"/>
      <c r="O7" s="2"/>
      <c r="P7" s="2"/>
      <c r="Q7" s="86">
        <f>SUM(R5,S5,AC16)</f>
        <v>5.118238021638331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5.118238021638331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44</v>
      </c>
      <c r="D17" s="32" t="s">
        <v>757</v>
      </c>
      <c r="E17" s="33">
        <v>1</v>
      </c>
      <c r="F17" s="36">
        <v>4</v>
      </c>
      <c r="G17" s="36">
        <v>13</v>
      </c>
      <c r="H17" s="38" t="str">
        <f>IF(I17="","",$I$14)</f>
        <v>SCOUTING</v>
      </c>
      <c r="I17" s="34">
        <v>75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44</v>
      </c>
      <c r="D18" s="32" t="s">
        <v>758</v>
      </c>
      <c r="E18" s="33">
        <v>1</v>
      </c>
      <c r="F18" s="36">
        <v>7</v>
      </c>
      <c r="G18" s="36">
        <v>15</v>
      </c>
      <c r="H18" s="38" t="str">
        <f t="shared" ref="H18:H81" si="8">IF(I18="","",$I$14)</f>
        <v>SCOUTING</v>
      </c>
      <c r="I18" s="34">
        <v>103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44</v>
      </c>
      <c r="D19" s="32" t="s">
        <v>759</v>
      </c>
      <c r="E19" s="33">
        <v>2</v>
      </c>
      <c r="F19" s="36">
        <v>21</v>
      </c>
      <c r="G19" s="36">
        <v>35</v>
      </c>
      <c r="H19" s="38" t="str">
        <f t="shared" si="8"/>
        <v>SCOUTING</v>
      </c>
      <c r="I19" s="34">
        <v>261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44</v>
      </c>
      <c r="D20" s="32" t="s">
        <v>760</v>
      </c>
      <c r="E20" s="33">
        <v>2</v>
      </c>
      <c r="F20" s="36">
        <v>21</v>
      </c>
      <c r="G20" s="36">
        <v>35</v>
      </c>
      <c r="H20" s="38" t="str">
        <f t="shared" si="8"/>
        <v>SCOUTING</v>
      </c>
      <c r="I20" s="34">
        <v>263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"U2025044"</v>
      </c>
      <c r="F3" s="45" t="str">
        <f t="shared" ref="F3:F16" si="0">""""&amp;B3&amp;"""" &amp; " : " &amp;C3&amp;","</f>
        <v>"name" : "U2025044",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"U044"</v>
      </c>
      <c r="F4" s="45" t="str">
        <f t="shared" si="0"/>
        <v>"cod" : "U044",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044</v>
      </c>
      <c r="F6" s="45" t="str">
        <f t="shared" si="0"/>
        <v>"number" : 044,</v>
      </c>
    </row>
    <row r="7" spans="2:6" x14ac:dyDescent="0.25">
      <c r="B7" s="43" t="s">
        <v>116</v>
      </c>
      <c r="C7" s="43" t="str">
        <f ca="1">""""&amp;TEXT('SCOUT &amp; LOGISTICS'!B3,"dd/mm/aaaa")&amp;""""</f>
        <v>"29/10/Wednesday"</v>
      </c>
      <c r="F7" s="45" t="str">
        <f t="shared" ca="1" si="0"/>
        <v>"date" : "29/10/Wednesday",</v>
      </c>
    </row>
    <row r="8" spans="2:6" x14ac:dyDescent="0.25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5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"VERONICA NAVARRO"</v>
      </c>
      <c r="F11" s="45" t="str">
        <f t="shared" si="0"/>
        <v>"Caller_1" : "VERONICA NAVARRO",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"ALBERTO MORALES"</v>
      </c>
      <c r="F12" s="45" t="str">
        <f t="shared" si="0"/>
        <v>"Caller_2" : "ALBERTO MORALES",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"GEMMA BOERA"</v>
      </c>
      <c r="F13" s="45" t="str">
        <f t="shared" si="0"/>
        <v>"Timerkeeper" : "GEMMA BOERA",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"NARCIS JUBANY"</v>
      </c>
      <c r="F14" s="45" t="str">
        <f t="shared" si="0"/>
        <v>"Shotclock" : "NARCIS JUBANY",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647</v>
      </c>
      <c r="F25" s="45" t="str">
        <f t="shared" ref="F25:F48" si="1">""""&amp;C25&amp;"""" &amp; " : " &amp;D25&amp;","</f>
        <v>"total_actions" : 647,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game. Keep it up!"</v>
      </c>
      <c r="F51" s="45" t="str">
        <f>""""&amp;B51&amp;"""" &amp; " : " &amp;C51&amp;","</f>
        <v>"comments" : "Good game. Keep it up!",</v>
      </c>
    </row>
    <row r="52" spans="2:6" x14ac:dyDescent="0.25">
      <c r="B52" s="43" t="s">
        <v>153</v>
      </c>
      <c r="C52" s="43" t="str">
        <f>TEXT('SCOUT &amp; LOGISTICS'!F1,"0,0")</f>
        <v>05_044_MAN_BAH_U2025</v>
      </c>
      <c r="F52" s="45" t="str">
        <f>""""&amp;B52&amp;"""" &amp; " : " &amp;C52</f>
        <v>"result" : 05_044_MAN_BAH_U2025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U044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Baxi Manresa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Bahcesehir College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VERONICA NAVARRO</v>
      </c>
      <c r="H8" s="206"/>
      <c r="I8" s="206"/>
      <c r="J8" s="206"/>
      <c r="K8" s="206"/>
      <c r="L8" s="206" t="str">
        <f>IF('SCOUT &amp; LOGISTICS'!D8="","",'SCOUT &amp; LOGISTICS'!D8)</f>
        <v>ALBERTO MORALES</v>
      </c>
      <c r="M8" s="206"/>
      <c r="N8" s="206"/>
      <c r="O8" s="206"/>
      <c r="P8" s="206"/>
      <c r="Q8" s="206" t="str">
        <f>IF('SCOUT &amp; LOGISTICS'!D9="","",'SCOUT &amp; LOGISTICS'!D9)</f>
        <v>GEMMA BOERA</v>
      </c>
      <c r="R8" s="206"/>
      <c r="S8" s="206"/>
      <c r="T8" s="206"/>
      <c r="U8" s="206"/>
      <c r="V8" s="206" t="str">
        <f>IF('SCOUT &amp; LOGISTICS'!D10="","",'SCOUT &amp; LOGISTICS'!D10)</f>
        <v>NARCIS JUBANY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6.1823802163833074E-3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game.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5.118238021638331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6D09744-5504-4FC3-9F2D-C33D02B43440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2025-10-31T19:09:16Z</cp:lastPrinted>
  <dcterms:created xsi:type="dcterms:W3CDTF">2023-09-19T19:50:35Z</dcterms:created>
  <dcterms:modified xsi:type="dcterms:W3CDTF">2025-10-31T19:09:18Z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