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5" documentId="8_{20B54D74-A588-4CB2-B1FE-8579045232BF}" xr6:coauthVersionLast="47" xr6:coauthVersionMax="47" xr10:uidLastSave="{FA409372-D137-4CA2-B1C8-1EE612A92434}"/>
  <bookViews>
    <workbookView xWindow="0" yWindow="-16200" windowWidth="28860" windowHeight="159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<sst xmlns="http://schemas.openxmlformats.org/spreadsheetml/2006/main" count="3255" uniqueCount="761">
  <si>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</si>
  <si>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</si>
  <si>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</si>
  <si>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</si>
  <si>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</si>
  <si>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</si>
  <si>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</si>
  <si>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</si>
  <si>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</si>
  <si>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</si>
  <si>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</si>
  <si>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</si>
  <si>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</si>
  <si>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</si>
  <si>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</si>
  <si>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</si>
  <si>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</si>
  <si>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</si>
  <si>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</si>
  <si>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</si>
  <si>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</si>
  <si>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</si>
  <si>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</si>
  <si>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</si>
  <si>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</si>
  <si>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</si>
  <si>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</si>
  <si>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</si>
  <si>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</si>
  <si>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</si>
  <si>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</si>
  <si>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</si>
  <si>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</si>
  <si>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</si>
  <si>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</si>
  <si>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</si>
  <si>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</si>
  <si>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</si>
  <si>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</si>
  <si>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</si>
  <si>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</si>
  <si>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</si>
  <si>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</si>
  <si>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</si>
  <si>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</si>
  <si>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</si>
  <si>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</si>
  <si>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</si>
  <si>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</si>
  <si>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</si>
  <si>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</si>
  <si>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</si>
  <si>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</si>
  <si>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</si>
  <si>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</si>
  <si>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</si>
  <si>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</si>
  <si>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</si>
  <si>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</si>
  <si>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</si>
  <si>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</si>
  <si>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</si>
  <si>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</si>
  <si>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</si>
  <si>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</si>
  <si>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</si>
  <si>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</si>
  <si>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</si>
  <si>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</si>
  <si>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</si>
  <si>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</si>
  <si>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</si>
  <si>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</si>
  <si>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</si>
  <si>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</si>
  <si>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</si>
  <si>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</si>
  <si>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</si>
  <si>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</si>
  <si>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</si>
  <si>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</si>
  <si>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</si>
  <si>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</si>
  <si>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</si>
  <si>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</si>
  <si>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</si>
  <si>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</si>
  <si>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</si>
  <si>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</si>
  <si>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</si>
  <si>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</si>
  <si>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</si>
  <si>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</si>
  <si>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</si>
  <si>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</si>
  <si>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</si>
  <si>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</si>
  <si>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</si>
  <si>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</si>
  <si>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</si>
  <si>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</si>
  <si>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</si>
  <si>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</si>
  <si>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</si>
  <si>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</si>
  <si>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</si>
  <si>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</si>
  <si>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</si>
  <si>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</si>
  <si>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</si>
  <si>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</si>
  <si>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</si>
  <si>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</si>
  <si>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</si>
  <si>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</si>
  <si>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</si>
  <si>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</si>
  <si>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</si>
  <si>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</si>
  <si>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</si>
  <si>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</si>
  <si>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</si>
  <si>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</si>
  <si>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</si>
  <si>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</si>
  <si>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</si>
  <si>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</si>
  <si>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</si>
  <si>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</si>
  <si>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</si>
  <si>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</si>
  <si>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</si>
  <si>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</si>
  <si>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</si>
  <si>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</si>
  <si>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</si>
  <si>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</si>
  <si>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</si>
  <si>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</si>
  <si>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</si>
  <si>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</si>
  <si>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</si>
  <si>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</si>
  <si>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</si>
  <si>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</si>
  <si>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</si>
  <si>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</si>
  <si>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</si>
  <si>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</si>
  <si>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</si>
  <si>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</si>
  <si>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</si>
  <si>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</si>
  <si>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</si>
  <si>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</si>
  <si>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</si>
  <si>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</si>
  <si>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</si>
  <si>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</si>
  <si>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</si>
  <si>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</si>
  <si>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</si>
  <si>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</si>
  <si>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</si>
  <si>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</si>
  <si>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</si>
  <si>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</si>
  <si>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</si>
  <si>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</si>
  <si>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</si>
  <si>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</si>
  <si>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</si>
  <si>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</si>
  <si>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</si>
  <si>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</si>
  <si>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</si>
  <si>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</si>
  <si>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</si>
  <si>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</si>
  <si>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</si>
  <si>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</si>
  <si>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</si>
  <si>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</si>
  <si>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</si>
  <si>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</si>
  <si>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</si>
  <si>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</si>
  <si>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</si>
  <si>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</si>
  <si>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</si>
  <si>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</si>
  <si>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</si>
  <si>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</si>
  <si>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</si>
  <si>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</si>
  <si>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</si>
  <si>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</si>
  <si>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</si>
  <si>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</si>
  <si>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</si>
  <si>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</si>
  <si>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</si>
  <si>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</si>
  <si>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</si>
  <si>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</si>
  <si>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</si>
  <si>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</si>
  <si>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</si>
  <si>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</si>
  <si>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</si>
  <si>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</si>
  <si>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</si>
  <si>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</si>
  <si>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</si>
  <si>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</si>
  <si>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</si>
  <si>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</si>
  <si>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</si>
  <si>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</si>
  <si>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</si>
  <si>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</si>
  <si>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</si>
  <si>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</si>
  <si>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</si>
  <si>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</si>
  <si>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</si>
  <si>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</si>
  <si>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</si>
  <si>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</si>
  <si>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</si>
  <si>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</si>
  <si>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</si>
  <si>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</si>
  <si>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</si>
  <si>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</si>
  <si>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</si>
  <si>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</si>
  <si>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</si>
  <si>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</si>
  <si>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</si>
  <si>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</si>
  <si>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</si>
  <si>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</si>
  <si>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</si>
  <si>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</si>
  <si>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</si>
  <si>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</si>
  <si>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</si>
  <si>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</si>
  <si>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</si>
  <si>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</si>
  <si>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</si>
  <si>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</si>
  <si>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</si>
  <si>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</si>
  <si>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</si>
  <si>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</si>
  <si>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</si>
  <si>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</si>
  <si>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</si>
  <si>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</si>
  <si>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</si>
  <si>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</si>
  <si>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</si>
  <si>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</si>
  <si>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</si>
  <si>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</si>
  <si>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</si>
  <si>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</si>
  <si>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</si>
  <si>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</si>
  <si>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</si>
  <si>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</si>
  <si>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</si>
  <si>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</si>
  <si>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</si>
  <si>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</si>
  <si>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</si>
  <si>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</si>
  <si>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</si>
  <si>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</si>
  <si>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</si>
  <si>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</si>
  <si>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</si>
  <si>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</si>
  <si>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</si>
  <si>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</si>
  <si>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</si>
  <si>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</si>
  <si>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</si>
  <si>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</si>
  <si>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</si>
  <si>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</si>
  <si>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</si>
  <si>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</si>
  <si>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</si>
  <si>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</si>
  <si>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</si>
  <si>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</si>
  <si>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</si>
  <si>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</si>
  <si>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</si>
  <si>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</si>
  <si>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</si>
  <si>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</si>
  <si>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</si>
  <si>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</si>
  <si>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</si>
  <si>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</si>
  <si>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</si>
  <si>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</si>
  <si>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</si>
  <si>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</si>
  <si>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</si>
  <si>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</si>
  <si>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</si>
  <si>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</si>
  <si>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</si>
  <si>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</si>
  <si>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</si>
  <si>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</si>
  <si>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</si>
  <si>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</si>
  <si>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</si>
  <si>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</si>
  <si>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</si>
  <si>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</si>
  <si>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</si>
  <si>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</si>
  <si>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</si>
  <si>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</si>
  <si>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</si>
  <si>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</si>
  <si>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</si>
  <si>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</si>
  <si>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</si>
  <si>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</si>
  <si>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</si>
  <si>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</si>
  <si>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</si>
  <si>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</si>
  <si>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</si>
  <si>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</si>
  <si>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</si>
  <si>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</si>
  <si>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</si>
  <si>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</si>
  <si>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</si>
  <si>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</si>
  <si>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</si>
  <si>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</si>
  <si>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</si>
  <si>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</si>
  <si>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</si>
  <si>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</si>
  <si>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</si>
  <si>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</si>
  <si>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</si>
  <si>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</si>
  <si>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</si>
  <si>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</si>
  <si>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</si>
  <si>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</si>
  <si>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</si>
  <si>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</si>
  <si>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</si>
  <si>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</si>
  <si>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</si>
  <si>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</si>
  <si>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</si>
  <si>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</si>
  <si>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</si>
  <si>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</si>
  <si>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</si>
  <si>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</si>
  <si>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</si>
  <si>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</si>
  <si>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</si>
  <si>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</si>
  <si>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</si>
  <si>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</si>
  <si>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</si>
  <si>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</si>
  <si>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</si>
  <si>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</si>
  <si>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</si>
  <si>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</si>
  <si>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</si>
  <si>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</si>
  <si>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</si>
  <si>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</si>
  <si>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</si>
  <si>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</si>
  <si>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</si>
  <si>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</si>
  <si>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</si>
  <si>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</si>
  <si>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</si>
  <si>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</si>
  <si>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</si>
  <si>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</si>
  <si>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</si>
  <si>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</si>
  <si>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</si>
  <si>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</si>
  <si>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</si>
  <si>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</si>
  <si>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</si>
  <si>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</si>
  <si>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</si>
  <si>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</si>
  <si>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</si>
  <si>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</si>
  <si>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</si>
  <si>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</si>
  <si>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</si>
  <si>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</si>
  <si>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</si>
  <si>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</si>
  <si>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</si>
  <si>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</si>
  <si>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</si>
  <si>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</si>
  <si>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</si>
  <si>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</si>
  <si>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</si>
  <si>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</si>
  <si>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</si>
  <si>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</si>
  <si>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</si>
  <si>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</si>
  <si>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</si>
  <si>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</si>
  <si>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</si>
  <si>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</si>
  <si>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</si>
  <si>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</si>
  <si>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</si>
  <si>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</si>
  <si>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</si>
  <si>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</si>
  <si>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</si>
  <si>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</si>
  <si>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</si>
  <si>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</si>
  <si>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</si>
  <si>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</si>
  <si>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</si>
  <si>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</si>
  <si>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</si>
  <si>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</si>
  <si>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</si>
  <si>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</si>
  <si>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</si>
  <si>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</si>
  <si>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</si>
  <si>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</si>
  <si>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</si>
  <si>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</si>
  <si>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</si>
  <si>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</si>
  <si>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</si>
  <si>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</si>
  <si>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</si>
  <si>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</si>
  <si>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</si>
  <si>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</si>
  <si>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</si>
  <si>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</si>
  <si>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</si>
  <si>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</si>
  <si>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</si>
  <si>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</si>
  <si>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</si>
  <si>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</si>
  <si>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</si>
  <si>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</si>
  <si>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</si>
  <si>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</si>
  <si>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</si>
  <si>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</si>
  <si>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</si>
  <si>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</si>
  <si>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</si>
  <si>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</si>
  <si>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</si>
  <si>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</si>
  <si>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</si>
  <si>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</si>
  <si>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</si>
  <si>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</si>
  <si>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</si>
  <si>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</si>
  <si>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</si>
  <si>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</si>
  <si>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</si>
  <si>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</si>
  <si>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</si>
  <si>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</si>
  <si>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</si>
  <si>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</si>
  <si>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</si>
  <si>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</si>
  <si>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</si>
  <si>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</si>
  <si>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</si>
  <si>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</si>
  <si>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</si>
  <si>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</si>
  <si>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</si>
  <si>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</si>
  <si>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</si>
  <si>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</si>
  <si>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</si>
  <si>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</si>
  <si>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</si>
  <si>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</si>
  <si>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</si>
  <si>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</si>
  <si>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</si>
  <si>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</si>
  <si>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</si>
  <si>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</si>
  <si>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</si>
  <si>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</si>
  <si>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</si>
  <si>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</si>
  <si>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</si>
  <si>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</si>
  <si>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</si>
  <si>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</si>
  <si>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</si>
  <si>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</si>
  <si>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</si>
  <si>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</si>
  <si>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</si>
  <si>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</si>
  <si>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</si>
  <si>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</si>
  <si>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</si>
  <si>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</si>
  <si>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</si>
  <si>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</si>
  <si>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</si>
  <si>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</si>
  <si>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</si>
  <si>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</si>
  <si>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</si>
  <si>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</si>
  <si>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</si>
  <si>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</si>
  <si>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</si>
  <si>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</si>
  <si>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</si>
  <si>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</si>
  <si>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</si>
  <si>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</si>
  <si>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</si>
  <si>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</si>
  <si>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</si>
  <si>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</si>
  <si>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</si>
  <si>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</si>
  <si>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</si>
  <si>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</si>
  <si>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</si>
  <si>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</si>
  <si>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</si>
  <si>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</si>
  <si>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</si>
  <si>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</si>
  <si>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</si>
  <si>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</si>
  <si>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</si>
  <si>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</si>
  <si>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</si>
  <si>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</si>
  <si>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</si>
  <si>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</si>
  <si>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</si>
  <si>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</si>
  <si>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</si>
  <si>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</si>
  <si>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</si>
  <si>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</si>
  <si>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</si>
  <si>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</si>
  <si>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</si>
  <si>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</si>
  <si>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</si>
  <si>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</si>
  <si>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</si>
  <si>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</si>
  <si>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</si>
  <si>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</si>
  <si>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</si>
  <si>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</si>
  <si>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</si>
  <si>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</si>
  <si>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</si>
  <si>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</si>
  <si>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</si>
  <si>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</si>
  <si>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</si>
  <si>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</si>
  <si>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</si>
  <si>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</si>
  <si>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</si>
  <si>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</si>
  <si>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</si>
  <si>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</si>
  <si>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</si>
  <si>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</si>
  <si>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</si>
  <si>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</si>
  <si>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</si>
  <si>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</si>
  <si>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</si>
  <si>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</si>
  <si>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</si>
  <si>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</si>
  <si>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</si>
  <si>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</si>
  <si>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</si>
  <si>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</si>
  <si>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</si>
  <si>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</si>
  <si>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</si>
  <si>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</si>
  <si>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</si>
  <si>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</si>
  <si>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</si>
  <si>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</si>
  <si>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</si>
  <si>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</si>
  <si>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</si>
  <si>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</si>
  <si>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</si>
  <si>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</si>
  <si>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</si>
  <si>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</si>
  <si>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</si>
  <si>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</si>
  <si>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</si>
  <si>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</si>
  <si>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</si>
  <si>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</si>
  <si>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</si>
  <si>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</si>
  <si>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</si>
  <si>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</si>
  <si>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</si>
  <si>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</si>
  <si>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</si>
  <si>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</si>
  <si>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</si>
  <si>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</si>
  <si>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</si>
  <si>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</si>
  <si>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</si>
  <si>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</si>
  <si>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</si>
  <si>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</si>
  <si>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</si>
  <si>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</si>
  <si>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</si>
  <si>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</si>
  <si>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</si>
  <si>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</si>
  <si>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</si>
  <si>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</si>
  <si>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</si>
  <si>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</si>
  <si>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</si>
  <si>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</si>
  <si>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</si>
  <si>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</si>
  <si>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</si>
  <si>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</si>
  <si>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</si>
  <si>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</si>
  <si>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</si>
  <si>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</si>
  <si>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</si>
  <si>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</si>
  <si>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</si>
  <si>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</si>
  <si>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</si>
  <si>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</si>
  <si>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</si>
  <si>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</si>
  <si>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</si>
  <si>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</si>
  <si>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</si>
  <si>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</si>
  <si>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</si>
  <si>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</si>
  <si>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</si>
  <si>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</si>
  <si>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</si>
  <si>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</si>
  <si>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</si>
  <si>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</si>
  <si>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</si>
  <si>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</si>
  <si>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</si>
  <si>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</si>
  <si>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</si>
  <si>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</si>
  <si>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</si>
  <si>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</si>
  <si>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</si>
  <si>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</si>
  <si>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</si>
  <si>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</si>
  <si>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</si>
  <si>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</si>
  <si>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</si>
  <si>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</si>
  <si>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</si>
  <si>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</si>
  <si>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</si>
  <si>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</si>
  <si>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</si>
  <si>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</si>
  <si>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</si>
  <si>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</si>
  <si>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</si>
  <si>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</si>
  <si>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</si>
  <si>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</si>
  <si>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</si>
  <si>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</si>
  <si>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</si>
  <si>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</si>
  <si>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</si>
  <si>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</si>
  <si>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</si>
  <si>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</si>
  <si>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</si>
  <si>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</si>
  <si>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</si>
  <si>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</si>
  <si>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</si>
  <si>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</si>
  <si>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</si>
  <si>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</si>
  <si>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</si>
  <si>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</si>
  <si>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</si>
  <si>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GIEDRE GARCINSKAITE</t>
  </si>
  <si>
    <t>RASA KIZIKAITE</t>
  </si>
  <si>
    <t>AUKSE ZAKRIENE</t>
  </si>
  <si>
    <t>VYTAUTAS RUDZEVICIUS</t>
  </si>
  <si>
    <t>MINDAUGAS RUDZEVICIUS</t>
  </si>
  <si>
    <t>NERIJUS MAINONIS</t>
  </si>
  <si>
    <t>C:\Users\nerea.fraile\EUROLEAGUE\EB STATS - Documents\General\SEASON 2025-26\Reports\Euroleague\PDF</t>
  </si>
  <si>
    <t>C:\Users\nerea.fraile\EUROLEAGUE\EB STATS - Documents\General\SEASON 2025-26\Reports\Euroleague</t>
  </si>
  <si>
    <t>00:30</t>
  </si>
  <si>
    <t>06:43</t>
  </si>
  <si>
    <t>Very good job! Very fast comunication, with game cuts to comment dubious actions. You are so meticulous and take very good decisions in difficult acitions.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</si>
</sst>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1" sqref="N1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05_044_ZAL_MIL_E2025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44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45946.833333333336</v>
      </c>
      <c r="C3" s="178"/>
      <c r="D3" s="39">
        <v>555</v>
      </c>
      <c r="E3" s="29"/>
      <c r="F3" s="26">
        <f>SUBTOTAL(3,I17:I106)</f>
        <v>2</v>
      </c>
      <c r="G3" s="27">
        <f>IF(OR(D3="",D3=0),"",F3/D3)</f>
        <v>3.6036036036036037E-3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Zalgiris Kaunas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742</v>
      </c>
      <c r="L4" s="5"/>
      <c r="M4" s="185" t="s">
        <v>760</v>
      </c>
      <c r="N4" s="186"/>
      <c r="O4" s="2"/>
      <c r="P4" s="2"/>
      <c r="Q4" s="84" t="s">
        <v>175</v>
      </c>
      <c r="R4" s="94">
        <f>(IF(G3="",0,G3))</f>
        <v>3.6036036036036037E-3</v>
      </c>
      <c r="S4" s="61">
        <f>SUM(I13:M13)</f>
        <v>0</v>
      </c>
      <c r="T4" s="78"/>
      <c r="U4" s="61">
        <f>AC18</f>
        <v>0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EA7 Emporio Armani Milan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0.36036036036036034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2.3603603603603602</v>
      </c>
      <c r="N7" s="58"/>
      <c r="O7" s="2"/>
      <c r="P7" s="2"/>
      <c r="Q7" s="86">
        <f>SUM(R5,S5,AC16)</f>
        <v>2.3603603603603602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2.3603603603603602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755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44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44</v>
      </c>
      <c r="D17" s="32" t="s">
        <v>758</v>
      </c>
      <c r="E17" s="33">
        <v>1</v>
      </c>
      <c r="F17" s="36">
        <v>18</v>
      </c>
      <c r="G17" s="36">
        <v>13</v>
      </c>
      <c r="H17" s="38" t="str">
        <f>IF(I17="","",$I$14)</f>
        <v>SCOUTING</v>
      </c>
      <c r="I17" s="34">
        <v>124</v>
      </c>
      <c r="J17" s="13" t="s">
        <v>4</v>
      </c>
      <c r="K17" s="13" t="s">
        <v>62</v>
      </c>
      <c r="L17" s="13" t="s">
        <v>6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44</v>
      </c>
      <c r="D18" s="32" t="s">
        <v>759</v>
      </c>
      <c r="E18" s="33">
        <v>3</v>
      </c>
      <c r="F18" s="36">
        <v>52</v>
      </c>
      <c r="G18" s="36">
        <v>49</v>
      </c>
      <c r="H18" s="38" t="str">
        <f t="shared" ref="H18:H81" si="8">IF(I18="","",$I$14)</f>
        <v>SCOUTING</v>
      </c>
      <c r="I18" s="34">
        <v>330</v>
      </c>
      <c r="J18" s="13" t="s">
        <v>4</v>
      </c>
      <c r="K18" s="13" t="s">
        <v>62</v>
      </c>
      <c r="L18" s="13" t="s">
        <v>6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REPORT_E2025044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"E2025044"</v>
      </c>
      <c r="F3" s="45" t="str">
        <f t="shared" ref="F3:F16" si="0">""""&amp;B3&amp;"""" &amp; " : " &amp;C3&amp;","</f>
        <v>"name" : "E2025044",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"E044"</v>
      </c>
      <c r="F4" s="45" t="str">
        <f t="shared" si="0"/>
        <v>"cod" : "E044",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044</v>
      </c>
      <c r="F6" s="45" t="str">
        <f t="shared" si="0"/>
        <v>"number" : 044,</v>
      </c>
    </row>
    <row r="7" spans="2:6" x14ac:dyDescent="0.25">
      <c r="B7" s="43" t="s">
        <v>116</v>
      </c>
      <c r="C7" s="43" t="str">
        <f ca="1">""""&amp;TEXT('SCOUT &amp; LOGISTICS'!B3,"dd/mm/aaaa")&amp;""""</f>
        <v>"16/10/Thursday"</v>
      </c>
      <c r="F7" s="45" t="str">
        <f t="shared" ca="1" si="0"/>
        <v>"date" : "16/10/Thursday",</v>
      </c>
    </row>
    <row r="8" spans="2:6" x14ac:dyDescent="0.25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5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"GIEDRE GARCINSKAITE"</v>
      </c>
      <c r="F10" s="45" t="str">
        <f t="shared" si="0"/>
        <v>"Data_entry" : "GIEDRE GARCINSKAITE",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"VYTAUTAS RUDZEVICIUS"</v>
      </c>
      <c r="F13" s="45" t="str">
        <f t="shared" si="0"/>
        <v>"Timerkeeper" : "VYTAUTAS RUDZEVICIUS",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"MINDAUGAS RUDZEVICIUS"</v>
      </c>
      <c r="F14" s="45" t="str">
        <f t="shared" si="0"/>
        <v>"Shotclock" : "MINDAUGAS RUDZEVICIUS",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"NERIJUS MAINONIS"</v>
      </c>
      <c r="F15" s="45" t="str">
        <f t="shared" si="0"/>
        <v>"IRS" : "NERIJUS MAINONIS",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555</v>
      </c>
      <c r="F25" s="45" t="str">
        <f t="shared" ref="F25:F48" si="1">""""&amp;C25&amp;"""" &amp; " : " &amp;D25&amp;","</f>
        <v>"total_actions" : 555,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Very fast comunication, with game cuts to comment dubious actions. You are so meticulous and take very good decisions in difficult acitions."</v>
      </c>
      <c r="F51" s="45" t="str">
        <f>""""&amp;B51&amp;"""" &amp; " : " &amp;C51&amp;","</f>
        <v>"comments" : "Very good job! Very fast comunication, with game cuts to comment dubious actions. You are so meticulous and take very good decisions in difficult acitions.",</v>
      </c>
    </row>
    <row r="52" spans="2:6" x14ac:dyDescent="0.25">
      <c r="B52" s="43" t="s">
        <v>153</v>
      </c>
      <c r="C52" s="43" t="str">
        <f>TEXT('SCOUT &amp; LOGISTICS'!F1,"0,0")</f>
        <v>05_044_ZAL_MIL_E2025</v>
      </c>
      <c r="F52" s="45" t="str">
        <f>""""&amp;B52&amp;"""" &amp; " : " &amp;C52</f>
        <v>"result" : 05_044_ZAL_MIL_E2025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E044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16/10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Zalgiris Kaunas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Ea7 Emporio Armani Milan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GIEDRE GARCINSKAITE</v>
      </c>
      <c r="C8" s="201"/>
      <c r="D8" s="201"/>
      <c r="E8" s="201"/>
      <c r="F8" s="201"/>
      <c r="G8" s="201" t="str">
        <f>IF('SCOUT &amp; LOGISTICS'!D7="","",'SCOUT &amp; LOGISTICS'!D7)</f>
        <v>RASA KIZIKAITE</v>
      </c>
      <c r="H8" s="201"/>
      <c r="I8" s="201"/>
      <c r="J8" s="201"/>
      <c r="K8" s="201"/>
      <c r="L8" s="201" t="str">
        <f>IF('SCOUT &amp; LOGISTICS'!D8="","",'SCOUT &amp; LOGISTICS'!D8)</f>
        <v>AUKSE ZAKRIENE</v>
      </c>
      <c r="M8" s="201"/>
      <c r="N8" s="201"/>
      <c r="O8" s="201"/>
      <c r="P8" s="201"/>
      <c r="Q8" s="201" t="str">
        <f>IF('SCOUT &amp; LOGISTICS'!D9="","",'SCOUT &amp; LOGISTICS'!D9)</f>
        <v>VYTAUTAS RUDZEVICIUS</v>
      </c>
      <c r="R8" s="201"/>
      <c r="S8" s="201"/>
      <c r="T8" s="201"/>
      <c r="U8" s="201"/>
      <c r="V8" s="201" t="str">
        <f>IF('SCOUT &amp; LOGISTICS'!D10="","",'SCOUT &amp; LOGISTICS'!D10)</f>
        <v>MINDAUGAS RUDZEVICIUS</v>
      </c>
      <c r="W8" s="201"/>
      <c r="X8" s="201"/>
      <c r="Y8" s="201"/>
      <c r="Z8" s="201"/>
      <c r="AA8" s="201" t="str">
        <f>IF('SCOUT &amp; LOGISTICS'!D11="","",'SCOUT &amp; LOGISTICS'!D11)</f>
        <v>NERIJUS MAINONIS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555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3.6036036036036037E-3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job! Very fast comunication, with game cuts to comment dubious actions. You are so meticulous and take very good decisions in difficult acitions.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2.3603603603603602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6B776C1-F847-43F6-82D5-BED5DBF0B9E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2025-10-16T19:35:51Z</cp:lastPrinted>
  <dcterms:created xsi:type="dcterms:W3CDTF">2023-09-19T19:50:35Z</dcterms:created>
  <dcterms:modified xsi:type="dcterms:W3CDTF">2025-10-17T14:55:41Z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