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2888F4E9-EB06-46E1-A558-0AA90AB53158}" xr6:coauthVersionLast="47" xr6:coauthVersionMax="47" xr10:uidLastSave="{00000000-0000-0000-0000-000000000000}"/>
  <bookViews>
    <workbookView minimized="1" xWindow="3990" yWindow="-1293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<sst xmlns="http://schemas.openxmlformats.org/spreadsheetml/2006/main" count="3255" uniqueCount="758">
  <si>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</si>
  <si>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</si>
  <si>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</si>
  <si>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</si>
  <si>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</si>
  <si>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</si>
  <si>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</si>
  <si>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</si>
  <si>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</si>
  <si>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</si>
  <si>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</si>
  <si>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</si>
  <si>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</si>
  <si>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</si>
  <si>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</si>
  <si>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</si>
  <si>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</si>
  <si>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</si>
  <si>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</si>
  <si>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</si>
  <si>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</si>
  <si>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</si>
  <si>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</si>
  <si>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</si>
  <si>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</si>
  <si>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</si>
  <si>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</si>
  <si>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</si>
  <si>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</si>
  <si>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</si>
  <si>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</si>
  <si>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</si>
  <si>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</si>
  <si>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</si>
  <si>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</si>
  <si>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</si>
  <si>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</si>
  <si>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</si>
  <si>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</si>
  <si>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</si>
  <si>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</si>
  <si>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</si>
  <si>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</si>
  <si>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</si>
  <si>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</si>
  <si>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</si>
  <si>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</si>
  <si>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</si>
  <si>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</si>
  <si>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</si>
  <si>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</si>
  <si>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</si>
  <si>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</si>
  <si>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</si>
  <si>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</si>
  <si>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</si>
  <si>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</si>
  <si>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</si>
  <si>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</si>
  <si>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</si>
  <si>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</si>
  <si>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</si>
  <si>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</si>
  <si>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</si>
  <si>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</si>
  <si>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</si>
  <si>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</si>
  <si>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</si>
  <si>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</si>
  <si>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</si>
  <si>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</si>
  <si>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</si>
  <si>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</si>
  <si>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</si>
  <si>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</si>
  <si>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</si>
  <si>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</si>
  <si>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</si>
  <si>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</si>
  <si>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</si>
  <si>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</si>
  <si>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</si>
  <si>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</si>
  <si>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</si>
  <si>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</si>
  <si>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</si>
  <si>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</si>
  <si>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</si>
  <si>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</si>
  <si>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</si>
  <si>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</si>
  <si>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</si>
  <si>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</si>
  <si>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</si>
  <si>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</si>
  <si>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</si>
  <si>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</si>
  <si>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</si>
  <si>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</si>
  <si>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</si>
  <si>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</si>
  <si>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</si>
  <si>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</si>
  <si>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</si>
  <si>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</si>
  <si>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</si>
  <si>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</si>
  <si>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</si>
  <si>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</si>
  <si>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</si>
  <si>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</si>
  <si>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</si>
  <si>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</si>
  <si>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</si>
  <si>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</si>
  <si>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</si>
  <si>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</si>
  <si>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</si>
  <si>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</si>
  <si>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</si>
  <si>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</si>
  <si>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</si>
  <si>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</si>
  <si>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</si>
  <si>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</si>
  <si>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</si>
  <si>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</si>
  <si>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</si>
  <si>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</si>
  <si>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</si>
  <si>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</si>
  <si>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</si>
  <si>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</si>
  <si>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</si>
  <si>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</si>
  <si>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</si>
  <si>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</si>
  <si>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</si>
  <si>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</si>
  <si>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</si>
  <si>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</si>
  <si>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</si>
  <si>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</si>
  <si>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</si>
  <si>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</si>
  <si>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</si>
  <si>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</si>
  <si>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</si>
  <si>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</si>
  <si>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</si>
  <si>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</si>
  <si>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</si>
  <si>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</si>
  <si>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</si>
  <si>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</si>
  <si>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</si>
  <si>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</si>
  <si>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</si>
  <si>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</si>
  <si>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</si>
  <si>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</si>
  <si>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</si>
  <si>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</si>
  <si>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</si>
  <si>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</si>
  <si>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</si>
  <si>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</si>
  <si>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</si>
  <si>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</si>
  <si>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</si>
  <si>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</si>
  <si>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</si>
  <si>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</si>
  <si>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</si>
  <si>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</si>
  <si>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</si>
  <si>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</si>
  <si>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</si>
  <si>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</si>
  <si>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</si>
  <si>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</si>
  <si>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</si>
  <si>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</si>
  <si>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</si>
  <si>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</si>
  <si>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</si>
  <si>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</si>
  <si>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</si>
  <si>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</si>
  <si>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</si>
  <si>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</si>
  <si>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</si>
  <si>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</si>
  <si>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</si>
  <si>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</si>
  <si>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</si>
  <si>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</si>
  <si>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</si>
  <si>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</si>
  <si>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</si>
  <si>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</si>
  <si>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</si>
  <si>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</si>
  <si>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</si>
  <si>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</si>
  <si>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</si>
  <si>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</si>
  <si>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</si>
  <si>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</si>
  <si>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</si>
  <si>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</si>
  <si>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</si>
  <si>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</si>
  <si>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</si>
  <si>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</si>
  <si>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</si>
  <si>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</si>
  <si>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</si>
  <si>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</si>
  <si>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</si>
  <si>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</si>
  <si>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</si>
  <si>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</si>
  <si>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</si>
  <si>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</si>
  <si>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</si>
  <si>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</si>
  <si>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</si>
  <si>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</si>
  <si>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</si>
  <si>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</si>
  <si>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</si>
  <si>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</si>
  <si>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</si>
  <si>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</si>
  <si>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</si>
  <si>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</si>
  <si>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</si>
  <si>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</si>
  <si>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</si>
  <si>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</si>
  <si>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</si>
  <si>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</si>
  <si>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</si>
  <si>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</si>
  <si>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</si>
  <si>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</si>
  <si>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</si>
  <si>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</si>
  <si>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</si>
  <si>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</si>
  <si>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</si>
  <si>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</si>
  <si>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</si>
  <si>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</si>
  <si>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</si>
  <si>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</si>
  <si>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</si>
  <si>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</si>
  <si>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</si>
  <si>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</si>
  <si>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</si>
  <si>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</si>
  <si>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</si>
  <si>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</si>
  <si>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</si>
  <si>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</si>
  <si>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</si>
  <si>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</si>
  <si>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</si>
  <si>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</si>
  <si>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</si>
  <si>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</si>
  <si>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</si>
  <si>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</si>
  <si>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</si>
  <si>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</si>
  <si>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</si>
  <si>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</si>
  <si>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</si>
  <si>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</si>
  <si>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</si>
  <si>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</si>
  <si>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</si>
  <si>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</si>
  <si>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</si>
  <si>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</si>
  <si>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</si>
  <si>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</si>
  <si>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</si>
  <si>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</si>
  <si>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</si>
  <si>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</si>
  <si>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</si>
  <si>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</si>
  <si>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</si>
  <si>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</si>
  <si>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</si>
  <si>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</si>
  <si>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</si>
  <si>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</si>
  <si>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</si>
  <si>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</si>
  <si>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</si>
  <si>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</si>
  <si>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</si>
  <si>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</si>
  <si>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</si>
  <si>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</si>
  <si>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</si>
  <si>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</si>
  <si>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</si>
  <si>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</si>
  <si>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</si>
  <si>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</si>
  <si>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</si>
  <si>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</si>
  <si>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</si>
  <si>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</si>
  <si>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</si>
  <si>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</si>
  <si>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</si>
  <si>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</si>
  <si>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</si>
  <si>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</si>
  <si>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</si>
  <si>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</si>
  <si>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</si>
  <si>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</si>
  <si>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</si>
  <si>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</si>
  <si>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</si>
  <si>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</si>
  <si>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</si>
  <si>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</si>
  <si>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</si>
  <si>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</si>
  <si>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</si>
  <si>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</si>
  <si>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</si>
  <si>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</si>
  <si>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</si>
  <si>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</si>
  <si>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</si>
  <si>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</si>
  <si>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</si>
  <si>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</si>
  <si>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</si>
  <si>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</si>
  <si>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</si>
  <si>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</si>
  <si>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</si>
  <si>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</si>
  <si>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</si>
  <si>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</si>
  <si>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</si>
  <si>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</si>
  <si>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</si>
  <si>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</si>
  <si>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</si>
  <si>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</si>
  <si>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</si>
  <si>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</si>
  <si>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</si>
  <si>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</si>
  <si>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</si>
  <si>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</si>
  <si>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</si>
  <si>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</si>
  <si>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</si>
  <si>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</si>
  <si>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</si>
  <si>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</si>
  <si>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</si>
  <si>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</si>
  <si>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</si>
  <si>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</si>
  <si>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</si>
  <si>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</si>
  <si>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</si>
  <si>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</si>
  <si>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</si>
  <si>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</si>
  <si>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</si>
  <si>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</si>
  <si>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</si>
  <si>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</si>
  <si>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</si>
  <si>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</si>
  <si>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</si>
  <si>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</si>
  <si>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</si>
  <si>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</si>
  <si>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</si>
  <si>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</si>
  <si>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</si>
  <si>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</si>
  <si>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</si>
  <si>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</si>
  <si>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</si>
  <si>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</si>
  <si>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</si>
  <si>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</si>
  <si>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</si>
  <si>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</si>
  <si>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</si>
  <si>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</si>
  <si>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</si>
  <si>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</si>
  <si>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</si>
  <si>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</si>
  <si>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</si>
  <si>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</si>
  <si>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</si>
  <si>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</si>
  <si>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</si>
  <si>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</si>
  <si>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</si>
  <si>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</si>
  <si>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</si>
  <si>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</si>
  <si>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</si>
  <si>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</si>
  <si>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</si>
  <si>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</si>
  <si>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</si>
  <si>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</si>
  <si>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</si>
  <si>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</si>
  <si>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</si>
  <si>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</si>
  <si>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</si>
  <si>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</si>
  <si>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</si>
  <si>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</si>
  <si>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</si>
  <si>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</si>
  <si>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</si>
  <si>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</si>
  <si>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</si>
  <si>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</si>
  <si>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</si>
  <si>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</si>
  <si>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</si>
  <si>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</si>
  <si>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</si>
  <si>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</si>
  <si>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</si>
  <si>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</si>
  <si>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</si>
  <si>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</si>
  <si>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</si>
  <si>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</si>
  <si>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</si>
  <si>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</si>
  <si>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</si>
  <si>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</si>
  <si>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</si>
  <si>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</si>
  <si>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</si>
  <si>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</si>
  <si>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</si>
  <si>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</si>
  <si>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</si>
  <si>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</si>
  <si>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</si>
  <si>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</si>
  <si>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</si>
  <si>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</si>
  <si>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</si>
  <si>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</si>
  <si>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</si>
  <si>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</si>
  <si>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</si>
  <si>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</si>
  <si>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</si>
  <si>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</si>
  <si>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</si>
  <si>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</si>
  <si>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</si>
  <si>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</si>
  <si>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</si>
  <si>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</si>
  <si>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</si>
  <si>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</si>
  <si>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</si>
  <si>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</si>
  <si>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</si>
  <si>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</si>
  <si>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</si>
  <si>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</si>
  <si>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</si>
  <si>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</si>
  <si>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</si>
  <si>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</si>
  <si>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</si>
  <si>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</si>
  <si>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</si>
  <si>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</si>
  <si>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</si>
  <si>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</si>
  <si>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</si>
  <si>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</si>
  <si>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</si>
  <si>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</si>
  <si>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</si>
  <si>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</si>
  <si>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</si>
  <si>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</si>
  <si>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</si>
  <si>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</si>
  <si>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</si>
  <si>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</si>
  <si>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</si>
  <si>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</si>
  <si>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</si>
  <si>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</si>
  <si>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</si>
  <si>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</si>
  <si>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</si>
  <si>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</si>
  <si>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</si>
  <si>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</si>
  <si>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</si>
  <si>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</si>
  <si>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</si>
  <si>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</si>
  <si>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</si>
  <si>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</si>
  <si>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</si>
  <si>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</si>
  <si>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</si>
  <si>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</si>
  <si>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</si>
  <si>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</si>
  <si>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</si>
  <si>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</si>
  <si>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</si>
  <si>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</si>
  <si>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</si>
  <si>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</si>
  <si>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</si>
  <si>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</si>
  <si>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</si>
  <si>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</si>
  <si>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</si>
  <si>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</si>
  <si>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</si>
  <si>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</si>
  <si>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</si>
  <si>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</si>
  <si>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</si>
  <si>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</si>
  <si>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</si>
  <si>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</si>
  <si>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</si>
  <si>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</si>
  <si>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</si>
  <si>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</si>
  <si>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</si>
  <si>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</si>
  <si>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</si>
  <si>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</si>
  <si>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</si>
  <si>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</si>
  <si>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</si>
  <si>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</si>
  <si>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</si>
  <si>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</si>
  <si>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</si>
  <si>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</si>
  <si>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</si>
  <si>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</si>
  <si>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</si>
  <si>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</si>
  <si>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</si>
  <si>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</si>
  <si>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</si>
  <si>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</si>
  <si>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</si>
  <si>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</si>
  <si>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</si>
  <si>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</si>
  <si>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</si>
  <si>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</si>
  <si>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</si>
  <si>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</si>
  <si>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</si>
  <si>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</si>
  <si>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</si>
  <si>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</si>
  <si>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</si>
  <si>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</si>
  <si>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</si>
  <si>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</si>
  <si>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</si>
  <si>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</si>
  <si>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</si>
  <si>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</si>
  <si>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</si>
  <si>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</si>
  <si>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</si>
  <si>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</si>
  <si>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</si>
  <si>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</si>
  <si>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</si>
  <si>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</si>
  <si>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</si>
  <si>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</si>
  <si>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</si>
  <si>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</si>
  <si>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</si>
  <si>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</si>
  <si>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</si>
  <si>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</si>
  <si>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</si>
  <si>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</si>
  <si>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</si>
  <si>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</si>
  <si>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</si>
  <si>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</si>
  <si>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</si>
  <si>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</si>
  <si>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</si>
  <si>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</si>
  <si>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</si>
  <si>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</si>
  <si>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</si>
  <si>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</si>
  <si>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</si>
  <si>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</si>
  <si>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</si>
  <si>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</si>
  <si>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</si>
  <si>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</si>
  <si>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</si>
  <si>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</si>
  <si>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</si>
  <si>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</si>
  <si>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</si>
  <si>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</si>
  <si>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</si>
  <si>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</si>
  <si>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</si>
  <si>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</si>
  <si>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</si>
  <si>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</si>
  <si>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</si>
  <si>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</si>
  <si>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</si>
  <si>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</si>
  <si>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</si>
  <si>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</si>
  <si>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</si>
  <si>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</si>
  <si>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</si>
  <si>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</si>
  <si>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</si>
  <si>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</si>
  <si>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</si>
  <si>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</si>
  <si>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</si>
  <si>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</si>
  <si>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</si>
  <si>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</si>
  <si>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</si>
  <si>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</si>
  <si>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</si>
  <si>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</si>
  <si>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</si>
  <si>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</si>
  <si>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</si>
  <si>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</si>
  <si>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</si>
  <si>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</si>
  <si>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</si>
  <si>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</si>
  <si>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</si>
  <si>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</si>
  <si>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</si>
  <si>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</si>
  <si>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</si>
  <si>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</si>
  <si>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</si>
  <si>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</si>
  <si>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</si>
  <si>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</si>
  <si>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</si>
  <si>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</si>
  <si>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</si>
  <si>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</si>
  <si>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</si>
  <si>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</si>
  <si>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</si>
  <si>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</si>
  <si>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</si>
  <si>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</si>
  <si>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</si>
  <si>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</si>
  <si>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</si>
  <si>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</si>
  <si>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</si>
  <si>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</si>
  <si>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</si>
  <si>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</si>
  <si>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</si>
  <si>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</si>
  <si>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</si>
  <si>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</si>
  <si>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</si>
  <si>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</si>
  <si>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</si>
  <si>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</si>
  <si>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</si>
  <si>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</si>
  <si>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</si>
  <si>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</si>
  <si>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</si>
  <si>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</si>
  <si>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</si>
  <si>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</si>
  <si>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</si>
  <si>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</si>
  <si>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</si>
  <si>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</si>
  <si>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</si>
  <si>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</si>
  <si>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</si>
  <si>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</si>
  <si>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</si>
  <si>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</si>
  <si>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</si>
  <si>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</si>
  <si>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</si>
  <si>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</si>
  <si>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</si>
  <si>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</si>
  <si>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</si>
  <si>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</si>
  <si>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</si>
  <si>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</si>
  <si>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</si>
  <si>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</si>
  <si>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</si>
  <si>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</si>
  <si>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</si>
  <si>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</si>
  <si>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</si>
  <si>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</si>
  <si>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</si>
  <si>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</si>
  <si>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ENDER OZBEK</t>
  </si>
  <si>
    <t>SERTAC DOSTEL</t>
  </si>
  <si>
    <t>AHMET YILDIZ</t>
  </si>
  <si>
    <t>MERVE SAGLAM</t>
  </si>
  <si>
    <t>04:15</t>
  </si>
  <si>
    <t>04:57</t>
  </si>
  <si>
    <t>The foul was forgotten because there is a tv time out at the same moment…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</si>
</sst>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1" sqref="D11:G1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05_045_IST_PAN_E2025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45947.854166666664</v>
      </c>
      <c r="C3" s="178"/>
      <c r="D3" s="39">
        <v>555</v>
      </c>
      <c r="E3" s="29"/>
      <c r="F3" s="26">
        <f>SUBTOTAL(3,I17:I106)</f>
        <v>2</v>
      </c>
      <c r="G3" s="27">
        <f>IF(OR(D3="",D3=0),"",F3/D3)</f>
        <v>3.6036036036036037E-3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3.6036036036036037E-3</v>
      </c>
      <c r="S4" s="61">
        <f>SUM(I13:M13)</f>
        <v>1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1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0.36036036036036034</v>
      </c>
      <c r="S5" s="70">
        <f t="shared" ref="S5" si="0">S4*S3</f>
        <v>1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15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18.36036036036036</v>
      </c>
      <c r="N7" s="58"/>
      <c r="O7" s="2"/>
      <c r="P7" s="2"/>
      <c r="Q7" s="86">
        <f>SUM(R5,S5,AC16)</f>
        <v>18.36036036036036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18.36036036036036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740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45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17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45</v>
      </c>
      <c r="D17" s="32" t="s">
        <v>756</v>
      </c>
      <c r="E17" s="33">
        <v>1</v>
      </c>
      <c r="F17" s="36"/>
      <c r="G17" s="36"/>
      <c r="H17" s="38" t="str">
        <f>IF(I17="","",$I$14)</f>
        <v>SCOUTING</v>
      </c>
      <c r="I17" s="34">
        <v>64</v>
      </c>
      <c r="J17" s="13" t="s">
        <v>3</v>
      </c>
      <c r="K17" s="13" t="s">
        <v>63</v>
      </c>
      <c r="L17" s="13" t="s">
        <v>76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45</v>
      </c>
      <c r="D18" s="32" t="s">
        <v>755</v>
      </c>
      <c r="E18" s="33">
        <v>1</v>
      </c>
      <c r="F18" s="36">
        <v>16</v>
      </c>
      <c r="G18" s="36">
        <v>12</v>
      </c>
      <c r="H18" s="38" t="str">
        <f t="shared" ref="H18:H81" si="8">IF(I18="","",$I$14)</f>
        <v>SCOUTING</v>
      </c>
      <c r="I18" s="34">
        <v>84</v>
      </c>
      <c r="J18" s="13" t="s">
        <v>4</v>
      </c>
      <c r="K18" s="13" t="s">
        <v>62</v>
      </c>
      <c r="L18" s="13" t="s">
        <v>48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1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REPORT_E2025045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"E2025045"</v>
      </c>
      <c r="F3" s="45" t="str">
        <f t="shared" ref="F3:F16" si="0">""""&amp;B3&amp;"""" &amp; " : " &amp;C3&amp;","</f>
        <v>"name" : "E2025045",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"E045"</v>
      </c>
      <c r="F4" s="45" t="str">
        <f t="shared" si="0"/>
        <v>"cod" : "E045",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045</v>
      </c>
      <c r="F6" s="45" t="str">
        <f t="shared" si="0"/>
        <v>"number" : 045,</v>
      </c>
    </row>
    <row r="7" spans="2:6" x14ac:dyDescent="0.2">
      <c r="B7" s="43" t="s">
        <v>116</v>
      </c>
      <c r="C7" s="43" t="str">
        <f ca="1">""""&amp;TEXT('SCOUT &amp; LOGISTICS'!B3,"dd/mm/aaaa")&amp;""""</f>
        <v>"17/10/Friday"</v>
      </c>
      <c r="F7" s="45" t="str">
        <f t="shared" ca="1" si="0"/>
        <v>"date" : "17/10/Friday",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"SERTAC DOSTEL"</v>
      </c>
      <c r="F12" s="45" t="str">
        <f t="shared" si="0"/>
        <v>"Caller_2" : "SERTAC DOSTEL",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"AHMET YILDIZ"</v>
      </c>
      <c r="F13" s="45" t="str">
        <f t="shared" si="0"/>
        <v>"Timerkeeper" : "AHMET YILDIZ",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"MERVE SAGLAM"</v>
      </c>
      <c r="F14" s="45" t="str">
        <f t="shared" si="0"/>
        <v>"Shotclock" : "MERVE SAGLAM",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555</v>
      </c>
      <c r="F25" s="45" t="str">
        <f t="shared" ref="F25:F48" si="1">""""&amp;C25&amp;"""" &amp; " : " &amp;D25&amp;","</f>
        <v>"total_actions" : 555,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1</v>
      </c>
      <c r="F40" s="45" t="str">
        <f t="shared" si="1"/>
        <v>"missing" : 1,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 foul was forgotten because there is a tv time out at the same moment…"</v>
      </c>
      <c r="F51" s="45" t="str">
        <f>""""&amp;B51&amp;"""" &amp; " : " &amp;C51&amp;","</f>
        <v>"comments" : "The foul was forgotten because there is a tv time out at the same moment…",</v>
      </c>
    </row>
    <row r="52" spans="2:6" x14ac:dyDescent="0.2">
      <c r="B52" s="43" t="s">
        <v>153</v>
      </c>
      <c r="C52" s="43" t="str">
        <f>TEXT('SCOUT &amp; LOGISTICS'!F1,"0,0")</f>
        <v>05_045_IST_PAN_E2025</v>
      </c>
      <c r="F52" s="45" t="str">
        <f>""""&amp;B52&amp;"""" &amp; " : " &amp;C52</f>
        <v>"result" : 05_045_IST_PAN_E2025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E045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ENDER OZBEK</v>
      </c>
      <c r="H8" s="201"/>
      <c r="I8" s="201"/>
      <c r="J8" s="201"/>
      <c r="K8" s="201"/>
      <c r="L8" s="201" t="str">
        <f>IF('SCOUT &amp; LOGISTICS'!D8="","",'SCOUT &amp; LOGISTICS'!D8)</f>
        <v>SERTAC DOSTEL</v>
      </c>
      <c r="M8" s="201"/>
      <c r="N8" s="201"/>
      <c r="O8" s="201"/>
      <c r="P8" s="201"/>
      <c r="Q8" s="201" t="str">
        <f>IF('SCOUT &amp; LOGISTICS'!D9="","",'SCOUT &amp; LOGISTICS'!D9)</f>
        <v>AHMET YILDIZ</v>
      </c>
      <c r="R8" s="201"/>
      <c r="S8" s="201"/>
      <c r="T8" s="201"/>
      <c r="U8" s="201"/>
      <c r="V8" s="201" t="str">
        <f>IF('SCOUT &amp; LOGISTICS'!D10="","",'SCOUT &amp; LOGISTICS'!D10)</f>
        <v>MERVE SAGLAM</v>
      </c>
      <c r="W8" s="201"/>
      <c r="X8" s="201"/>
      <c r="Y8" s="201"/>
      <c r="Z8" s="201"/>
      <c r="AA8" s="201" t="str">
        <f>IF('SCOUT &amp; LOGISTICS'!D11="","",'SCOUT &amp; LOGISTICS'!D11)</f>
        <v>MURAT KUS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555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3.6036036036036037E-3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1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 foul was forgotten because there is a tv time out at the same moment…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18.36036036036036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5799F26-A65C-4ADF-BBD3-AAEC7D16BAE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2025-10-17T20:04:40Z</cp:lastPrinted>
  <dcterms:created xsi:type="dcterms:W3CDTF">2023-09-19T19:50:35Z</dcterms:created>
  <dcterms:modified xsi:type="dcterms:W3CDTF">2025-10-24T16:29:10Z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