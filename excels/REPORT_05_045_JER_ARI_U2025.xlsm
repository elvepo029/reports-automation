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6" documentId="8_{270924EB-1301-4A6E-A01A-9C5A6D013F6F}" xr6:coauthVersionLast="47" xr6:coauthVersionMax="47" xr10:uidLastSave="{35B00B59-058D-41B8-ABB6-46626CD1AD79}"/>
  <bookViews>
    <workbookView xWindow="0" yWindow="-16200" windowWidth="28860" windowHeight="159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<sst xmlns="http://schemas.openxmlformats.org/spreadsheetml/2006/main" count="3292" uniqueCount="768">
  <si>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</si>
  <si>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</si>
  <si>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</si>
  <si>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</si>
  <si>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</si>
  <si>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</si>
  <si>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</si>
  <si>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</si>
  <si>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</si>
  <si>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</si>
  <si>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</si>
  <si>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</si>
  <si>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</si>
  <si>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</si>
  <si>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</si>
  <si>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</si>
  <si>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</si>
  <si>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</si>
  <si>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</si>
  <si>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</si>
  <si>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</si>
  <si>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</si>
  <si>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</si>
  <si>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</si>
  <si>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</si>
  <si>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</si>
  <si>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</si>
  <si>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</si>
  <si>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</si>
  <si>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</si>
  <si>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</si>
  <si>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</si>
  <si>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</si>
  <si>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</si>
  <si>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</si>
  <si>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</si>
  <si>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</si>
  <si>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</si>
  <si>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</si>
  <si>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</si>
  <si>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</si>
  <si>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</si>
  <si>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</si>
  <si>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</si>
  <si>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</si>
  <si>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</si>
  <si>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</si>
  <si>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</si>
  <si>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</si>
  <si>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</si>
  <si>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</si>
  <si>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</si>
  <si>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</si>
  <si>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</si>
  <si>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</si>
  <si>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</si>
  <si>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</si>
  <si>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</si>
  <si>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</si>
  <si>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</si>
  <si>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</si>
  <si>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</si>
  <si>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</si>
  <si>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</si>
  <si>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</si>
  <si>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</si>
  <si>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</si>
  <si>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</si>
  <si>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</si>
  <si>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</si>
  <si>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</si>
  <si>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</si>
  <si>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</si>
  <si>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</si>
  <si>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</si>
  <si>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</si>
  <si>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</si>
  <si>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</si>
  <si>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</si>
  <si>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</si>
  <si>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</si>
  <si>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</si>
  <si>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</si>
  <si>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</si>
  <si>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</si>
  <si>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</si>
  <si>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</si>
  <si>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</si>
  <si>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</si>
  <si>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</si>
  <si>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</si>
  <si>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</si>
  <si>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</si>
  <si>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</si>
  <si>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</si>
  <si>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</si>
  <si>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</si>
  <si>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</si>
  <si>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</si>
  <si>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</si>
  <si>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</si>
  <si>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</si>
  <si>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</si>
  <si>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</si>
  <si>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</si>
  <si>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</si>
  <si>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</si>
  <si>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</si>
  <si>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</si>
  <si>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</si>
  <si>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</si>
  <si>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</si>
  <si>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</si>
  <si>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</si>
  <si>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</si>
  <si>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</si>
  <si>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</si>
  <si>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</si>
  <si>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</si>
  <si>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</si>
  <si>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</si>
  <si>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</si>
  <si>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</si>
  <si>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</si>
  <si>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</si>
  <si>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</si>
  <si>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</si>
  <si>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</si>
  <si>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</si>
  <si>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</si>
  <si>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</si>
  <si>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</si>
  <si>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</si>
  <si>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</si>
  <si>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</si>
  <si>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</si>
  <si>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</si>
  <si>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</si>
  <si>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</si>
  <si>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</si>
  <si>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</si>
  <si>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</si>
  <si>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</si>
  <si>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</si>
  <si>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</si>
  <si>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</si>
  <si>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</si>
  <si>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</si>
  <si>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</si>
  <si>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</si>
  <si>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</si>
  <si>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</si>
  <si>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</si>
  <si>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</si>
  <si>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</si>
  <si>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</si>
  <si>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</si>
  <si>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</si>
  <si>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</si>
  <si>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</si>
  <si>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</si>
  <si>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</si>
  <si>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</si>
  <si>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</si>
  <si>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</si>
  <si>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</si>
  <si>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</si>
  <si>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</si>
  <si>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</si>
  <si>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</si>
  <si>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</si>
  <si>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</si>
  <si>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</si>
  <si>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</si>
  <si>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</si>
  <si>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</si>
  <si>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</si>
  <si>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</si>
  <si>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</si>
  <si>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</si>
  <si>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</si>
  <si>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</si>
  <si>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</si>
  <si>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</si>
  <si>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</si>
  <si>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</si>
  <si>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</si>
  <si>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</si>
  <si>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</si>
  <si>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</si>
  <si>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</si>
  <si>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</si>
  <si>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</si>
  <si>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</si>
  <si>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</si>
  <si>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</si>
  <si>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</si>
  <si>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</si>
  <si>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</si>
  <si>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</si>
  <si>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</si>
  <si>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</si>
  <si>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</si>
  <si>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</si>
  <si>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</si>
  <si>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</si>
  <si>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</si>
  <si>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</si>
  <si>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</si>
  <si>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</si>
  <si>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</si>
  <si>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</si>
  <si>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</si>
  <si>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</si>
  <si>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</si>
  <si>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</si>
  <si>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</si>
  <si>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</si>
  <si>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</si>
  <si>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</si>
  <si>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</si>
  <si>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</si>
  <si>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</si>
  <si>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</si>
  <si>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</si>
  <si>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</si>
  <si>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</si>
  <si>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</si>
  <si>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</si>
  <si>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</si>
  <si>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</si>
  <si>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</si>
  <si>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</si>
  <si>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</si>
  <si>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</si>
  <si>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</si>
  <si>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</si>
  <si>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</si>
  <si>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</si>
  <si>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</si>
  <si>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</si>
  <si>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</si>
  <si>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</si>
  <si>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</si>
  <si>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</si>
  <si>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</si>
  <si>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</si>
  <si>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</si>
  <si>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</si>
  <si>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</si>
  <si>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</si>
  <si>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</si>
  <si>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</si>
  <si>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</si>
  <si>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</si>
  <si>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</si>
  <si>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</si>
  <si>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</si>
  <si>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</si>
  <si>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</si>
  <si>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</si>
  <si>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</si>
  <si>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</si>
  <si>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</si>
  <si>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</si>
  <si>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</si>
  <si>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</si>
  <si>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</si>
  <si>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</si>
  <si>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</si>
  <si>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</si>
  <si>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</si>
  <si>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</si>
  <si>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</si>
  <si>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</si>
  <si>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</si>
  <si>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</si>
  <si>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</si>
  <si>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</si>
  <si>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</si>
  <si>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</si>
  <si>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</si>
  <si>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</si>
  <si>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</si>
  <si>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</si>
  <si>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</si>
  <si>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</si>
  <si>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</si>
  <si>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</si>
  <si>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</si>
  <si>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</si>
  <si>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</si>
  <si>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</si>
  <si>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</si>
  <si>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</si>
  <si>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</si>
  <si>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</si>
  <si>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</si>
  <si>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</si>
  <si>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</si>
  <si>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</si>
  <si>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</si>
  <si>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</si>
  <si>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</si>
  <si>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</si>
  <si>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</si>
  <si>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</si>
  <si>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</si>
  <si>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</si>
  <si>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</si>
  <si>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</si>
  <si>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</si>
  <si>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</si>
  <si>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</si>
  <si>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</si>
  <si>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</si>
  <si>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</si>
  <si>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</si>
  <si>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</si>
  <si>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</si>
  <si>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</si>
  <si>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</si>
  <si>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</si>
  <si>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</si>
  <si>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</si>
  <si>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</si>
  <si>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</si>
  <si>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</si>
  <si>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</si>
  <si>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</si>
  <si>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</si>
  <si>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</si>
  <si>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</si>
  <si>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</si>
  <si>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</si>
  <si>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</si>
  <si>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</si>
  <si>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</si>
  <si>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</si>
  <si>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</si>
  <si>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</si>
  <si>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</si>
  <si>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</si>
  <si>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</si>
  <si>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</si>
  <si>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</si>
  <si>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</si>
  <si>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</si>
  <si>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</si>
  <si>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</si>
  <si>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</si>
  <si>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</si>
  <si>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</si>
  <si>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</si>
  <si>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</si>
  <si>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</si>
  <si>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</si>
  <si>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</si>
  <si>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</si>
  <si>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</si>
  <si>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</si>
  <si>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</si>
  <si>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</si>
  <si>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</si>
  <si>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</si>
  <si>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</si>
  <si>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</si>
  <si>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</si>
  <si>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</si>
  <si>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</si>
  <si>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</si>
  <si>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</si>
  <si>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</si>
  <si>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</si>
  <si>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</si>
  <si>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</si>
  <si>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</si>
  <si>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</si>
  <si>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</si>
  <si>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</si>
  <si>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</si>
  <si>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</si>
  <si>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</si>
  <si>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</si>
  <si>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</si>
  <si>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</si>
  <si>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</si>
  <si>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</si>
  <si>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</si>
  <si>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</si>
  <si>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</si>
  <si>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</si>
  <si>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</si>
  <si>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</si>
  <si>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</si>
  <si>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</si>
  <si>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</si>
  <si>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</si>
  <si>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</si>
  <si>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</si>
  <si>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</si>
  <si>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</si>
  <si>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</si>
  <si>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</si>
  <si>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</si>
  <si>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</si>
  <si>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</si>
  <si>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</si>
  <si>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</si>
  <si>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</si>
  <si>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</si>
  <si>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</si>
  <si>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</si>
  <si>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</si>
  <si>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</si>
  <si>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</si>
  <si>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</si>
  <si>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</si>
  <si>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</si>
  <si>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</si>
  <si>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</si>
  <si>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</si>
  <si>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</si>
  <si>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</si>
  <si>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</si>
  <si>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</si>
  <si>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</si>
  <si>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</si>
  <si>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</si>
  <si>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</si>
  <si>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</si>
  <si>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</si>
  <si>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</si>
  <si>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</si>
  <si>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</si>
  <si>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</si>
  <si>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</si>
  <si>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</si>
  <si>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</si>
  <si>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</si>
  <si>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</si>
  <si>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</si>
  <si>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</si>
  <si>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</si>
  <si>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</si>
  <si>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</si>
  <si>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</si>
  <si>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</si>
  <si>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</si>
  <si>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</si>
  <si>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</si>
  <si>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</si>
  <si>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</si>
  <si>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</si>
  <si>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</si>
  <si>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</si>
  <si>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</si>
  <si>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</si>
  <si>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</si>
  <si>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</si>
  <si>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</si>
  <si>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</si>
  <si>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</si>
  <si>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</si>
  <si>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</si>
  <si>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</si>
  <si>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</si>
  <si>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</si>
  <si>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</si>
  <si>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</si>
  <si>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</si>
  <si>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</si>
  <si>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</si>
  <si>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</si>
  <si>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</si>
  <si>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</si>
  <si>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</si>
  <si>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</si>
  <si>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</si>
  <si>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</si>
  <si>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</si>
  <si>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</si>
  <si>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</si>
  <si>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</si>
  <si>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</si>
  <si>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</si>
  <si>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</si>
  <si>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</si>
  <si>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</si>
  <si>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</si>
  <si>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</si>
  <si>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</si>
  <si>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</si>
  <si>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</si>
  <si>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</si>
  <si>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</si>
  <si>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</si>
  <si>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</si>
  <si>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</si>
  <si>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</si>
  <si>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</si>
  <si>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</si>
  <si>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</si>
  <si>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</si>
  <si>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</si>
  <si>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</si>
  <si>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</si>
  <si>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</si>
  <si>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</si>
  <si>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</si>
  <si>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</si>
  <si>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</si>
  <si>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</si>
  <si>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</si>
  <si>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</si>
  <si>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</si>
  <si>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</si>
  <si>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</si>
  <si>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</si>
  <si>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</si>
  <si>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</si>
  <si>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</si>
  <si>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</si>
  <si>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</si>
  <si>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</si>
  <si>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</si>
  <si>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</si>
  <si>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</si>
  <si>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</si>
  <si>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</si>
  <si>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</si>
  <si>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</si>
  <si>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</si>
  <si>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</si>
  <si>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</si>
  <si>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</si>
  <si>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</si>
  <si>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</si>
  <si>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</si>
  <si>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</si>
  <si>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</si>
  <si>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</si>
  <si>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</si>
  <si>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</si>
  <si>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</si>
  <si>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</si>
  <si>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</si>
  <si>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</si>
  <si>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</si>
  <si>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</si>
  <si>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</si>
  <si>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</si>
  <si>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</si>
  <si>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</si>
  <si>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</si>
  <si>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</si>
  <si>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</si>
  <si>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</si>
  <si>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</si>
  <si>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</si>
  <si>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</si>
  <si>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</si>
  <si>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</si>
  <si>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</si>
  <si>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</si>
  <si>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</si>
  <si>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</si>
  <si>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</si>
  <si>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</si>
  <si>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</si>
  <si>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</si>
  <si>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</si>
  <si>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</si>
  <si>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</si>
  <si>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</si>
  <si>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</si>
  <si>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</si>
  <si>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</si>
  <si>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</si>
  <si>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</si>
  <si>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</si>
  <si>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</si>
  <si>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</si>
  <si>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</si>
  <si>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</si>
  <si>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</si>
  <si>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</si>
  <si>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</si>
  <si>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</si>
  <si>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</si>
  <si>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</si>
  <si>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</si>
  <si>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</si>
  <si>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</si>
  <si>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</si>
  <si>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</si>
  <si>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</si>
  <si>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</si>
  <si>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</si>
  <si>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</si>
  <si>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</si>
  <si>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</si>
  <si>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</si>
  <si>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</si>
  <si>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</si>
  <si>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</si>
  <si>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</si>
  <si>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</si>
  <si>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</si>
  <si>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</si>
  <si>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</si>
  <si>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</si>
  <si>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</si>
  <si>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</si>
  <si>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</si>
  <si>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</si>
  <si>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</si>
  <si>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</si>
  <si>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</si>
  <si>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</si>
  <si>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</si>
  <si>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</si>
  <si>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</si>
  <si>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</si>
  <si>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</si>
  <si>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</si>
  <si>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</si>
  <si>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</si>
  <si>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</si>
  <si>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</si>
  <si>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</si>
  <si>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</si>
  <si>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</si>
  <si>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</si>
  <si>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</si>
  <si>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</si>
  <si>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</si>
  <si>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</si>
  <si>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</si>
  <si>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</si>
  <si>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</si>
  <si>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</si>
  <si>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</si>
  <si>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</si>
  <si>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</si>
  <si>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</si>
  <si>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</si>
  <si>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</si>
  <si>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</si>
  <si>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</si>
  <si>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</si>
  <si>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</si>
  <si>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</si>
  <si>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</si>
  <si>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</si>
  <si>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</si>
  <si>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</si>
  <si>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</si>
  <si>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</si>
  <si>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</si>
  <si>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</si>
  <si>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</si>
  <si>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</si>
  <si>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</si>
  <si>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</si>
  <si>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</si>
  <si>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</si>
  <si>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</si>
  <si>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</si>
  <si>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</si>
  <si>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</si>
  <si>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</si>
  <si>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</si>
  <si>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</si>
  <si>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</si>
  <si>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</si>
  <si>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</si>
  <si>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</si>
  <si>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</si>
  <si>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</si>
  <si>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</si>
  <si>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</si>
  <si>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</si>
  <si>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</si>
  <si>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</si>
  <si>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</si>
  <si>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</si>
  <si>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</si>
  <si>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</si>
  <si>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</si>
  <si>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</si>
  <si>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</si>
  <si>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</si>
  <si>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</si>
  <si>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</si>
  <si>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</si>
  <si>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</si>
  <si>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</si>
  <si>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</si>
  <si>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</si>
  <si>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</si>
  <si>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</si>
  <si>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</si>
  <si>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</si>
  <si>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</si>
  <si>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</si>
  <si>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</si>
  <si>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</si>
  <si>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</si>
  <si>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</si>
  <si>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</si>
  <si>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</si>
  <si>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</si>
  <si>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</si>
  <si>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</si>
  <si>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</si>
  <si>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</si>
  <si>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</si>
  <si>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</si>
  <si>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</si>
  <si>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</si>
  <si>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</si>
  <si>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</si>
  <si>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</si>
  <si>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</si>
  <si>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</si>
  <si>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</si>
  <si>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</si>
  <si>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</si>
  <si>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</si>
  <si>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</si>
  <si>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</si>
  <si>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</si>
  <si>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</si>
  <si>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</si>
  <si>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</si>
  <si>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</si>
  <si>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</si>
  <si>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</si>
  <si>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</si>
  <si>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</si>
  <si>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</si>
  <si>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</si>
  <si>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</si>
  <si>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</si>
  <si>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</si>
  <si>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</si>
  <si>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</si>
  <si>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</si>
  <si>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NEREA FRAILE</t>
  </si>
  <si>
    <t>MILAN KVRGIC</t>
  </si>
  <si>
    <t>MARIJA SAVIC</t>
  </si>
  <si>
    <t>JOVANA VESKOVIC</t>
  </si>
  <si>
    <t>C:\Users\nerea.fraile\EUROLEAGUE\EB STATS - Documents\General\SEASON 2025-26\Reports\Eurocup\PDF</t>
  </si>
  <si>
    <t>C:\Users\nerea.fraile\EUROLEAGUE\EB STATS - Documents\General\SEASON 2025-26\Reports\Eurocup</t>
  </si>
  <si>
    <t>07:21</t>
  </si>
  <si>
    <t>06:15</t>
  </si>
  <si>
    <t>04:17</t>
  </si>
  <si>
    <t>03:21</t>
  </si>
  <si>
    <t>There are some consecutive actions with a time mismatch</t>
  </si>
  <si>
    <t>07:52</t>
  </si>
  <si>
    <t>06:38</t>
  </si>
  <si>
    <t>02:51</t>
  </si>
  <si>
    <t>09:32</t>
  </si>
  <si>
    <t>02:39</t>
  </si>
  <si>
    <t>The player touch the ball in the rebound but the hand doesn't follow a trajectory towards the hoop, it only tries to catch the rebound that ends up out of bounds.</t>
  </si>
  <si>
    <t>Action similar to 28 action. In this case there is an intention to palm the ball towards the hoop</t>
  </si>
  <si>
    <t>You've done a good job, with some errors that don't affect the game. The weakest point has been rebounding, with some missidentity or criteria mistakes. But overall good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</si>
</sst>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2" sqref="K1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05_045_JER_ARI_U2025</v>
      </c>
      <c r="G1" s="5"/>
      <c r="H1" s="5"/>
      <c r="I1" s="5"/>
      <c r="J1" s="8" t="s">
        <v>707</v>
      </c>
      <c r="K1" s="121" t="s">
        <v>754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45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45958.833333333336</v>
      </c>
      <c r="C3" s="157"/>
      <c r="D3" s="39">
        <v>617</v>
      </c>
      <c r="E3" s="29"/>
      <c r="F3" s="26">
        <f>SUBTOTAL(3,I17:I106)</f>
        <v>9</v>
      </c>
      <c r="G3" s="27">
        <f>IF(OR(D3="",D3=0),"",F3/D3)</f>
        <v>1.4586709886547812E-2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Bank Yahav Jerusalem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JER</v>
      </c>
      <c r="I4" s="5"/>
      <c r="J4" s="119" t="s">
        <v>714</v>
      </c>
      <c r="K4" s="54" t="s">
        <v>742</v>
      </c>
      <c r="L4" s="5"/>
      <c r="M4" s="167" t="s">
        <v>767</v>
      </c>
      <c r="N4" s="168"/>
      <c r="O4" s="2"/>
      <c r="P4" s="2"/>
      <c r="Q4" s="84" t="s">
        <v>175</v>
      </c>
      <c r="R4" s="94">
        <f>(IF(G3="",0,G3))</f>
        <v>1.4586709886547812E-2</v>
      </c>
      <c r="S4" s="61">
        <f>SUM(I13:M13)</f>
        <v>0</v>
      </c>
      <c r="T4" s="78"/>
      <c r="U4" s="61">
        <f>AC18</f>
        <v>3</v>
      </c>
      <c r="V4" s="61">
        <f>+AC22</f>
        <v>4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Aris Thessaloniki Betsson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1.4586709886547813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4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746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10.458670988654781</v>
      </c>
      <c r="N7" s="58"/>
      <c r="O7" s="2"/>
      <c r="P7" s="2"/>
      <c r="Q7" s="86">
        <f>SUM(R5,S5,AC16)</f>
        <v>10.458670988654781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745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10.458670988654781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31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45</v>
      </c>
      <c r="D17" s="32" t="s">
        <v>755</v>
      </c>
      <c r="E17" s="33">
        <v>1</v>
      </c>
      <c r="F17" s="36">
        <v>4</v>
      </c>
      <c r="G17" s="36">
        <v>5</v>
      </c>
      <c r="H17" s="38" t="str">
        <f>IF(I17="","",$I$14)</f>
        <v>SCOUTING</v>
      </c>
      <c r="I17" s="34">
        <v>28</v>
      </c>
      <c r="J17" s="13" t="s">
        <v>4</v>
      </c>
      <c r="K17" s="13" t="s">
        <v>62</v>
      </c>
      <c r="L17" s="13" t="s">
        <v>5</v>
      </c>
      <c r="M17" s="13" t="s">
        <v>28</v>
      </c>
      <c r="N17" s="35" t="s">
        <v>765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45</v>
      </c>
      <c r="D18" s="32" t="s">
        <v>756</v>
      </c>
      <c r="E18" s="33">
        <v>1</v>
      </c>
      <c r="F18" s="36">
        <v>7</v>
      </c>
      <c r="G18" s="36">
        <v>7</v>
      </c>
      <c r="H18" s="38" t="str">
        <f t="shared" ref="H18:H81" si="8">IF(I18="","",$I$14)</f>
        <v>SCOUTING</v>
      </c>
      <c r="I18" s="34">
        <v>38</v>
      </c>
      <c r="J18" s="13" t="s">
        <v>4</v>
      </c>
      <c r="K18" s="13" t="s">
        <v>63</v>
      </c>
      <c r="L18" s="13" t="s">
        <v>6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45</v>
      </c>
      <c r="D19" s="32" t="s">
        <v>757</v>
      </c>
      <c r="E19" s="33">
        <v>1</v>
      </c>
      <c r="F19" s="36">
        <v>11</v>
      </c>
      <c r="G19" s="36">
        <v>13</v>
      </c>
      <c r="H19" s="38" t="str">
        <f t="shared" si="8"/>
        <v>SCOUTING</v>
      </c>
      <c r="I19" s="34">
        <v>69</v>
      </c>
      <c r="J19" s="13" t="s">
        <v>4</v>
      </c>
      <c r="K19" s="13" t="s">
        <v>62</v>
      </c>
      <c r="L19" s="13" t="s">
        <v>7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45</v>
      </c>
      <c r="D20" s="32" t="s">
        <v>758</v>
      </c>
      <c r="E20" s="33">
        <v>1</v>
      </c>
      <c r="F20" s="36">
        <v>11</v>
      </c>
      <c r="G20" s="36">
        <v>14</v>
      </c>
      <c r="H20" s="38" t="str">
        <f t="shared" si="8"/>
        <v>SCOUTING</v>
      </c>
      <c r="I20" s="34">
        <v>91</v>
      </c>
      <c r="J20" s="13" t="s">
        <v>4</v>
      </c>
      <c r="K20" s="13" t="s">
        <v>63</v>
      </c>
      <c r="L20" s="13" t="s">
        <v>75</v>
      </c>
      <c r="M20" s="13" t="s">
        <v>8</v>
      </c>
      <c r="N20" s="35" t="s">
        <v>759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45</v>
      </c>
      <c r="D21" s="32" t="s">
        <v>760</v>
      </c>
      <c r="E21" s="33">
        <v>2</v>
      </c>
      <c r="F21" s="36">
        <v>32</v>
      </c>
      <c r="G21" s="36">
        <v>21</v>
      </c>
      <c r="H21" s="38" t="str">
        <f t="shared" si="8"/>
        <v>SCOUTING</v>
      </c>
      <c r="I21" s="34">
        <v>190</v>
      </c>
      <c r="J21" s="13" t="s">
        <v>4</v>
      </c>
      <c r="K21" s="13" t="s">
        <v>62</v>
      </c>
      <c r="L21" s="13" t="s">
        <v>6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45</v>
      </c>
      <c r="D22" s="32" t="s">
        <v>761</v>
      </c>
      <c r="E22" s="33">
        <v>3</v>
      </c>
      <c r="F22" s="36">
        <v>61</v>
      </c>
      <c r="G22" s="36">
        <v>50</v>
      </c>
      <c r="H22" s="38" t="str">
        <f t="shared" si="8"/>
        <v>SCOUTING</v>
      </c>
      <c r="I22" s="34">
        <v>367</v>
      </c>
      <c r="J22" s="13" t="s">
        <v>4</v>
      </c>
      <c r="K22" s="13" t="s">
        <v>62</v>
      </c>
      <c r="L22" s="13" t="s">
        <v>6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45</v>
      </c>
      <c r="D23" s="32" t="s">
        <v>762</v>
      </c>
      <c r="E23" s="33">
        <v>3</v>
      </c>
      <c r="F23" s="36">
        <v>76</v>
      </c>
      <c r="G23" s="36">
        <v>59</v>
      </c>
      <c r="H23" s="38" t="str">
        <f t="shared" si="8"/>
        <v>SCOUTING</v>
      </c>
      <c r="I23" s="34">
        <v>428</v>
      </c>
      <c r="J23" s="13" t="s">
        <v>4</v>
      </c>
      <c r="K23" s="13" t="s">
        <v>63</v>
      </c>
      <c r="L23" s="13" t="s">
        <v>5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45</v>
      </c>
      <c r="D24" s="32" t="s">
        <v>763</v>
      </c>
      <c r="E24" s="33">
        <v>4</v>
      </c>
      <c r="F24" s="36">
        <v>81</v>
      </c>
      <c r="G24" s="36">
        <v>68</v>
      </c>
      <c r="H24" s="38" t="str">
        <f t="shared" si="8"/>
        <v>SCOUTING</v>
      </c>
      <c r="I24" s="34">
        <v>492</v>
      </c>
      <c r="J24" s="13" t="s">
        <v>4</v>
      </c>
      <c r="K24" s="13" t="s">
        <v>62</v>
      </c>
      <c r="L24" s="13" t="s">
        <v>6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21" x14ac:dyDescent="0.25">
      <c r="A25" s="20"/>
      <c r="B25" s="31" t="str">
        <f t="shared" si="2"/>
        <v>U2025</v>
      </c>
      <c r="C25" s="31">
        <f t="shared" si="3"/>
        <v>45</v>
      </c>
      <c r="D25" s="32" t="s">
        <v>764</v>
      </c>
      <c r="E25" s="33">
        <v>4</v>
      </c>
      <c r="F25" s="36">
        <v>96</v>
      </c>
      <c r="G25" s="36">
        <v>72</v>
      </c>
      <c r="H25" s="38" t="str">
        <f t="shared" si="8"/>
        <v>SCOUTING</v>
      </c>
      <c r="I25" s="34">
        <v>575</v>
      </c>
      <c r="J25" s="13" t="s">
        <v>4</v>
      </c>
      <c r="K25" s="13" t="s">
        <v>63</v>
      </c>
      <c r="L25" s="13" t="s">
        <v>5</v>
      </c>
      <c r="M25" s="13" t="s">
        <v>28</v>
      </c>
      <c r="N25" s="35" t="s">
        <v>766</v>
      </c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5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REPORT_U2025045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"U2025045"</v>
      </c>
      <c r="F3" s="45" t="str">
        <f t="shared" ref="F3:F16" si="0">""""&amp;B3&amp;"""" &amp; " : " &amp;C3&amp;","</f>
        <v>"name" : "U2025045",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"U045"</v>
      </c>
      <c r="F4" s="45" t="str">
        <f t="shared" si="0"/>
        <v>"cod" : "U045",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045</v>
      </c>
      <c r="F6" s="45" t="str">
        <f t="shared" si="0"/>
        <v>"number" : 045,</v>
      </c>
    </row>
    <row r="7" spans="2:6" x14ac:dyDescent="0.25">
      <c r="B7" s="43" t="s">
        <v>116</v>
      </c>
      <c r="C7" s="43" t="str">
        <f ca="1">""""&amp;TEXT('SCOUT &amp; LOGISTICS'!B3,"dd/mm/aaaa")&amp;""""</f>
        <v>"28/10/Tuesday"</v>
      </c>
      <c r="F7" s="45" t="str">
        <f t="shared" ca="1" si="0"/>
        <v>"date" : "28/10/Tuesday",</v>
      </c>
    </row>
    <row r="8" spans="2:6" x14ac:dyDescent="0.25">
      <c r="B8" s="43" t="s">
        <v>125</v>
      </c>
      <c r="C8" s="43" t="str">
        <f>""""&amp;'SCOUT &amp; LOGISTICS'!D4 &amp;""""</f>
        <v>"Hapoel Bank Yahav Jerusalem"</v>
      </c>
      <c r="F8" s="45" t="str">
        <f t="shared" si="0"/>
        <v>"home_team" : "Hapoel Bank Yahav Jerusalem",</v>
      </c>
    </row>
    <row r="9" spans="2:6" x14ac:dyDescent="0.25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"MILAN KVRGIC"</v>
      </c>
      <c r="F10" s="45" t="str">
        <f t="shared" si="0"/>
        <v>"Data_entry" : "MILAN KVRGIC",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"PETAR VASILJEVIC"</v>
      </c>
      <c r="F11" s="45" t="str">
        <f t="shared" si="0"/>
        <v>"Caller_1" : "PETAR VASILJEVIC",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"IVANA VASILJEVIC"</v>
      </c>
      <c r="F12" s="45" t="str">
        <f t="shared" si="0"/>
        <v>"Caller_2" : "IVANA VASILJEVIC",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"MARIJA SAVIC"</v>
      </c>
      <c r="F13" s="45" t="str">
        <f t="shared" si="0"/>
        <v>"Timerkeeper" : "MARIJA SAVIC",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"JOVANA VESKOVIC"</v>
      </c>
      <c r="F14" s="45" t="str">
        <f t="shared" si="0"/>
        <v>"Shotclock" : "JOVANA VESKOVIC",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617</v>
      </c>
      <c r="F25" s="45" t="str">
        <f t="shared" ref="F25:F48" si="1">""""&amp;C25&amp;"""" &amp; " : " &amp;D25&amp;","</f>
        <v>"total_actions" : 617,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"You've done a good job, with some errors that don't affect the game. The weakest point has been rebounding, with some missidentity or criteria mistakes. But overall good job!"</v>
      </c>
      <c r="F51" s="45" t="str">
        <f>""""&amp;B51&amp;"""" &amp; " : " &amp;C51&amp;","</f>
        <v>"comments" : "You've done a good job, with some errors that don't affect the game. The weakest point has been rebounding, with some missidentity or criteria mistakes. But overall good job!",</v>
      </c>
    </row>
    <row r="52" spans="2:6" x14ac:dyDescent="0.25">
      <c r="B52" s="43" t="s">
        <v>153</v>
      </c>
      <c r="C52" s="43" t="str">
        <f>TEXT('SCOUT &amp; LOGISTICS'!F1,"0,0")</f>
        <v>05_045_JER_ARI_U2025</v>
      </c>
      <c r="F52" s="45" t="str">
        <f>""""&amp;B52&amp;"""" &amp; " : " &amp;C52</f>
        <v>"result" : 05_045_JER_ARI_U2025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U045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Hapoel Bank Yahav Jerusalem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Aris Thessaloniki Betsson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MILAN KVRGIC</v>
      </c>
      <c r="C8" s="206"/>
      <c r="D8" s="206"/>
      <c r="E8" s="206"/>
      <c r="F8" s="206"/>
      <c r="G8" s="206" t="str">
        <f>IF('SCOUT &amp; LOGISTICS'!D7="","",'SCOUT &amp; LOGISTICS'!D7)</f>
        <v>PETAR VASILJEVIC</v>
      </c>
      <c r="H8" s="206"/>
      <c r="I8" s="206"/>
      <c r="J8" s="206"/>
      <c r="K8" s="206"/>
      <c r="L8" s="206" t="str">
        <f>IF('SCOUT &amp; LOGISTICS'!D8="","",'SCOUT &amp; LOGISTICS'!D8)</f>
        <v>IVANA VASILJEVIC</v>
      </c>
      <c r="M8" s="206"/>
      <c r="N8" s="206"/>
      <c r="O8" s="206"/>
      <c r="P8" s="206"/>
      <c r="Q8" s="206" t="str">
        <f>IF('SCOUT &amp; LOGISTICS'!D9="","",'SCOUT &amp; LOGISTICS'!D9)</f>
        <v>MARIJA SAVIC</v>
      </c>
      <c r="R8" s="206"/>
      <c r="S8" s="206"/>
      <c r="T8" s="206"/>
      <c r="U8" s="206"/>
      <c r="V8" s="206" t="str">
        <f>IF('SCOUT &amp; LOGISTICS'!D10="","",'SCOUT &amp; LOGISTICS'!D10)</f>
        <v>JOVANA VESKOVIC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1.4586709886547812E-2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You've done a good job, with some errors that don't affect the game. The weakest point has been rebounding, with some missidentity or criteria mistakes. But overall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10.458670988654781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D530B6-E258-4006-A7D4-4849054CBF43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2025-10-28T22:10:35Z</cp:lastPrinted>
  <dcterms:created xsi:type="dcterms:W3CDTF">2023-09-19T19:50:35Z</dcterms:created>
  <dcterms:modified xsi:type="dcterms:W3CDTF">2025-10-28T22:11:38Z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