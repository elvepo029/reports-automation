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8" documentId="8_{F9F97003-C6ED-4D43-AC66-CD9D23DF8A65}" xr6:coauthVersionLast="47" xr6:coauthVersionMax="47" xr10:uidLastSave="{34E01BED-E115-42DA-AD14-6A4C4E20DAAE}"/>
  <bookViews>
    <workbookView xWindow="0" yWindow="-16200" windowWidth="28860" windowHeight="159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<sst xmlns="http://schemas.openxmlformats.org/spreadsheetml/2006/main" count="3257" uniqueCount="763">
  <si>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</si>
  <si>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</si>
  <si>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</si>
  <si>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</si>
  <si>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</si>
  <si>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</si>
  <si>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</si>
  <si>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</si>
  <si>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</si>
  <si>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</si>
  <si>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</si>
  <si>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</si>
  <si>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</si>
  <si>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</si>
  <si>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</si>
  <si>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</si>
  <si>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</si>
  <si>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</si>
  <si>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</si>
  <si>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</si>
  <si>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</si>
  <si>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</si>
  <si>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</si>
  <si>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</si>
  <si>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</si>
  <si>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</si>
  <si>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</si>
  <si>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</si>
  <si>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</si>
  <si>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</si>
  <si>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</si>
  <si>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</si>
  <si>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</si>
  <si>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</si>
  <si>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</si>
  <si>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</si>
  <si>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</si>
  <si>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</si>
  <si>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</si>
  <si>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</si>
  <si>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</si>
  <si>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</si>
  <si>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</si>
  <si>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</si>
  <si>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</si>
  <si>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</si>
  <si>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</si>
  <si>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</si>
  <si>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</si>
  <si>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</si>
  <si>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</si>
  <si>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</si>
  <si>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</si>
  <si>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</si>
  <si>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</si>
  <si>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</si>
  <si>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</si>
  <si>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</si>
  <si>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</si>
  <si>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</si>
  <si>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</si>
  <si>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</si>
  <si>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</si>
  <si>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</si>
  <si>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</si>
  <si>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</si>
  <si>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</si>
  <si>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</si>
  <si>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</si>
  <si>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</si>
  <si>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</si>
  <si>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</si>
  <si>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</si>
  <si>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</si>
  <si>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</si>
  <si>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</si>
  <si>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</si>
  <si>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</si>
  <si>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</si>
  <si>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</si>
  <si>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</si>
  <si>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</si>
  <si>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</si>
  <si>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</si>
  <si>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</si>
  <si>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</si>
  <si>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</si>
  <si>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</si>
  <si>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</si>
  <si>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</si>
  <si>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</si>
  <si>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</si>
  <si>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</si>
  <si>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</si>
  <si>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</si>
  <si>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</si>
  <si>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</si>
  <si>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</si>
  <si>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</si>
  <si>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</si>
  <si>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</si>
  <si>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</si>
  <si>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</si>
  <si>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</si>
  <si>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</si>
  <si>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</si>
  <si>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</si>
  <si>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</si>
  <si>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</si>
  <si>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</si>
  <si>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</si>
  <si>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</si>
  <si>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</si>
  <si>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</si>
  <si>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</si>
  <si>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</si>
  <si>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</si>
  <si>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</si>
  <si>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</si>
  <si>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</si>
  <si>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</si>
  <si>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</si>
  <si>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</si>
  <si>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</si>
  <si>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</si>
  <si>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</si>
  <si>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</si>
  <si>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</si>
  <si>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</si>
  <si>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</si>
  <si>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</si>
  <si>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</si>
  <si>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</si>
  <si>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</si>
  <si>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</si>
  <si>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</si>
  <si>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</si>
  <si>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</si>
  <si>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</si>
  <si>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</si>
  <si>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</si>
  <si>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</si>
  <si>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</si>
  <si>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</si>
  <si>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</si>
  <si>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</si>
  <si>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</si>
  <si>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</si>
  <si>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</si>
  <si>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</si>
  <si>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</si>
  <si>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</si>
  <si>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</si>
  <si>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</si>
  <si>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</si>
  <si>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</si>
  <si>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</si>
  <si>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</si>
  <si>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</si>
  <si>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</si>
  <si>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</si>
  <si>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</si>
  <si>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</si>
  <si>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</si>
  <si>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</si>
  <si>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</si>
  <si>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</si>
  <si>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</si>
  <si>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</si>
  <si>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</si>
  <si>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</si>
  <si>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</si>
  <si>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</si>
  <si>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</si>
  <si>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</si>
  <si>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</si>
  <si>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</si>
  <si>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</si>
  <si>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</si>
  <si>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</si>
  <si>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</si>
  <si>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</si>
  <si>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</si>
  <si>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</si>
  <si>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</si>
  <si>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</si>
  <si>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</si>
  <si>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</si>
  <si>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</si>
  <si>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</si>
  <si>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</si>
  <si>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</si>
  <si>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</si>
  <si>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</si>
  <si>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</si>
  <si>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</si>
  <si>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</si>
  <si>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</si>
  <si>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</si>
  <si>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</si>
  <si>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</si>
  <si>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</si>
  <si>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</si>
  <si>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</si>
  <si>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</si>
  <si>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</si>
  <si>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</si>
  <si>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</si>
  <si>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</si>
  <si>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</si>
  <si>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</si>
  <si>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</si>
  <si>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</si>
  <si>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</si>
  <si>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</si>
  <si>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</si>
  <si>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</si>
  <si>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</si>
  <si>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</si>
  <si>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</si>
  <si>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</si>
  <si>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</si>
  <si>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</si>
  <si>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</si>
  <si>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</si>
  <si>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</si>
  <si>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</si>
  <si>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</si>
  <si>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</si>
  <si>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</si>
  <si>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</si>
  <si>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</si>
  <si>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</si>
  <si>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</si>
  <si>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</si>
  <si>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</si>
  <si>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</si>
  <si>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</si>
  <si>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</si>
  <si>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</si>
  <si>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</si>
  <si>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</si>
  <si>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</si>
  <si>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</si>
  <si>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</si>
  <si>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</si>
  <si>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</si>
  <si>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</si>
  <si>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</si>
  <si>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</si>
  <si>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</si>
  <si>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</si>
  <si>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</si>
  <si>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</si>
  <si>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</si>
  <si>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</si>
  <si>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</si>
  <si>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</si>
  <si>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</si>
  <si>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</si>
  <si>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</si>
  <si>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</si>
  <si>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</si>
  <si>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</si>
  <si>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</si>
  <si>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</si>
  <si>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</si>
  <si>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</si>
  <si>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</si>
  <si>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</si>
  <si>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</si>
  <si>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</si>
  <si>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</si>
  <si>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</si>
  <si>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</si>
  <si>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</si>
  <si>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</si>
  <si>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</si>
  <si>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</si>
  <si>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</si>
  <si>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</si>
  <si>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</si>
  <si>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</si>
  <si>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</si>
  <si>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</si>
  <si>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</si>
  <si>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</si>
  <si>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</si>
  <si>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</si>
  <si>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</si>
  <si>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</si>
  <si>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</si>
  <si>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</si>
  <si>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</si>
  <si>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</si>
  <si>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</si>
  <si>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</si>
  <si>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</si>
  <si>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</si>
  <si>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</si>
  <si>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</si>
  <si>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</si>
  <si>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</si>
  <si>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</si>
  <si>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</si>
  <si>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</si>
  <si>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</si>
  <si>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</si>
  <si>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</si>
  <si>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</si>
  <si>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</si>
  <si>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</si>
  <si>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</si>
  <si>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</si>
  <si>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</si>
  <si>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</si>
  <si>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</si>
  <si>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</si>
  <si>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</si>
  <si>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</si>
  <si>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</si>
  <si>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</si>
  <si>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</si>
  <si>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</si>
  <si>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</si>
  <si>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</si>
  <si>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</si>
  <si>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</si>
  <si>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</si>
  <si>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</si>
  <si>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</si>
  <si>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</si>
  <si>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</si>
  <si>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</si>
  <si>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</si>
  <si>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</si>
  <si>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</si>
  <si>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</si>
  <si>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</si>
  <si>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</si>
  <si>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</si>
  <si>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</si>
  <si>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</si>
  <si>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</si>
  <si>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</si>
  <si>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</si>
  <si>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</si>
  <si>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</si>
  <si>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</si>
  <si>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</si>
  <si>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</si>
  <si>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</si>
  <si>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</si>
  <si>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</si>
  <si>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</si>
  <si>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</si>
  <si>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</si>
  <si>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</si>
  <si>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</si>
  <si>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</si>
  <si>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</si>
  <si>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</si>
  <si>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</si>
  <si>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</si>
  <si>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</si>
  <si>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</si>
  <si>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</si>
  <si>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</si>
  <si>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</si>
  <si>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</si>
  <si>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</si>
  <si>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</si>
  <si>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</si>
  <si>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</si>
  <si>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</si>
  <si>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</si>
  <si>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</si>
  <si>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</si>
  <si>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</si>
  <si>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</si>
  <si>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</si>
  <si>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</si>
  <si>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</si>
  <si>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</si>
  <si>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</si>
  <si>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</si>
  <si>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</si>
  <si>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</si>
  <si>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</si>
  <si>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</si>
  <si>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</si>
  <si>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</si>
  <si>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</si>
  <si>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</si>
  <si>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</si>
  <si>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</si>
  <si>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</si>
  <si>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</si>
  <si>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</si>
  <si>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</si>
  <si>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</si>
  <si>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</si>
  <si>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</si>
  <si>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</si>
  <si>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</si>
  <si>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</si>
  <si>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</si>
  <si>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</si>
  <si>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</si>
  <si>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</si>
  <si>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</si>
  <si>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</si>
  <si>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</si>
  <si>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</si>
  <si>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</si>
  <si>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</si>
  <si>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</si>
  <si>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</si>
  <si>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</si>
  <si>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</si>
  <si>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</si>
  <si>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</si>
  <si>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</si>
  <si>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</si>
  <si>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</si>
  <si>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</si>
  <si>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</si>
  <si>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</si>
  <si>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</si>
  <si>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</si>
  <si>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</si>
  <si>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</si>
  <si>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</si>
  <si>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</si>
  <si>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</si>
  <si>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</si>
  <si>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</si>
  <si>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</si>
  <si>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</si>
  <si>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</si>
  <si>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</si>
  <si>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</si>
  <si>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</si>
  <si>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</si>
  <si>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</si>
  <si>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</si>
  <si>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</si>
  <si>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</si>
  <si>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</si>
  <si>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</si>
  <si>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</si>
  <si>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</si>
  <si>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</si>
  <si>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</si>
  <si>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</si>
  <si>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</si>
  <si>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</si>
  <si>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</si>
  <si>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</si>
  <si>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</si>
  <si>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</si>
  <si>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</si>
  <si>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</si>
  <si>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</si>
  <si>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</si>
  <si>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</si>
  <si>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</si>
  <si>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</si>
  <si>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</si>
  <si>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</si>
  <si>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</si>
  <si>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</si>
  <si>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</si>
  <si>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</si>
  <si>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</si>
  <si>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</si>
  <si>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</si>
  <si>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</si>
  <si>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</si>
  <si>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</si>
  <si>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</si>
  <si>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</si>
  <si>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</si>
  <si>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</si>
  <si>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</si>
  <si>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</si>
  <si>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</si>
  <si>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</si>
  <si>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</si>
  <si>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</si>
  <si>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</si>
  <si>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</si>
  <si>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</si>
  <si>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</si>
  <si>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</si>
  <si>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</si>
  <si>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</si>
  <si>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</si>
  <si>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</si>
  <si>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</si>
  <si>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</si>
  <si>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</si>
  <si>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</si>
  <si>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</si>
  <si>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</si>
  <si>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</si>
  <si>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</si>
  <si>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</si>
  <si>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</si>
  <si>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</si>
  <si>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</si>
  <si>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</si>
  <si>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</si>
  <si>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</si>
  <si>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</si>
  <si>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</si>
  <si>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</si>
  <si>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</si>
  <si>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</si>
  <si>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</si>
  <si>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</si>
  <si>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</si>
  <si>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</si>
  <si>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</si>
  <si>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</si>
  <si>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</si>
  <si>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</si>
  <si>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</si>
  <si>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</si>
  <si>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</si>
  <si>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</si>
  <si>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</si>
  <si>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</si>
  <si>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</si>
  <si>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</si>
  <si>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</si>
  <si>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</si>
  <si>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</si>
  <si>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</si>
  <si>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</si>
  <si>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</si>
  <si>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</si>
  <si>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</si>
  <si>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</si>
  <si>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</si>
  <si>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</si>
  <si>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</si>
  <si>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</si>
  <si>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</si>
  <si>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</si>
  <si>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</si>
  <si>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</si>
  <si>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</si>
  <si>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</si>
  <si>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</si>
  <si>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</si>
  <si>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</si>
  <si>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</si>
  <si>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</si>
  <si>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</si>
  <si>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</si>
  <si>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</si>
  <si>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</si>
  <si>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</si>
  <si>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</si>
  <si>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</si>
  <si>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</si>
  <si>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</si>
  <si>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</si>
  <si>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</si>
  <si>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</si>
  <si>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</si>
  <si>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</si>
  <si>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</si>
  <si>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</si>
  <si>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</si>
  <si>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</si>
  <si>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</si>
  <si>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</si>
  <si>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</si>
  <si>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</si>
  <si>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</si>
  <si>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</si>
  <si>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</si>
  <si>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</si>
  <si>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</si>
  <si>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</si>
  <si>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</si>
  <si>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</si>
  <si>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</si>
  <si>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</si>
  <si>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</si>
  <si>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</si>
  <si>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</si>
  <si>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</si>
  <si>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</si>
  <si>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</si>
  <si>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</si>
  <si>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</si>
  <si>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</si>
  <si>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</si>
  <si>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</si>
  <si>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</si>
  <si>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</si>
  <si>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</si>
  <si>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</si>
  <si>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</si>
  <si>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</si>
  <si>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</si>
  <si>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</si>
  <si>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</si>
  <si>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</si>
  <si>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</si>
  <si>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</si>
  <si>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</si>
  <si>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</si>
  <si>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</si>
  <si>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</si>
  <si>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</si>
  <si>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</si>
  <si>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</si>
  <si>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</si>
  <si>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</si>
  <si>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</si>
  <si>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</si>
  <si>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</si>
  <si>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</si>
  <si>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</si>
  <si>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</si>
  <si>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</si>
  <si>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</si>
  <si>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</si>
  <si>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</si>
  <si>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</si>
  <si>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</si>
  <si>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</si>
  <si>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</si>
  <si>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</si>
  <si>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</si>
  <si>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</si>
  <si>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</si>
  <si>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</si>
  <si>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</si>
  <si>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</si>
  <si>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</si>
  <si>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</si>
  <si>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</si>
  <si>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</si>
  <si>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</si>
  <si>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</si>
  <si>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</si>
  <si>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</si>
  <si>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</si>
  <si>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</si>
  <si>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</si>
  <si>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</si>
  <si>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</si>
  <si>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</si>
  <si>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</si>
  <si>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</si>
  <si>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</si>
  <si>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</si>
  <si>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</si>
  <si>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</si>
  <si>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</si>
  <si>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</si>
  <si>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</si>
  <si>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</si>
  <si>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</si>
  <si>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</si>
  <si>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</si>
  <si>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</si>
  <si>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</si>
  <si>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</si>
  <si>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</si>
  <si>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</si>
  <si>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</si>
  <si>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</si>
  <si>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</si>
  <si>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</si>
  <si>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</si>
  <si>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</si>
  <si>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</si>
  <si>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</si>
  <si>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</si>
  <si>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</si>
  <si>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</si>
  <si>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</si>
  <si>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</si>
  <si>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</si>
  <si>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</si>
  <si>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</si>
  <si>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</si>
  <si>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</si>
  <si>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</si>
  <si>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</si>
  <si>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</si>
  <si>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</si>
  <si>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</si>
  <si>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</si>
  <si>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</si>
  <si>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</si>
  <si>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</si>
  <si>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</si>
  <si>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</si>
  <si>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</si>
  <si>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</si>
  <si>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</si>
  <si>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</si>
  <si>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</si>
  <si>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</si>
  <si>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</si>
  <si>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</si>
  <si>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</si>
  <si>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</si>
  <si>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</si>
  <si>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</si>
  <si>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</si>
  <si>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</si>
  <si>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</si>
  <si>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</si>
  <si>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</si>
  <si>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</si>
  <si>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</si>
  <si>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</si>
  <si>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</si>
  <si>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</si>
  <si>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</si>
  <si>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</si>
  <si>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</si>
  <si>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</si>
  <si>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</si>
  <si>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</si>
  <si>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</si>
  <si>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</si>
  <si>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</si>
  <si>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</si>
  <si>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</si>
  <si>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</si>
  <si>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</si>
  <si>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</si>
  <si>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</si>
  <si>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</si>
  <si>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</si>
  <si>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</si>
  <si>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</si>
  <si>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</si>
  <si>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</si>
  <si>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</si>
  <si>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</si>
  <si>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C:\Users\nerea.fraile\EUROLEAGUE\EB STATS - Documents\General\SEASON 2025-26\Reports\Euroleague\PDF</t>
  </si>
  <si>
    <t>C:\Users\nerea.fraile\EUROLEAGUE\EB STATS - Documents\General\SEASON 2025-26\Reports\Euroleague</t>
  </si>
  <si>
    <t>ANDONI COLMENERO</t>
  </si>
  <si>
    <t>RAQUEL GARCÍA-SAMPEDRO</t>
  </si>
  <si>
    <t>LUIS MOULIAA</t>
  </si>
  <si>
    <t>LIDIA SALIDO</t>
  </si>
  <si>
    <t>FERNANDO ESTARRONA</t>
  </si>
  <si>
    <t>IKER BASCONES</t>
  </si>
  <si>
    <t>02:01</t>
  </si>
  <si>
    <t>08:31</t>
  </si>
  <si>
    <t>The foul drawn action was repeated.</t>
  </si>
  <si>
    <t>The rebound and the consecutive two pointer by the same player were missidentity</t>
  </si>
  <si>
    <t>Very good job! Instead of the technic problems with the dashboard, you have resolve the task very well, with fast corrections and few mistakes.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</si>
</sst>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05_047_BAS_PAR_E2025</v>
      </c>
      <c r="G1" s="5"/>
      <c r="H1" s="5"/>
      <c r="I1" s="5"/>
      <c r="J1" s="8" t="s">
        <v>707</v>
      </c>
      <c r="K1" s="121" t="s">
        <v>751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47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45947.864583333336</v>
      </c>
      <c r="C3" s="157"/>
      <c r="D3" s="39">
        <v>527</v>
      </c>
      <c r="E3" s="29"/>
      <c r="F3" s="26">
        <f>SUBTOTAL(3,I17:I106)</f>
        <v>2</v>
      </c>
      <c r="G3" s="27">
        <f>IF(OR(D3="",D3=0),"",F3/D3)</f>
        <v>3.7950664136622392E-3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Baskonia Vitoria-Gasteiz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742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3.7950664136622392E-3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Partizan Mozzart 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0.37950664136622392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752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3.3795066413662238</v>
      </c>
      <c r="N7" s="58"/>
      <c r="O7" s="2"/>
      <c r="P7" s="2"/>
      <c r="Q7" s="86">
        <f>SUM(R5,S5,AC16)</f>
        <v>3.3795066413662238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3.3795066413662238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755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757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47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1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21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47</v>
      </c>
      <c r="D17" s="32" t="s">
        <v>758</v>
      </c>
      <c r="E17" s="33">
        <v>2</v>
      </c>
      <c r="F17" s="36">
        <v>38</v>
      </c>
      <c r="G17" s="36">
        <v>40</v>
      </c>
      <c r="H17" s="38" t="str">
        <f>IF(I17="","",$I$14)</f>
        <v>SCOUTING</v>
      </c>
      <c r="I17" s="34">
        <v>227</v>
      </c>
      <c r="J17" s="13" t="s">
        <v>4</v>
      </c>
      <c r="K17" s="13" t="s">
        <v>63</v>
      </c>
      <c r="L17" s="13" t="s">
        <v>6</v>
      </c>
      <c r="M17" s="13" t="s">
        <v>37</v>
      </c>
      <c r="N17" s="35" t="s">
        <v>761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47</v>
      </c>
      <c r="D18" s="32" t="s">
        <v>759</v>
      </c>
      <c r="E18" s="33">
        <v>3</v>
      </c>
      <c r="F18" s="36">
        <v>43</v>
      </c>
      <c r="G18" s="36">
        <v>50</v>
      </c>
      <c r="H18" s="38" t="str">
        <f t="shared" ref="H18:H81" si="8">IF(I18="","",$I$14)</f>
        <v>SCOUTING</v>
      </c>
      <c r="I18" s="34">
        <v>273</v>
      </c>
      <c r="J18" s="13" t="s">
        <v>4</v>
      </c>
      <c r="K18" s="13" t="s">
        <v>63</v>
      </c>
      <c r="L18" s="13" t="s">
        <v>48</v>
      </c>
      <c r="M18" s="13" t="s">
        <v>22</v>
      </c>
      <c r="N18" s="35" t="s">
        <v>760</v>
      </c>
      <c r="O18" s="5" t="s">
        <v>5</v>
      </c>
      <c r="P18" s="5">
        <v>0.5</v>
      </c>
      <c r="Q18" s="84">
        <f t="shared" si="4"/>
        <v>1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1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1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REPORT_E2025047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"E2025047"</v>
      </c>
      <c r="F3" s="45" t="str">
        <f t="shared" ref="F3:F16" si="0">""""&amp;B3&amp;"""" &amp; " : " &amp;C3&amp;","</f>
        <v>"name" : "E2025047",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"E047"</v>
      </c>
      <c r="F4" s="45" t="str">
        <f t="shared" si="0"/>
        <v>"cod" : "E047",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047</v>
      </c>
      <c r="F6" s="45" t="str">
        <f t="shared" si="0"/>
        <v>"number" : 047,</v>
      </c>
    </row>
    <row r="7" spans="2:6" x14ac:dyDescent="0.25">
      <c r="B7" s="43" t="s">
        <v>116</v>
      </c>
      <c r="C7" s="43" t="str">
        <f ca="1">""""&amp;TEXT('SCOUT &amp; LOGISTICS'!B3,"dd/mm/aaaa")&amp;""""</f>
        <v>"17/10/Friday"</v>
      </c>
      <c r="F7" s="45" t="str">
        <f t="shared" ca="1" si="0"/>
        <v>"date" : "17/10/Friday",</v>
      </c>
    </row>
    <row r="8" spans="2:6" x14ac:dyDescent="0.25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5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"RAQUEL GARCÍA-SAMPEDRO"</v>
      </c>
      <c r="F11" s="45" t="str">
        <f t="shared" si="0"/>
        <v>"Caller_1" : "RAQUEL GARCÍA-SAMPEDRO",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"LIDIA SALIDO"</v>
      </c>
      <c r="F13" s="45" t="str">
        <f t="shared" si="0"/>
        <v>"Timerkeeper" : "LIDIA SALIDO",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"FERNANDO ESTARRONA"</v>
      </c>
      <c r="F14" s="45" t="str">
        <f t="shared" si="0"/>
        <v>"Shotclock" : "FERNANDO ESTARRONA",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527</v>
      </c>
      <c r="F25" s="45" t="str">
        <f t="shared" ref="F25:F48" si="1">""""&amp;C25&amp;"""" &amp; " : " &amp;D25&amp;","</f>
        <v>"total_actions" : 527,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1</v>
      </c>
      <c r="F49" s="45" t="str">
        <f>""""&amp;C49&amp;"""" &amp; " : " &amp;D49</f>
        <v>"points" : 1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Instead of the technic problems with the dashboard, you have resolve the task very well, with fast corrections and few mistakes."</v>
      </c>
      <c r="F51" s="45" t="str">
        <f>""""&amp;B51&amp;"""" &amp; " : " &amp;C51&amp;","</f>
        <v>"comments" : "Very good job! Instead of the technic problems with the dashboard, you have resolve the task very well, with fast corrections and few mistakes.",</v>
      </c>
    </row>
    <row r="52" spans="2:6" x14ac:dyDescent="0.25">
      <c r="B52" s="43" t="s">
        <v>153</v>
      </c>
      <c r="C52" s="43" t="str">
        <f>TEXT('SCOUT &amp; LOGISTICS'!F1,"0,0")</f>
        <v>05_047_BAS_PAR_E2025</v>
      </c>
      <c r="F52" s="45" t="str">
        <f>""""&amp;B52&amp;"""" &amp; " : " &amp;C52</f>
        <v>"result" : 05_047_BAS_PAR_E2025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E047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17/10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Baskonia Vitoria-Gasteiz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Partizan Mozzart 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ANDONI COLMENERO</v>
      </c>
      <c r="C8" s="206"/>
      <c r="D8" s="206"/>
      <c r="E8" s="206"/>
      <c r="F8" s="206"/>
      <c r="G8" s="206" t="str">
        <f>IF('SCOUT &amp; LOGISTICS'!D7="","",'SCOUT &amp; LOGISTICS'!D7)</f>
        <v>RAQUEL GARCÍA-SAMPEDRO</v>
      </c>
      <c r="H8" s="206"/>
      <c r="I8" s="206"/>
      <c r="J8" s="206"/>
      <c r="K8" s="206"/>
      <c r="L8" s="206" t="str">
        <f>IF('SCOUT &amp; LOGISTICS'!D8="","",'SCOUT &amp; LOGISTICS'!D8)</f>
        <v>LUIS MOULIAA</v>
      </c>
      <c r="M8" s="206"/>
      <c r="N8" s="206"/>
      <c r="O8" s="206"/>
      <c r="P8" s="206"/>
      <c r="Q8" s="206" t="str">
        <f>IF('SCOUT &amp; LOGISTICS'!D9="","",'SCOUT &amp; LOGISTICS'!D9)</f>
        <v>LIDIA SALIDO</v>
      </c>
      <c r="R8" s="206"/>
      <c r="S8" s="206"/>
      <c r="T8" s="206"/>
      <c r="U8" s="206"/>
      <c r="V8" s="206" t="str">
        <f>IF('SCOUT &amp; LOGISTICS'!D10="","",'SCOUT &amp; LOGISTICS'!D10)</f>
        <v>FERNANDO ESTARRONA</v>
      </c>
      <c r="W8" s="206"/>
      <c r="X8" s="206"/>
      <c r="Y8" s="206"/>
      <c r="Z8" s="206"/>
      <c r="AA8" s="206" t="str">
        <f>IF('SCOUT &amp; LOGISTICS'!D11="","",'SCOUT &amp; LOGISTICS'!D11)</f>
        <v>IKER BASCONES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527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3.7950664136622392E-3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Instead of the technic problems with the dashboard, you have resolve the task very well, with fast corrections and few mistakes.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3.3795066413662238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9FB7DB-CF93-4E08-91CE-DF7E04386D52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2025-10-22T14:34:23Z</cp:lastPrinted>
  <dcterms:created xsi:type="dcterms:W3CDTF">2023-09-19T19:50:35Z</dcterms:created>
  <dcterms:modified xsi:type="dcterms:W3CDTF">2025-10-22T14:34:26Z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