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41" documentId="8_{2F4399D4-82BE-4655-B04A-9070EE0D0D5F}" xr6:coauthVersionLast="47" xr6:coauthVersionMax="47" xr10:uidLastSave="{9228B07B-AA87-4950-9A84-459A10D857AA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<sst xmlns="http://schemas.openxmlformats.org/spreadsheetml/2006/main" count="3254" uniqueCount="760">
  <si>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</si>
  <si>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</si>
  <si>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</si>
  <si>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</si>
  <si>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</si>
  <si>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</si>
  <si>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</si>
  <si>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</si>
  <si>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</si>
  <si>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</si>
  <si>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</si>
  <si>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</si>
  <si>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</si>
  <si>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</si>
  <si>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</si>
  <si>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</si>
  <si>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</si>
  <si>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</si>
  <si>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</si>
  <si>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</si>
  <si>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</si>
  <si>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</si>
  <si>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</si>
  <si>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</si>
  <si>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</si>
  <si>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</si>
  <si>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</si>
  <si>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</si>
  <si>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</si>
  <si>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</si>
  <si>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</si>
  <si>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</si>
  <si>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</si>
  <si>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</si>
  <si>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</si>
  <si>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</si>
  <si>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</si>
  <si>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</si>
  <si>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</si>
  <si>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</si>
  <si>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</si>
  <si>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</si>
  <si>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</si>
  <si>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</si>
  <si>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</si>
  <si>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</si>
  <si>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</si>
  <si>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</si>
  <si>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</si>
  <si>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</si>
  <si>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</si>
  <si>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</si>
  <si>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</si>
  <si>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</si>
  <si>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</si>
  <si>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</si>
  <si>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</si>
  <si>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</si>
  <si>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</si>
  <si>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</si>
  <si>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</si>
  <si>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</si>
  <si>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</si>
  <si>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</si>
  <si>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</si>
  <si>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</si>
  <si>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</si>
  <si>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</si>
  <si>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</si>
  <si>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</si>
  <si>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</si>
  <si>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</si>
  <si>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</si>
  <si>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</si>
  <si>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</si>
  <si>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</si>
  <si>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</si>
  <si>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</si>
  <si>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</si>
  <si>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</si>
  <si>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</si>
  <si>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</si>
  <si>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</si>
  <si>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</si>
  <si>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</si>
  <si>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</si>
  <si>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</si>
  <si>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</si>
  <si>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</si>
  <si>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</si>
  <si>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</si>
  <si>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</si>
  <si>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</si>
  <si>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</si>
  <si>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</si>
  <si>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</si>
  <si>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</si>
  <si>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</si>
  <si>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</si>
  <si>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</si>
  <si>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</si>
  <si>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</si>
  <si>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</si>
  <si>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</si>
  <si>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</si>
  <si>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</si>
  <si>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</si>
  <si>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</si>
  <si>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</si>
  <si>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</si>
  <si>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</si>
  <si>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</si>
  <si>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</si>
  <si>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</si>
  <si>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</si>
  <si>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</si>
  <si>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</si>
  <si>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</si>
  <si>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</si>
  <si>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</si>
  <si>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</si>
  <si>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</si>
  <si>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</si>
  <si>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</si>
  <si>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</si>
  <si>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</si>
  <si>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</si>
  <si>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</si>
  <si>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</si>
  <si>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</si>
  <si>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</si>
  <si>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</si>
  <si>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</si>
  <si>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</si>
  <si>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</si>
  <si>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</si>
  <si>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</si>
  <si>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</si>
  <si>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</si>
  <si>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</si>
  <si>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</si>
  <si>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</si>
  <si>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</si>
  <si>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</si>
  <si>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</si>
  <si>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</si>
  <si>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</si>
  <si>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</si>
  <si>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</si>
  <si>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</si>
  <si>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</si>
  <si>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</si>
  <si>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</si>
  <si>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</si>
  <si>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</si>
  <si>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</si>
  <si>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</si>
  <si>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</si>
  <si>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</si>
  <si>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</si>
  <si>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</si>
  <si>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</si>
  <si>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</si>
  <si>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</si>
  <si>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</si>
  <si>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</si>
  <si>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</si>
  <si>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</si>
  <si>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</si>
  <si>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</si>
  <si>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</si>
  <si>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</si>
  <si>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</si>
  <si>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</si>
  <si>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</si>
  <si>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</si>
  <si>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</si>
  <si>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</si>
  <si>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</si>
  <si>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</si>
  <si>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</si>
  <si>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</si>
  <si>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</si>
  <si>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</si>
  <si>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</si>
  <si>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</si>
  <si>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</si>
  <si>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</si>
  <si>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</si>
  <si>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</si>
  <si>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</si>
  <si>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</si>
  <si>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</si>
  <si>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</si>
  <si>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</si>
  <si>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</si>
  <si>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</si>
  <si>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</si>
  <si>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</si>
  <si>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</si>
  <si>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</si>
  <si>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</si>
  <si>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</si>
  <si>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</si>
  <si>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</si>
  <si>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</si>
  <si>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</si>
  <si>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</si>
  <si>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</si>
  <si>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</si>
  <si>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</si>
  <si>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</si>
  <si>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</si>
  <si>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</si>
  <si>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</si>
  <si>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</si>
  <si>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</si>
  <si>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</si>
  <si>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</si>
  <si>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</si>
  <si>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</si>
  <si>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</si>
  <si>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</si>
  <si>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</si>
  <si>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</si>
  <si>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</si>
  <si>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</si>
  <si>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</si>
  <si>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</si>
  <si>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</si>
  <si>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</si>
  <si>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</si>
  <si>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</si>
  <si>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</si>
  <si>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</si>
  <si>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</si>
  <si>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</si>
  <si>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</si>
  <si>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</si>
  <si>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</si>
  <si>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</si>
  <si>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</si>
  <si>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</si>
  <si>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</si>
  <si>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</si>
  <si>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</si>
  <si>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</si>
  <si>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</si>
  <si>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</si>
  <si>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</si>
  <si>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</si>
  <si>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</si>
  <si>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</si>
  <si>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</si>
  <si>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</si>
  <si>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</si>
  <si>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</si>
  <si>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</si>
  <si>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</si>
  <si>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</si>
  <si>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</si>
  <si>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</si>
  <si>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</si>
  <si>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</si>
  <si>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</si>
  <si>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</si>
  <si>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</si>
  <si>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</si>
  <si>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</si>
  <si>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</si>
  <si>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</si>
  <si>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</si>
  <si>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</si>
  <si>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</si>
  <si>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</si>
  <si>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</si>
  <si>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</si>
  <si>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</si>
  <si>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</si>
  <si>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</si>
  <si>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</si>
  <si>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</si>
  <si>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</si>
  <si>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</si>
  <si>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</si>
  <si>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</si>
  <si>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</si>
  <si>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</si>
  <si>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</si>
  <si>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</si>
  <si>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</si>
  <si>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</si>
  <si>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</si>
  <si>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</si>
  <si>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</si>
  <si>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</si>
  <si>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</si>
  <si>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</si>
  <si>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</si>
  <si>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</si>
  <si>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</si>
  <si>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</si>
  <si>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</si>
  <si>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</si>
  <si>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</si>
  <si>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</si>
  <si>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</si>
  <si>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</si>
  <si>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</si>
  <si>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</si>
  <si>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</si>
  <si>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</si>
  <si>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</si>
  <si>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</si>
  <si>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</si>
  <si>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</si>
  <si>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</si>
  <si>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</si>
  <si>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</si>
  <si>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</si>
  <si>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</si>
  <si>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</si>
  <si>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</si>
  <si>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</si>
  <si>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</si>
  <si>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</si>
  <si>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</si>
  <si>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</si>
  <si>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</si>
  <si>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</si>
  <si>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</si>
  <si>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</si>
  <si>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</si>
  <si>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</si>
  <si>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</si>
  <si>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</si>
  <si>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</si>
  <si>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</si>
  <si>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</si>
  <si>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</si>
  <si>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</si>
  <si>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</si>
  <si>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</si>
  <si>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</si>
  <si>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</si>
  <si>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</si>
  <si>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</si>
  <si>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</si>
  <si>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</si>
  <si>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</si>
  <si>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</si>
  <si>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</si>
  <si>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</si>
  <si>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</si>
  <si>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</si>
  <si>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</si>
  <si>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</si>
  <si>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</si>
  <si>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</si>
  <si>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</si>
  <si>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</si>
  <si>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</si>
  <si>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</si>
  <si>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</si>
  <si>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</si>
  <si>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</si>
  <si>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</si>
  <si>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</si>
  <si>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</si>
  <si>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</si>
  <si>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</si>
  <si>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</si>
  <si>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</si>
  <si>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</si>
  <si>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</si>
  <si>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</si>
  <si>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</si>
  <si>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</si>
  <si>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</si>
  <si>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</si>
  <si>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</si>
  <si>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</si>
  <si>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</si>
  <si>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</si>
  <si>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</si>
  <si>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</si>
  <si>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</si>
  <si>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</si>
  <si>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</si>
  <si>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</si>
  <si>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</si>
  <si>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</si>
  <si>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</si>
  <si>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</si>
  <si>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</si>
  <si>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</si>
  <si>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</si>
  <si>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</si>
  <si>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</si>
  <si>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</si>
  <si>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</si>
  <si>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</si>
  <si>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</si>
  <si>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</si>
  <si>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</si>
  <si>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</si>
  <si>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</si>
  <si>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</si>
  <si>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</si>
  <si>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</si>
  <si>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</si>
  <si>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</si>
  <si>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</si>
  <si>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</si>
  <si>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</si>
  <si>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</si>
  <si>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</si>
  <si>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</si>
  <si>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</si>
  <si>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</si>
  <si>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</si>
  <si>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</si>
  <si>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</si>
  <si>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</si>
  <si>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</si>
  <si>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</si>
  <si>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</si>
  <si>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</si>
  <si>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</si>
  <si>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</si>
  <si>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</si>
  <si>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</si>
  <si>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</si>
  <si>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</si>
  <si>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</si>
  <si>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</si>
  <si>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</si>
  <si>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</si>
  <si>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</si>
  <si>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</si>
  <si>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</si>
  <si>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</si>
  <si>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</si>
  <si>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</si>
  <si>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</si>
  <si>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</si>
  <si>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</si>
  <si>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</si>
  <si>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</si>
  <si>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</si>
  <si>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</si>
  <si>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</si>
  <si>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</si>
  <si>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</si>
  <si>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</si>
  <si>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</si>
  <si>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</si>
  <si>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</si>
  <si>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</si>
  <si>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</si>
  <si>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</si>
  <si>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</si>
  <si>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</si>
  <si>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</si>
  <si>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</si>
  <si>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</si>
  <si>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</si>
  <si>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</si>
  <si>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</si>
  <si>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</si>
  <si>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</si>
  <si>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</si>
  <si>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</si>
  <si>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</si>
  <si>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</si>
  <si>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</si>
  <si>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</si>
  <si>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</si>
  <si>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</si>
  <si>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</si>
  <si>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</si>
  <si>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</si>
  <si>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</si>
  <si>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</si>
  <si>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</si>
  <si>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</si>
  <si>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</si>
  <si>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</si>
  <si>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</si>
  <si>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</si>
  <si>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</si>
  <si>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</si>
  <si>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</si>
  <si>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</si>
  <si>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</si>
  <si>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</si>
  <si>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</si>
  <si>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</si>
  <si>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</si>
  <si>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</si>
  <si>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</si>
  <si>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</si>
  <si>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</si>
  <si>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</si>
  <si>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</si>
  <si>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</si>
  <si>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</si>
  <si>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</si>
  <si>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</si>
  <si>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</si>
  <si>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</si>
  <si>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</si>
  <si>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</si>
  <si>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</si>
  <si>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</si>
  <si>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</si>
  <si>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</si>
  <si>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</si>
  <si>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</si>
  <si>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</si>
  <si>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</si>
  <si>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</si>
  <si>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</si>
  <si>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</si>
  <si>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</si>
  <si>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</si>
  <si>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</si>
  <si>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</si>
  <si>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</si>
  <si>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</si>
  <si>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</si>
  <si>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</si>
  <si>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</si>
  <si>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</si>
  <si>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</si>
  <si>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</si>
  <si>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</si>
  <si>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</si>
  <si>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</si>
  <si>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</si>
  <si>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</si>
  <si>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</si>
  <si>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</si>
  <si>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</si>
  <si>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</si>
  <si>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</si>
  <si>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</si>
  <si>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</si>
  <si>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</si>
  <si>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</si>
  <si>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</si>
  <si>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</si>
  <si>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</si>
  <si>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</si>
  <si>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</si>
  <si>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</si>
  <si>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</si>
  <si>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</si>
  <si>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</si>
  <si>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</si>
  <si>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</si>
  <si>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</si>
  <si>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</si>
  <si>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</si>
  <si>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</si>
  <si>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</si>
  <si>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</si>
  <si>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</si>
  <si>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</si>
  <si>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</si>
  <si>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</si>
  <si>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</si>
  <si>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</si>
  <si>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</si>
  <si>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</si>
  <si>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</si>
  <si>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</si>
  <si>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</si>
  <si>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</si>
  <si>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</si>
  <si>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</si>
  <si>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</si>
  <si>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</si>
  <si>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</si>
  <si>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</si>
  <si>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</si>
  <si>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</si>
  <si>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</si>
  <si>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</si>
  <si>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</si>
  <si>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</si>
  <si>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</si>
  <si>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</si>
  <si>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</si>
  <si>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</si>
  <si>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</si>
  <si>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</si>
  <si>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</si>
  <si>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</si>
  <si>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</si>
  <si>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</si>
  <si>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</si>
  <si>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</si>
  <si>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</si>
  <si>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</si>
  <si>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</si>
  <si>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</si>
  <si>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</si>
  <si>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</si>
  <si>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</si>
  <si>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</si>
  <si>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</si>
  <si>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</si>
  <si>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</si>
  <si>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</si>
  <si>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</si>
  <si>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</si>
  <si>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</si>
  <si>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</si>
  <si>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</si>
  <si>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</si>
  <si>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</si>
  <si>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</si>
  <si>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</si>
  <si>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</si>
  <si>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</si>
  <si>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</si>
  <si>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</si>
  <si>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</si>
  <si>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</si>
  <si>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</si>
  <si>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</si>
  <si>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</si>
  <si>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</si>
  <si>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</si>
  <si>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</si>
  <si>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</si>
  <si>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</si>
  <si>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</si>
  <si>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</si>
  <si>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</si>
  <si>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</si>
  <si>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</si>
  <si>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</si>
  <si>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</si>
  <si>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</si>
  <si>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</si>
  <si>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</si>
  <si>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</si>
  <si>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</si>
  <si>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</si>
  <si>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</si>
  <si>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</si>
  <si>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</si>
  <si>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</si>
  <si>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</si>
  <si>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</si>
  <si>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</si>
  <si>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</si>
  <si>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</si>
  <si>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</si>
  <si>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</si>
  <si>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</si>
  <si>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</si>
  <si>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</si>
  <si>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</si>
  <si>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</si>
  <si>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</si>
  <si>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</si>
  <si>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</si>
  <si>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</si>
  <si>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</si>
  <si>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</si>
  <si>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</si>
  <si>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</si>
  <si>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</si>
  <si>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</si>
  <si>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</si>
  <si>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</si>
  <si>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</si>
  <si>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</si>
  <si>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</si>
  <si>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</si>
  <si>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</si>
  <si>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</si>
  <si>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</si>
  <si>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</si>
  <si>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</si>
  <si>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</si>
  <si>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</si>
  <si>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</si>
  <si>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</si>
  <si>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</si>
  <si>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</si>
  <si>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</si>
  <si>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</si>
  <si>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</si>
  <si>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</si>
  <si>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</si>
  <si>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</si>
  <si>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</si>
  <si>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</si>
  <si>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</si>
  <si>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</si>
  <si>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</si>
  <si>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</si>
  <si>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</si>
  <si>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</si>
  <si>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</si>
  <si>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</si>
  <si>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</si>
  <si>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</si>
  <si>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</si>
  <si>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</si>
  <si>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</si>
  <si>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</si>
  <si>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</si>
  <si>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</si>
  <si>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</si>
  <si>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</si>
  <si>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</si>
  <si>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</si>
  <si>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</si>
  <si>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</si>
  <si>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</si>
  <si>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</si>
  <si>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</si>
  <si>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</si>
  <si>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</si>
  <si>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</si>
  <si>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</si>
  <si>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</si>
  <si>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</si>
  <si>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</si>
  <si>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</si>
  <si>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</si>
  <si>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</si>
  <si>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</si>
  <si>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</si>
  <si>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</si>
  <si>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</si>
  <si>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</si>
  <si>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</si>
  <si>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</si>
  <si>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</si>
  <si>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</si>
  <si>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</si>
  <si>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</si>
  <si>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</si>
  <si>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2:54</t>
  </si>
  <si>
    <t>HECTOR GUILLEN</t>
  </si>
  <si>
    <t>9:25</t>
  </si>
  <si>
    <t>C:\Users\hector.guillen\EUROLEAGUE\EB STATS - Documents\General\SEASON 2025-26\Reports\Eurocup</t>
  </si>
  <si>
    <t>C:\Users\hector.guillen\EUROLEAGUE\EB STATS - Documents\General\SEASON 2025-26\Reports\Eurocup\PDF</t>
  </si>
  <si>
    <t>Very good job. Keep it up!</t>
  </si>
  <si>
    <t>IOANNIS TRIANTAFYLLOU</t>
  </si>
  <si>
    <t>KONSTANTINOS KRANIOTIS</t>
  </si>
  <si>
    <t>PANAGIOTIS ANTONOPOULOS</t>
  </si>
  <si>
    <t>SOLON MINAS</t>
  </si>
  <si>
    <t>VASILEIOS KARAGKIOULES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</si>
</sst>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05_047_NIO_TRN_U2025</v>
      </c>
      <c r="G1" s="5"/>
      <c r="H1" s="5"/>
      <c r="I1" s="5"/>
      <c r="J1" s="8" t="s">
        <v>707</v>
      </c>
      <c r="K1" s="121" t="s">
        <v>752</v>
      </c>
      <c r="L1" s="121"/>
      <c r="M1" s="122" t="s">
        <v>239</v>
      </c>
      <c r="N1" s="121" t="s">
        <v>753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47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45958.8125</v>
      </c>
      <c r="C3" s="178"/>
      <c r="D3" s="39">
        <v>598</v>
      </c>
      <c r="E3" s="29"/>
      <c r="F3" s="26">
        <f>SUBTOTAL(3,I17:I106)</f>
        <v>2</v>
      </c>
      <c r="G3" s="27">
        <f>IF(OR(D3="",D3=0),"",F3/D3)</f>
        <v>3.3444816053511705E-3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Panionios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NIO</v>
      </c>
      <c r="I4" s="5"/>
      <c r="J4" s="119" t="s">
        <v>714</v>
      </c>
      <c r="K4" s="54" t="s">
        <v>742</v>
      </c>
      <c r="L4" s="5"/>
      <c r="M4" s="185" t="s">
        <v>754</v>
      </c>
      <c r="N4" s="186"/>
      <c r="O4" s="2"/>
      <c r="P4" s="2"/>
      <c r="Q4" s="84" t="s">
        <v>175</v>
      </c>
      <c r="R4" s="94">
        <f>(IF(G3="",0,G3))</f>
        <v>3.3444816053511705E-3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Dolomiti Energia Trento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TRN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0.33444816053511706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1.8344481605351171</v>
      </c>
      <c r="N7" s="58"/>
      <c r="O7" s="2"/>
      <c r="P7" s="2"/>
      <c r="Q7" s="86">
        <f>SUM(R5,S5,AC16)</f>
        <v>1.8344481605351171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757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1.8344481605351171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758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47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47</v>
      </c>
      <c r="D17" s="32" t="s">
        <v>749</v>
      </c>
      <c r="E17" s="33">
        <v>3</v>
      </c>
      <c r="F17" s="36">
        <v>64</v>
      </c>
      <c r="G17" s="36">
        <v>54</v>
      </c>
      <c r="H17" s="38" t="str">
        <f>IF(I17="","",$I$14)</f>
        <v>SCOUTING</v>
      </c>
      <c r="I17" s="34">
        <v>409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47</v>
      </c>
      <c r="D18" s="32" t="s">
        <v>751</v>
      </c>
      <c r="E18" s="33">
        <v>4</v>
      </c>
      <c r="F18" s="36">
        <v>73</v>
      </c>
      <c r="G18" s="36">
        <v>65</v>
      </c>
      <c r="H18" s="38" t="str">
        <f t="shared" ref="H18:H81" si="8">IF(I18="","",$I$14)</f>
        <v>SCOUTING</v>
      </c>
      <c r="I18" s="34">
        <v>463</v>
      </c>
      <c r="J18" s="13" t="s">
        <v>4</v>
      </c>
      <c r="K18" s="13" t="s">
        <v>62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REPORT_U2025047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"U2025047"</v>
      </c>
      <c r="F3" s="45" t="str">
        <f t="shared" ref="F3:F16" si="0">""""&amp;B3&amp;"""" &amp; " : " &amp;C3&amp;","</f>
        <v>"name" : "U2025047",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"U047"</v>
      </c>
      <c r="F4" s="45" t="str">
        <f t="shared" si="0"/>
        <v>"cod" : "U047",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047</v>
      </c>
      <c r="F6" s="45" t="str">
        <f t="shared" si="0"/>
        <v>"number" : 047,</v>
      </c>
    </row>
    <row r="7" spans="2:6" x14ac:dyDescent="0.25">
      <c r="B7" s="43" t="s">
        <v>116</v>
      </c>
      <c r="C7" s="43" t="str">
        <f ca="1">""""&amp;TEXT('SCOUT &amp; LOGISTICS'!B3,"dd/mm/aaaa")&amp;""""</f>
        <v>"28/10/Tuesday"</v>
      </c>
      <c r="F7" s="45" t="str">
        <f t="shared" ca="1" si="0"/>
        <v>"date" : "28/10/Tuesday",</v>
      </c>
    </row>
    <row r="8" spans="2:6" x14ac:dyDescent="0.25">
      <c r="B8" s="43" t="s">
        <v>125</v>
      </c>
      <c r="C8" s="43" t="str">
        <f>""""&amp;'SCOUT &amp; LOGISTICS'!D4 &amp;""""</f>
        <v>"Panionios Athens"</v>
      </c>
      <c r="F8" s="45" t="str">
        <f t="shared" si="0"/>
        <v>"home_team" : "Panionios Athens",</v>
      </c>
    </row>
    <row r="9" spans="2:6" x14ac:dyDescent="0.25">
      <c r="B9" s="43" t="s">
        <v>126</v>
      </c>
      <c r="C9" s="43" t="str">
        <f>""""&amp;'SCOUT &amp; LOGISTICS'!D5&amp;""""</f>
        <v>"Dolomiti Energia Trento"</v>
      </c>
      <c r="F9" s="45" t="str">
        <f t="shared" si="0"/>
        <v>"away_team" : "Dolomiti Energia Trento",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"IOANNIS TRIANTAFYLLOU"</v>
      </c>
      <c r="F10" s="45" t="str">
        <f t="shared" si="0"/>
        <v>"Data_entry" : "IOANNIS TRIANTAFYLLOU",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"KONSTANTINOS KRANIOTIS"</v>
      </c>
      <c r="F11" s="45" t="str">
        <f t="shared" si="0"/>
        <v>"Caller_1" : "KONSTANTINOS KRANIOTIS",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ANTONOPOULOS"</v>
      </c>
      <c r="F12" s="45" t="str">
        <f t="shared" si="0"/>
        <v>"Caller_2" : "PANAGIOTIS ANTONOPOULOS",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"SOLON MINAS"</v>
      </c>
      <c r="F13" s="45" t="str">
        <f t="shared" si="0"/>
        <v>"Timerkeeper" : "SOLON MINAS",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KARAGKIOULES"</v>
      </c>
      <c r="F14" s="45" t="str">
        <f t="shared" si="0"/>
        <v>"Shotclock" : "VASILEIOS KARAGKIOULES",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598</v>
      </c>
      <c r="F25" s="45" t="str">
        <f t="shared" ref="F25:F48" si="1">""""&amp;C25&amp;"""" &amp; " : " &amp;D25&amp;","</f>
        <v>"total_actions" : 598,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job. Keep it up!"</v>
      </c>
      <c r="F51" s="45" t="str">
        <f>""""&amp;B51&amp;"""" &amp; " : " &amp;C51&amp;","</f>
        <v>"comments" : "Very good job. Keep it up!",</v>
      </c>
    </row>
    <row r="52" spans="2:6" x14ac:dyDescent="0.25">
      <c r="B52" s="43" t="s">
        <v>153</v>
      </c>
      <c r="C52" s="43" t="str">
        <f>TEXT('SCOUT &amp; LOGISTICS'!F1,"0,0")</f>
        <v>05_047_NIO_TRN_U2025</v>
      </c>
      <c r="F52" s="45" t="str">
        <f>""""&amp;B52&amp;"""" &amp; " : " &amp;C52</f>
        <v>"result" : 05_047_NIO_TRN_U2025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U047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28/10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Panionios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Dolomiti Energia Trento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IOANNIS TRIANTAFYLLOU</v>
      </c>
      <c r="C8" s="201"/>
      <c r="D8" s="201"/>
      <c r="E8" s="201"/>
      <c r="F8" s="201"/>
      <c r="G8" s="201" t="str">
        <f>IF('SCOUT &amp; LOGISTICS'!D7="","",'SCOUT &amp; LOGISTICS'!D7)</f>
        <v>KONSTANTINOS KRANIOTIS</v>
      </c>
      <c r="H8" s="201"/>
      <c r="I8" s="201"/>
      <c r="J8" s="201"/>
      <c r="K8" s="201"/>
      <c r="L8" s="201" t="str">
        <f>IF('SCOUT &amp; LOGISTICS'!D8="","",'SCOUT &amp; LOGISTICS'!D8)</f>
        <v>PANAGIOTIS ANTONOPOULOS</v>
      </c>
      <c r="M8" s="201"/>
      <c r="N8" s="201"/>
      <c r="O8" s="201"/>
      <c r="P8" s="201"/>
      <c r="Q8" s="201" t="str">
        <f>IF('SCOUT &amp; LOGISTICS'!D9="","",'SCOUT &amp; LOGISTICS'!D9)</f>
        <v>SOLON MINAS</v>
      </c>
      <c r="R8" s="201"/>
      <c r="S8" s="201"/>
      <c r="T8" s="201"/>
      <c r="U8" s="201"/>
      <c r="V8" s="201" t="str">
        <f>IF('SCOUT &amp; LOGISTICS'!D10="","",'SCOUT &amp; LOGISTICS'!D10)</f>
        <v>VASILEIOS KARAGKIOULES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598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3.3444816053511705E-3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1.8344481605351171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FE5D56-037F-49D3-8029-0FF5D3CCD21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2025-10-28T20:28:35Z</cp:lastPrinted>
  <dcterms:created xsi:type="dcterms:W3CDTF">2023-09-19T19:50:35Z</dcterms:created>
  <dcterms:modified xsi:type="dcterms:W3CDTF">2025-10-28T20:28:38Z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