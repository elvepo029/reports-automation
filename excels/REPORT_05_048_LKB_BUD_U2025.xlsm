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0" documentId="8_{BE0302DE-AE0F-457E-B7AD-500F38086242}" xr6:coauthVersionLast="47" xr6:coauthVersionMax="47" xr10:uidLastSave="{C13999BF-E3AB-4A4D-98C9-561E50166DF7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<sst xmlns="http://schemas.openxmlformats.org/spreadsheetml/2006/main" count="3249" uniqueCount="759">
  <si>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</si>
  <si>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</si>
  <si>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</si>
  <si>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</si>
  <si>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</si>
  <si>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</si>
  <si>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</si>
  <si>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</si>
  <si>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</si>
  <si>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</si>
  <si>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</si>
  <si>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</si>
  <si>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</si>
  <si>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</si>
  <si>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</si>
  <si>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</si>
  <si>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</si>
  <si>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</si>
  <si>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</si>
  <si>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</si>
  <si>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</si>
  <si>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</si>
  <si>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</si>
  <si>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</si>
  <si>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</si>
  <si>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</si>
  <si>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</si>
  <si>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</si>
  <si>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</si>
  <si>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</si>
  <si>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</si>
  <si>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</si>
  <si>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</si>
  <si>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</si>
  <si>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</si>
  <si>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</si>
  <si>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</si>
  <si>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</si>
  <si>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</si>
  <si>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</si>
  <si>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</si>
  <si>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</si>
  <si>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</si>
  <si>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</si>
  <si>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</si>
  <si>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</si>
  <si>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</si>
  <si>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</si>
  <si>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</si>
  <si>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</si>
  <si>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</si>
  <si>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</si>
  <si>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</si>
  <si>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</si>
  <si>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</si>
  <si>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</si>
  <si>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</si>
  <si>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</si>
  <si>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</si>
  <si>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</si>
  <si>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</si>
  <si>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</si>
  <si>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</si>
  <si>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</si>
  <si>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</si>
  <si>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</si>
  <si>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</si>
  <si>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</si>
  <si>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</si>
  <si>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</si>
  <si>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</si>
  <si>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</si>
  <si>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</si>
  <si>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</si>
  <si>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</si>
  <si>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</si>
  <si>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</si>
  <si>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</si>
  <si>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</si>
  <si>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</si>
  <si>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</si>
  <si>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</si>
  <si>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</si>
  <si>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</si>
  <si>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</si>
  <si>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</si>
  <si>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</si>
  <si>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</si>
  <si>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</si>
  <si>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</si>
  <si>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</si>
  <si>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</si>
  <si>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</si>
  <si>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</si>
  <si>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</si>
  <si>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</si>
  <si>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</si>
  <si>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</si>
  <si>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</si>
  <si>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</si>
  <si>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</si>
  <si>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</si>
  <si>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</si>
  <si>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</si>
  <si>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</si>
  <si>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</si>
  <si>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</si>
  <si>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</si>
  <si>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</si>
  <si>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</si>
  <si>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</si>
  <si>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</si>
  <si>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</si>
  <si>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</si>
  <si>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</si>
  <si>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</si>
  <si>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</si>
  <si>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</si>
  <si>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</si>
  <si>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</si>
  <si>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</si>
  <si>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</si>
  <si>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</si>
  <si>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</si>
  <si>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</si>
  <si>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</si>
  <si>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</si>
  <si>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</si>
  <si>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</si>
  <si>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</si>
  <si>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</si>
  <si>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</si>
  <si>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</si>
  <si>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</si>
  <si>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</si>
  <si>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</si>
  <si>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</si>
  <si>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</si>
  <si>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</si>
  <si>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</si>
  <si>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</si>
  <si>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</si>
  <si>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</si>
  <si>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</si>
  <si>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</si>
  <si>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</si>
  <si>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</si>
  <si>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</si>
  <si>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</si>
  <si>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</si>
  <si>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</si>
  <si>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</si>
  <si>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</si>
  <si>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</si>
  <si>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</si>
  <si>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</si>
  <si>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</si>
  <si>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</si>
  <si>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</si>
  <si>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</si>
  <si>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</si>
  <si>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</si>
  <si>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</si>
  <si>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</si>
  <si>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</si>
  <si>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</si>
  <si>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</si>
  <si>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</si>
  <si>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</si>
  <si>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</si>
  <si>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</si>
  <si>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</si>
  <si>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</si>
  <si>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</si>
  <si>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</si>
  <si>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</si>
  <si>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</si>
  <si>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</si>
  <si>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</si>
  <si>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</si>
  <si>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</si>
  <si>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</si>
  <si>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</si>
  <si>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</si>
  <si>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</si>
  <si>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</si>
  <si>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</si>
  <si>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</si>
  <si>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</si>
  <si>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</si>
  <si>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</si>
  <si>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</si>
  <si>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</si>
  <si>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</si>
  <si>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</si>
  <si>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</si>
  <si>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</si>
  <si>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</si>
  <si>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</si>
  <si>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</si>
  <si>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</si>
  <si>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</si>
  <si>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</si>
  <si>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</si>
  <si>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</si>
  <si>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</si>
  <si>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</si>
  <si>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</si>
  <si>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</si>
  <si>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</si>
  <si>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</si>
  <si>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</si>
  <si>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</si>
  <si>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</si>
  <si>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</si>
  <si>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</si>
  <si>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</si>
  <si>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</si>
  <si>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</si>
  <si>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</si>
  <si>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</si>
  <si>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</si>
  <si>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</si>
  <si>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</si>
  <si>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</si>
  <si>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</si>
  <si>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</si>
  <si>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</si>
  <si>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</si>
  <si>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</si>
  <si>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</si>
  <si>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</si>
  <si>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</si>
  <si>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</si>
  <si>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</si>
  <si>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</si>
  <si>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</si>
  <si>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</si>
  <si>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</si>
  <si>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</si>
  <si>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</si>
  <si>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</si>
  <si>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</si>
  <si>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</si>
  <si>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</si>
  <si>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</si>
  <si>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</si>
  <si>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</si>
  <si>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</si>
  <si>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</si>
  <si>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</si>
  <si>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</si>
  <si>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</si>
  <si>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</si>
  <si>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</si>
  <si>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</si>
  <si>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</si>
  <si>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</si>
  <si>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</si>
  <si>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</si>
  <si>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</si>
  <si>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</si>
  <si>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</si>
  <si>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</si>
  <si>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</si>
  <si>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</si>
  <si>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</si>
  <si>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</si>
  <si>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</si>
  <si>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</si>
  <si>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</si>
  <si>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</si>
  <si>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</si>
  <si>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</si>
  <si>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</si>
  <si>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</si>
  <si>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</si>
  <si>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</si>
  <si>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</si>
  <si>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</si>
  <si>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</si>
  <si>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</si>
  <si>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</si>
  <si>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</si>
  <si>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</si>
  <si>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</si>
  <si>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</si>
  <si>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</si>
  <si>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</si>
  <si>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</si>
  <si>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</si>
  <si>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</si>
  <si>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</si>
  <si>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</si>
  <si>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</si>
  <si>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</si>
  <si>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</si>
  <si>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</si>
  <si>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</si>
  <si>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</si>
  <si>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</si>
  <si>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</si>
  <si>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</si>
  <si>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</si>
  <si>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</si>
  <si>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</si>
  <si>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</si>
  <si>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</si>
  <si>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</si>
  <si>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</si>
  <si>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</si>
  <si>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</si>
  <si>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</si>
  <si>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</si>
  <si>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</si>
  <si>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</si>
  <si>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</si>
  <si>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</si>
  <si>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</si>
  <si>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</si>
  <si>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</si>
  <si>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</si>
  <si>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</si>
  <si>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</si>
  <si>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</si>
  <si>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</si>
  <si>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</si>
  <si>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</si>
  <si>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</si>
  <si>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</si>
  <si>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</si>
  <si>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</si>
  <si>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</si>
  <si>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</si>
  <si>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</si>
  <si>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</si>
  <si>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</si>
  <si>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</si>
  <si>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</si>
  <si>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</si>
  <si>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</si>
  <si>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</si>
  <si>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</si>
  <si>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</si>
  <si>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</si>
  <si>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</si>
  <si>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</si>
  <si>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</si>
  <si>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</si>
  <si>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</si>
  <si>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</si>
  <si>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</si>
  <si>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</si>
  <si>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</si>
  <si>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</si>
  <si>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</si>
  <si>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</si>
  <si>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</si>
  <si>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</si>
  <si>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</si>
  <si>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</si>
  <si>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</si>
  <si>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</si>
  <si>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</si>
  <si>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</si>
  <si>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</si>
  <si>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</si>
  <si>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</si>
  <si>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</si>
  <si>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</si>
  <si>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</si>
  <si>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</si>
  <si>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</si>
  <si>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</si>
  <si>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</si>
  <si>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</si>
  <si>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</si>
  <si>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</si>
  <si>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</si>
  <si>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</si>
  <si>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</si>
  <si>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</si>
  <si>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</si>
  <si>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</si>
  <si>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</si>
  <si>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</si>
  <si>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</si>
  <si>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</si>
  <si>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</si>
  <si>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</si>
  <si>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</si>
  <si>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</si>
  <si>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</si>
  <si>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</si>
  <si>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</si>
  <si>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</si>
  <si>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</si>
  <si>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</si>
  <si>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</si>
  <si>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</si>
  <si>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</si>
  <si>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</si>
  <si>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</si>
  <si>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</si>
  <si>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</si>
  <si>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</si>
  <si>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</si>
  <si>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</si>
  <si>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</si>
  <si>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</si>
  <si>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</si>
  <si>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</si>
  <si>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</si>
  <si>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</si>
  <si>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</si>
  <si>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</si>
  <si>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</si>
  <si>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</si>
  <si>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</si>
  <si>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</si>
  <si>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</si>
  <si>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</si>
  <si>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</si>
  <si>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</si>
  <si>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</si>
  <si>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</si>
  <si>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</si>
  <si>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</si>
  <si>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</si>
  <si>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</si>
  <si>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</si>
  <si>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</si>
  <si>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</si>
  <si>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</si>
  <si>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</si>
  <si>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</si>
  <si>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</si>
  <si>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</si>
  <si>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</si>
  <si>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</si>
  <si>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</si>
  <si>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</si>
  <si>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</si>
  <si>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</si>
  <si>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</si>
  <si>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</si>
  <si>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</si>
  <si>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</si>
  <si>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</si>
  <si>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</si>
  <si>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</si>
  <si>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</si>
  <si>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</si>
  <si>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</si>
  <si>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</si>
  <si>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</si>
  <si>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</si>
  <si>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</si>
  <si>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</si>
  <si>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</si>
  <si>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</si>
  <si>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</si>
  <si>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</si>
  <si>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</si>
  <si>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</si>
  <si>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</si>
  <si>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</si>
  <si>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</si>
  <si>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</si>
  <si>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</si>
  <si>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</si>
  <si>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</si>
  <si>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</si>
  <si>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</si>
  <si>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</si>
  <si>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</si>
  <si>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</si>
  <si>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</si>
  <si>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</si>
  <si>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</si>
  <si>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</si>
  <si>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</si>
  <si>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</si>
  <si>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</si>
  <si>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</si>
  <si>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</si>
  <si>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</si>
  <si>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</si>
  <si>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</si>
  <si>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</si>
  <si>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</si>
  <si>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</si>
  <si>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</si>
  <si>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</si>
  <si>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</si>
  <si>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</si>
  <si>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</si>
  <si>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</si>
  <si>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</si>
  <si>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</si>
  <si>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</si>
  <si>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</si>
  <si>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</si>
  <si>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</si>
  <si>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</si>
  <si>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</si>
  <si>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</si>
  <si>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</si>
  <si>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</si>
  <si>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</si>
  <si>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</si>
  <si>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</si>
  <si>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</si>
  <si>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</si>
  <si>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</si>
  <si>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</si>
  <si>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</si>
  <si>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</si>
  <si>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</si>
  <si>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</si>
  <si>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</si>
  <si>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</si>
  <si>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</si>
  <si>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</si>
  <si>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</si>
  <si>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</si>
  <si>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</si>
  <si>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</si>
  <si>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</si>
  <si>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</si>
  <si>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</si>
  <si>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</si>
  <si>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</si>
  <si>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</si>
  <si>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</si>
  <si>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</si>
  <si>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</si>
  <si>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</si>
  <si>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</si>
  <si>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</si>
  <si>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</si>
  <si>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</si>
  <si>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</si>
  <si>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</si>
  <si>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</si>
  <si>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</si>
  <si>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</si>
  <si>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</si>
  <si>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</si>
  <si>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</si>
  <si>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</si>
  <si>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</si>
  <si>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</si>
  <si>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</si>
  <si>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</si>
  <si>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</si>
  <si>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</si>
  <si>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</si>
  <si>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</si>
  <si>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</si>
  <si>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</si>
  <si>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</si>
  <si>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</si>
  <si>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</si>
  <si>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</si>
  <si>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</si>
  <si>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</si>
  <si>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</si>
  <si>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</si>
  <si>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</si>
  <si>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</si>
  <si>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</si>
  <si>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</si>
  <si>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</si>
  <si>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</si>
  <si>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</si>
  <si>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</si>
  <si>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</si>
  <si>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</si>
  <si>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</si>
  <si>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</si>
  <si>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</si>
  <si>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</si>
  <si>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</si>
  <si>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</si>
  <si>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</si>
  <si>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</si>
  <si>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</si>
  <si>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</si>
  <si>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</si>
  <si>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</si>
  <si>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</si>
  <si>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</si>
  <si>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</si>
  <si>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</si>
  <si>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</si>
  <si>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</si>
  <si>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</si>
  <si>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</si>
  <si>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</si>
  <si>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</si>
  <si>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</si>
  <si>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</si>
  <si>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</si>
  <si>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</si>
  <si>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</si>
  <si>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</si>
  <si>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</si>
  <si>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</si>
  <si>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</si>
  <si>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</si>
  <si>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</si>
  <si>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</si>
  <si>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</si>
  <si>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</si>
  <si>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</si>
  <si>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</si>
  <si>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</si>
  <si>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</si>
  <si>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</si>
  <si>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</si>
  <si>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</si>
  <si>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</si>
  <si>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</si>
  <si>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</si>
  <si>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</si>
  <si>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</si>
  <si>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</si>
  <si>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</si>
  <si>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</si>
  <si>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</si>
  <si>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</si>
  <si>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</si>
  <si>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</si>
  <si>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</si>
  <si>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</si>
  <si>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</si>
  <si>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</si>
  <si>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</si>
  <si>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</si>
  <si>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</si>
  <si>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</si>
  <si>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</si>
  <si>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</si>
  <si>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</si>
  <si>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</si>
  <si>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</si>
  <si>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</si>
  <si>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</si>
  <si>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</si>
  <si>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</si>
  <si>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</si>
  <si>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</si>
  <si>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</si>
  <si>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</si>
  <si>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</si>
  <si>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</si>
  <si>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</si>
  <si>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</si>
  <si>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</si>
  <si>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</si>
  <si>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</si>
  <si>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</si>
  <si>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</si>
  <si>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</si>
  <si>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</si>
  <si>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</si>
  <si>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</si>
  <si>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</si>
  <si>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</si>
  <si>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</si>
  <si>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</si>
  <si>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</si>
  <si>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</si>
  <si>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</si>
  <si>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</si>
  <si>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</si>
  <si>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</si>
  <si>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</si>
  <si>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</si>
  <si>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</si>
  <si>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</si>
  <si>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</si>
  <si>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</si>
  <si>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</si>
  <si>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</si>
  <si>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</si>
  <si>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</si>
  <si>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</si>
  <si>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</si>
  <si>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</si>
  <si>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</si>
  <si>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</si>
  <si>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</si>
  <si>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</si>
  <si>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</si>
  <si>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</si>
  <si>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</si>
  <si>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</si>
  <si>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</si>
  <si>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</si>
  <si>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</si>
  <si>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</si>
  <si>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</si>
  <si>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</si>
  <si>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</si>
  <si>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</si>
  <si>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</si>
  <si>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</si>
  <si>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</si>
  <si>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</si>
  <si>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</si>
  <si>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</si>
  <si>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</si>
  <si>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</si>
  <si>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</si>
  <si>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</si>
  <si>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</si>
  <si>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</si>
  <si>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</si>
  <si>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</si>
  <si>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</si>
  <si>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</si>
  <si>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</si>
  <si>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</si>
  <si>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</si>
  <si>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</si>
  <si>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</si>
  <si>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</si>
  <si>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</si>
  <si>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</si>
  <si>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</si>
  <si>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</si>
  <si>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</si>
  <si>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</si>
  <si>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</si>
  <si>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</si>
  <si>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</si>
  <si>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</si>
  <si>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</si>
  <si>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</si>
  <si>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</si>
  <si>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</si>
  <si>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</si>
  <si>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</si>
  <si>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</si>
  <si>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</si>
  <si>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</si>
  <si>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</si>
  <si>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DOVILE RUSONYTE</t>
  </si>
  <si>
    <t>RASA KIZIKAITE</t>
  </si>
  <si>
    <t>AUKSE ZAKRIENE</t>
  </si>
  <si>
    <t>MINDAUGAS RUDZEVICIUS</t>
  </si>
  <si>
    <t>VIDAS MACYS</t>
  </si>
  <si>
    <t>HECTOR GUILLEN</t>
  </si>
  <si>
    <t>C:\Users\hector.guillen\EUROLEAGUE\EB STATS - Documents\General\SEASON 2025-26\Reports\Eurocup</t>
  </si>
  <si>
    <t>C:\Users\hector.guillen\EUROLEAGUE\EB STATS - Documents\General\SEASON 2025-26\Reports\Eurocup\PDF</t>
  </si>
  <si>
    <t>2:10</t>
  </si>
  <si>
    <t>Very good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</si>
</sst>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05_048_LKB_BUD_U2025</v>
      </c>
      <c r="G1" s="5"/>
      <c r="H1" s="5"/>
      <c r="I1" s="5"/>
      <c r="J1" s="8" t="s">
        <v>707</v>
      </c>
      <c r="K1" s="121" t="s">
        <v>755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48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45959.791666666664</v>
      </c>
      <c r="C3" s="157"/>
      <c r="D3" s="39">
        <v>551</v>
      </c>
      <c r="E3" s="29"/>
      <c r="F3" s="26">
        <f>SUBTOTAL(3,I17:I106)</f>
        <v>1</v>
      </c>
      <c r="G3" s="27">
        <f>IF(OR(D3="",D3=0),"",F3/D3)</f>
        <v>1.8148820326678765E-3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Lietkabelis Panevezys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LKB</v>
      </c>
      <c r="I4" s="5"/>
      <c r="J4" s="119" t="s">
        <v>714</v>
      </c>
      <c r="K4" s="54" t="s">
        <v>742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1.8148820326678765E-3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Buducnost VOLI Podgorica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BUD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0.18148820326678766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1.1814882032667877</v>
      </c>
      <c r="N7" s="58"/>
      <c r="O7" s="2"/>
      <c r="P7" s="2"/>
      <c r="Q7" s="86">
        <f>SUM(R5,S5,AC16)</f>
        <v>1.1814882032667877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1.1814882032667877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48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48</v>
      </c>
      <c r="D17" s="32" t="s">
        <v>757</v>
      </c>
      <c r="E17" s="33">
        <v>3</v>
      </c>
      <c r="F17" s="36">
        <v>63</v>
      </c>
      <c r="G17" s="36">
        <v>68</v>
      </c>
      <c r="H17" s="38" t="str">
        <f>IF(I17="","",$I$14)</f>
        <v>SCOUTING</v>
      </c>
      <c r="I17" s="34">
        <v>379</v>
      </c>
      <c r="J17" s="13" t="s">
        <v>4</v>
      </c>
      <c r="K17" s="13" t="s">
        <v>63</v>
      </c>
      <c r="L17" s="13" t="s">
        <v>6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REPORT_U2025048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"U2025048"</v>
      </c>
      <c r="F3" s="45" t="str">
        <f t="shared" ref="F3:F16" si="0">""""&amp;B3&amp;"""" &amp; " : " &amp;C3&amp;","</f>
        <v>"name" : "U2025048",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"U048"</v>
      </c>
      <c r="F4" s="45" t="str">
        <f t="shared" si="0"/>
        <v>"cod" : "U048",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048</v>
      </c>
      <c r="F6" s="45" t="str">
        <f t="shared" si="0"/>
        <v>"number" : 048,</v>
      </c>
    </row>
    <row r="7" spans="2:6" x14ac:dyDescent="0.25">
      <c r="B7" s="43" t="s">
        <v>116</v>
      </c>
      <c r="C7" s="43" t="str">
        <f ca="1">""""&amp;TEXT('SCOUT &amp; LOGISTICS'!B3,"dd/mm/aaaa")&amp;""""</f>
        <v>"29/10/Wednesday"</v>
      </c>
      <c r="F7" s="45" t="str">
        <f t="shared" ca="1" si="0"/>
        <v>"date" : "29/10/Wednesday",</v>
      </c>
    </row>
    <row r="8" spans="2:6" x14ac:dyDescent="0.25">
      <c r="B8" s="43" t="s">
        <v>125</v>
      </c>
      <c r="C8" s="43" t="str">
        <f>""""&amp;'SCOUT &amp; LOGISTICS'!D4 &amp;""""</f>
        <v>"Lietkabelis Panevezys"</v>
      </c>
      <c r="F8" s="45" t="str">
        <f t="shared" si="0"/>
        <v>"home_team" : "Lietkabelis Panevezys",</v>
      </c>
    </row>
    <row r="9" spans="2:6" x14ac:dyDescent="0.25">
      <c r="B9" s="43" t="s">
        <v>126</v>
      </c>
      <c r="C9" s="43" t="str">
        <f>""""&amp;'SCOUT &amp; LOGISTICS'!D5&amp;""""</f>
        <v>"Buducnost VOLI Podgorica"</v>
      </c>
      <c r="F9" s="45" t="str">
        <f t="shared" si="0"/>
        <v>"away_team" : "Buducnost VOLI Podgorica",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"DOVILE RUSONYTE"</v>
      </c>
      <c r="F10" s="45" t="str">
        <f t="shared" si="0"/>
        <v>"Data_entry" : "DOVILE RUSONYTE",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"MINDAUGAS RUDZEVICIUS"</v>
      </c>
      <c r="F13" s="45" t="str">
        <f t="shared" si="0"/>
        <v>"Timerkeeper" : "MINDAUGAS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"VIDAS MACYS"</v>
      </c>
      <c r="F14" s="45" t="str">
        <f t="shared" si="0"/>
        <v>"Shotclock" : "VIDAS MACYS",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551</v>
      </c>
      <c r="F25" s="45" t="str">
        <f t="shared" ref="F25:F48" si="1">""""&amp;C25&amp;"""" &amp; " : " &amp;D25&amp;","</f>
        <v>"total_actions" : 551,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game. Keep it up!"</v>
      </c>
      <c r="F51" s="45" t="str">
        <f>""""&amp;B51&amp;"""" &amp; " : " &amp;C51&amp;","</f>
        <v>"comments" : "Very good game. Keep it up!",</v>
      </c>
    </row>
    <row r="52" spans="2:6" x14ac:dyDescent="0.25">
      <c r="B52" s="43" t="s">
        <v>153</v>
      </c>
      <c r="C52" s="43" t="str">
        <f>TEXT('SCOUT &amp; LOGISTICS'!F1,"0,0")</f>
        <v>05_048_LKB_BUD_U2025</v>
      </c>
      <c r="F52" s="45" t="str">
        <f>""""&amp;B52&amp;"""" &amp; " : " &amp;C52</f>
        <v>"result" : 05_048_LKB_BUD_U2025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U048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29/10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Lietkabelis Panevezys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Buducnost Voli Podgorica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DOVILE RUSONYTE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MINDAUGAS RUDZEVICIUS</v>
      </c>
      <c r="R8" s="206"/>
      <c r="S8" s="206"/>
      <c r="T8" s="206"/>
      <c r="U8" s="206"/>
      <c r="V8" s="206" t="str">
        <f>IF('SCOUT &amp; LOGISTICS'!D10="","",'SCOUT &amp; LOGISTICS'!D10)</f>
        <v>VIDAS MACYS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1.8148820326678765E-3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game.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1.1814882032667877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88A02A-6371-461C-92E4-7BE8A6BA2CFC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2025-10-31T19:04:45Z</cp:lastPrinted>
  <dcterms:created xsi:type="dcterms:W3CDTF">2023-09-19T19:50:35Z</dcterms:created>
  <dcterms:modified xsi:type="dcterms:W3CDTF">2025-10-31T19:04:49Z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