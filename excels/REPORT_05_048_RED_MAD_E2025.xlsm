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59" documentId="8_{DE676C48-2798-4ED2-BDF2-9EE4ABB18C3C}" xr6:coauthVersionLast="47" xr6:coauthVersionMax="47" xr10:uidLastSave="{18FFB7E4-6488-4EA1-9A09-FE5A263EC6CB}"/>
  <bookViews>
    <workbookView xWindow="-12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<sst xmlns="http://schemas.openxmlformats.org/spreadsheetml/2006/main" count="3270" uniqueCount="763">
  <si>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</si>
  <si>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</si>
  <si>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</si>
  <si>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</si>
  <si>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</si>
  <si>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</si>
  <si>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</si>
  <si>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</si>
  <si>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</si>
  <si>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</si>
  <si>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</si>
  <si>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</si>
  <si>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</si>
  <si>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</si>
  <si>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</si>
  <si>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</si>
  <si>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</si>
  <si>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</si>
  <si>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</si>
  <si>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</si>
  <si>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</si>
  <si>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</si>
  <si>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</si>
  <si>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</si>
  <si>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</si>
  <si>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</si>
  <si>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</si>
  <si>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</si>
  <si>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</si>
  <si>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</si>
  <si>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</si>
  <si>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</si>
  <si>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</si>
  <si>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</si>
  <si>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</si>
  <si>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</si>
  <si>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</si>
  <si>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</si>
  <si>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</si>
  <si>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</si>
  <si>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</si>
  <si>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</si>
  <si>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</si>
  <si>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</si>
  <si>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</si>
  <si>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</si>
  <si>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</si>
  <si>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</si>
  <si>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</si>
  <si>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</si>
  <si>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</si>
  <si>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</si>
  <si>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</si>
  <si>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</si>
  <si>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</si>
  <si>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</si>
  <si>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</si>
  <si>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</si>
  <si>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</si>
  <si>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</si>
  <si>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</si>
  <si>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</si>
  <si>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</si>
  <si>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</si>
  <si>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</si>
  <si>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</si>
  <si>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</si>
  <si>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</si>
  <si>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</si>
  <si>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</si>
  <si>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</si>
  <si>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</si>
  <si>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</si>
  <si>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</si>
  <si>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</si>
  <si>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</si>
  <si>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</si>
  <si>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</si>
  <si>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</si>
  <si>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</si>
  <si>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</si>
  <si>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</si>
  <si>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</si>
  <si>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</si>
  <si>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</si>
  <si>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</si>
  <si>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</si>
  <si>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</si>
  <si>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</si>
  <si>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</si>
  <si>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</si>
  <si>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</si>
  <si>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</si>
  <si>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</si>
  <si>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</si>
  <si>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</si>
  <si>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</si>
  <si>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</si>
  <si>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</si>
  <si>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</si>
  <si>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</si>
  <si>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</si>
  <si>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</si>
  <si>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</si>
  <si>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</si>
  <si>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</si>
  <si>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</si>
  <si>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</si>
  <si>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</si>
  <si>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</si>
  <si>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</si>
  <si>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</si>
  <si>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</si>
  <si>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</si>
  <si>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</si>
  <si>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</si>
  <si>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</si>
  <si>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</si>
  <si>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</si>
  <si>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</si>
  <si>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</si>
  <si>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</si>
  <si>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</si>
  <si>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</si>
  <si>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</si>
  <si>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</si>
  <si>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</si>
  <si>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</si>
  <si>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</si>
  <si>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</si>
  <si>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</si>
  <si>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</si>
  <si>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</si>
  <si>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</si>
  <si>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</si>
  <si>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</si>
  <si>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</si>
  <si>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</si>
  <si>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</si>
  <si>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</si>
  <si>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</si>
  <si>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</si>
  <si>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</si>
  <si>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</si>
  <si>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</si>
  <si>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</si>
  <si>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</si>
  <si>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</si>
  <si>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</si>
  <si>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</si>
  <si>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</si>
  <si>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</si>
  <si>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</si>
  <si>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</si>
  <si>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</si>
  <si>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</si>
  <si>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</si>
  <si>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</si>
  <si>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</si>
  <si>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</si>
  <si>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</si>
  <si>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</si>
  <si>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</si>
  <si>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</si>
  <si>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</si>
  <si>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</si>
  <si>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</si>
  <si>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</si>
  <si>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</si>
  <si>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</si>
  <si>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</si>
  <si>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</si>
  <si>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</si>
  <si>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</si>
  <si>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</si>
  <si>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</si>
  <si>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</si>
  <si>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</si>
  <si>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</si>
  <si>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</si>
  <si>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</si>
  <si>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</si>
  <si>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</si>
  <si>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</si>
  <si>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</si>
  <si>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</si>
  <si>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</si>
  <si>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</si>
  <si>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</si>
  <si>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</si>
  <si>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</si>
  <si>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</si>
  <si>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</si>
  <si>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</si>
  <si>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</si>
  <si>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</si>
  <si>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</si>
  <si>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</si>
  <si>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</si>
  <si>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</si>
  <si>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</si>
  <si>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</si>
  <si>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</si>
  <si>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</si>
  <si>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</si>
  <si>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</si>
  <si>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</si>
  <si>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</si>
  <si>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</si>
  <si>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</si>
  <si>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</si>
  <si>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</si>
  <si>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</si>
  <si>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</si>
  <si>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</si>
  <si>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</si>
  <si>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</si>
  <si>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</si>
  <si>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</si>
  <si>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</si>
  <si>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</si>
  <si>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</si>
  <si>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</si>
  <si>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</si>
  <si>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</si>
  <si>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</si>
  <si>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</si>
  <si>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</si>
  <si>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</si>
  <si>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</si>
  <si>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</si>
  <si>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</si>
  <si>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</si>
  <si>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</si>
  <si>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</si>
  <si>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</si>
  <si>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</si>
  <si>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</si>
  <si>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</si>
  <si>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</si>
  <si>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</si>
  <si>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</si>
  <si>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</si>
  <si>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</si>
  <si>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</si>
  <si>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</si>
  <si>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</si>
  <si>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</si>
  <si>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</si>
  <si>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</si>
  <si>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</si>
  <si>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</si>
  <si>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</si>
  <si>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</si>
  <si>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</si>
  <si>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</si>
  <si>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</si>
  <si>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</si>
  <si>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</si>
  <si>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</si>
  <si>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</si>
  <si>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</si>
  <si>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</si>
  <si>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</si>
  <si>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</si>
  <si>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</si>
  <si>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</si>
  <si>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</si>
  <si>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</si>
  <si>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</si>
  <si>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</si>
  <si>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</si>
  <si>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</si>
  <si>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</si>
  <si>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</si>
  <si>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</si>
  <si>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</si>
  <si>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</si>
  <si>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</si>
  <si>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</si>
  <si>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</si>
  <si>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</si>
  <si>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</si>
  <si>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</si>
  <si>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</si>
  <si>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</si>
  <si>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</si>
  <si>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</si>
  <si>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</si>
  <si>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</si>
  <si>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</si>
  <si>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</si>
  <si>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</si>
  <si>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</si>
  <si>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</si>
  <si>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</si>
  <si>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</si>
  <si>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</si>
  <si>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</si>
  <si>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</si>
  <si>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</si>
  <si>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</si>
  <si>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</si>
  <si>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</si>
  <si>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</si>
  <si>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</si>
  <si>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</si>
  <si>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</si>
  <si>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</si>
  <si>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</si>
  <si>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</si>
  <si>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</si>
  <si>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</si>
  <si>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</si>
  <si>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</si>
  <si>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</si>
  <si>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</si>
  <si>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</si>
  <si>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</si>
  <si>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</si>
  <si>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</si>
  <si>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</si>
  <si>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</si>
  <si>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</si>
  <si>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</si>
  <si>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</si>
  <si>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</si>
  <si>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</si>
  <si>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</si>
  <si>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</si>
  <si>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</si>
  <si>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</si>
  <si>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</si>
  <si>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</si>
  <si>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</si>
  <si>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</si>
  <si>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</si>
  <si>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</si>
  <si>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</si>
  <si>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</si>
  <si>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</si>
  <si>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</si>
  <si>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</si>
  <si>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</si>
  <si>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</si>
  <si>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</si>
  <si>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</si>
  <si>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</si>
  <si>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</si>
  <si>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</si>
  <si>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</si>
  <si>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</si>
  <si>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</si>
  <si>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</si>
  <si>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</si>
  <si>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</si>
  <si>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</si>
  <si>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</si>
  <si>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</si>
  <si>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</si>
  <si>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</si>
  <si>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</si>
  <si>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</si>
  <si>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</si>
  <si>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</si>
  <si>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</si>
  <si>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</si>
  <si>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</si>
  <si>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</si>
  <si>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</si>
  <si>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</si>
  <si>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</si>
  <si>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</si>
  <si>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</si>
  <si>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</si>
  <si>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</si>
  <si>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</si>
  <si>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</si>
  <si>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</si>
  <si>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</si>
  <si>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</si>
  <si>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</si>
  <si>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</si>
  <si>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</si>
  <si>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</si>
  <si>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</si>
  <si>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</si>
  <si>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</si>
  <si>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</si>
  <si>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</si>
  <si>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</si>
  <si>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</si>
  <si>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</si>
  <si>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</si>
  <si>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</si>
  <si>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</si>
  <si>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</si>
  <si>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</si>
  <si>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</si>
  <si>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</si>
  <si>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</si>
  <si>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</si>
  <si>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</si>
  <si>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</si>
  <si>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</si>
  <si>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</si>
  <si>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</si>
  <si>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</si>
  <si>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</si>
  <si>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</si>
  <si>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</si>
  <si>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</si>
  <si>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</si>
  <si>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</si>
  <si>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</si>
  <si>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</si>
  <si>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</si>
  <si>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</si>
  <si>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</si>
  <si>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</si>
  <si>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</si>
  <si>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</si>
  <si>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</si>
  <si>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</si>
  <si>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</si>
  <si>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</si>
  <si>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</si>
  <si>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</si>
  <si>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</si>
  <si>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</si>
  <si>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</si>
  <si>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</si>
  <si>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</si>
  <si>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</si>
  <si>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</si>
  <si>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</si>
  <si>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</si>
  <si>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</si>
  <si>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</si>
  <si>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</si>
  <si>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</si>
  <si>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</si>
  <si>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</si>
  <si>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</si>
  <si>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</si>
  <si>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</si>
  <si>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</si>
  <si>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</si>
  <si>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</si>
  <si>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</si>
  <si>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</si>
  <si>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</si>
  <si>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</si>
  <si>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</si>
  <si>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</si>
  <si>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</si>
  <si>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</si>
  <si>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</si>
  <si>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</si>
  <si>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</si>
  <si>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</si>
  <si>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</si>
  <si>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</si>
  <si>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</si>
  <si>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</si>
  <si>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</si>
  <si>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</si>
  <si>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</si>
  <si>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</si>
  <si>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</si>
  <si>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</si>
  <si>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</si>
  <si>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</si>
  <si>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</si>
  <si>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</si>
  <si>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</si>
  <si>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</si>
  <si>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</si>
  <si>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</si>
  <si>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</si>
  <si>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</si>
  <si>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</si>
  <si>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</si>
  <si>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</si>
  <si>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</si>
  <si>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</si>
  <si>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</si>
  <si>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</si>
  <si>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</si>
  <si>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</si>
  <si>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</si>
  <si>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</si>
  <si>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</si>
  <si>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</si>
  <si>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</si>
  <si>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</si>
  <si>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</si>
  <si>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</si>
  <si>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</si>
  <si>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</si>
  <si>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</si>
  <si>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</si>
  <si>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</si>
  <si>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</si>
  <si>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</si>
  <si>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</si>
  <si>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</si>
  <si>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</si>
  <si>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</si>
  <si>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</si>
  <si>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</si>
  <si>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</si>
  <si>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</si>
  <si>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</si>
  <si>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</si>
  <si>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</si>
  <si>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</si>
  <si>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</si>
  <si>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</si>
  <si>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</si>
  <si>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</si>
  <si>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</si>
  <si>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</si>
  <si>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</si>
  <si>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</si>
  <si>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</si>
  <si>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</si>
  <si>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</si>
  <si>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</si>
  <si>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</si>
  <si>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</si>
  <si>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</si>
  <si>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</si>
  <si>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</si>
  <si>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</si>
  <si>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</si>
  <si>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</si>
  <si>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</si>
  <si>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</si>
  <si>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</si>
  <si>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</si>
  <si>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</si>
  <si>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</si>
  <si>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</si>
  <si>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</si>
  <si>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</si>
  <si>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</si>
  <si>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</si>
  <si>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</si>
  <si>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</si>
  <si>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</si>
  <si>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</si>
  <si>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</si>
  <si>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</si>
  <si>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</si>
  <si>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</si>
  <si>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</si>
  <si>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</si>
  <si>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</si>
  <si>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</si>
  <si>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</si>
  <si>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</si>
  <si>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</si>
  <si>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</si>
  <si>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</si>
  <si>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</si>
  <si>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</si>
  <si>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</si>
  <si>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</si>
  <si>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</si>
  <si>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</si>
  <si>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</si>
  <si>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</si>
  <si>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</si>
  <si>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</si>
  <si>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</si>
  <si>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</si>
  <si>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</si>
  <si>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</si>
  <si>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</si>
  <si>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</si>
  <si>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</si>
  <si>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</si>
  <si>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</si>
  <si>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</si>
  <si>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</si>
  <si>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</si>
  <si>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</si>
  <si>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</si>
  <si>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</si>
  <si>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</si>
  <si>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</si>
  <si>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</si>
  <si>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</si>
  <si>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</si>
  <si>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</si>
  <si>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</si>
  <si>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</si>
  <si>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</si>
  <si>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</si>
  <si>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</si>
  <si>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</si>
  <si>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</si>
  <si>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</si>
  <si>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</si>
  <si>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</si>
  <si>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</si>
  <si>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</si>
  <si>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</si>
  <si>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</si>
  <si>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</si>
  <si>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</si>
  <si>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</si>
  <si>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</si>
  <si>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</si>
  <si>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</si>
  <si>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</si>
  <si>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</si>
  <si>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</si>
  <si>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</si>
  <si>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</si>
  <si>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</si>
  <si>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</si>
  <si>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</si>
  <si>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</si>
  <si>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</si>
  <si>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</si>
  <si>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</si>
  <si>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</si>
  <si>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</si>
  <si>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</si>
  <si>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</si>
  <si>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</si>
  <si>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</si>
  <si>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</si>
  <si>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</si>
  <si>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</si>
  <si>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</si>
  <si>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</si>
  <si>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</si>
  <si>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</si>
  <si>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</si>
  <si>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</si>
  <si>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</si>
  <si>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</si>
  <si>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</si>
  <si>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</si>
  <si>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</si>
  <si>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</si>
  <si>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</si>
  <si>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</si>
  <si>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</si>
  <si>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</si>
  <si>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</si>
  <si>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</si>
  <si>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</si>
  <si>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</si>
  <si>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</si>
  <si>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</si>
  <si>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</si>
  <si>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</si>
  <si>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</si>
  <si>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</si>
  <si>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</si>
  <si>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</si>
  <si>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</si>
  <si>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</si>
  <si>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</si>
  <si>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</si>
  <si>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</si>
  <si>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</si>
  <si>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</si>
  <si>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</si>
  <si>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</si>
  <si>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</si>
  <si>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</si>
  <si>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</si>
  <si>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</si>
  <si>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</si>
  <si>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</si>
  <si>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</si>
  <si>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</si>
  <si>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</si>
  <si>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</si>
  <si>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</si>
  <si>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</si>
  <si>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</si>
  <si>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</si>
  <si>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</si>
  <si>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</si>
  <si>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</si>
  <si>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</si>
  <si>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</si>
  <si>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</si>
  <si>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</si>
  <si>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</si>
  <si>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</si>
  <si>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</si>
  <si>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</si>
  <si>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</si>
  <si>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</si>
  <si>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</si>
  <si>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</si>
  <si>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</si>
  <si>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</si>
  <si>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</si>
  <si>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</si>
  <si>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</si>
  <si>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</si>
  <si>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</si>
  <si>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</si>
  <si>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</si>
  <si>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</si>
  <si>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</si>
  <si>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</si>
  <si>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</si>
  <si>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</si>
  <si>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</si>
  <si>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</si>
  <si>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</si>
  <si>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</si>
  <si>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</si>
  <si>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</si>
  <si>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</si>
  <si>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</si>
  <si>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</si>
  <si>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</si>
  <si>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</si>
  <si>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</si>
  <si>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</si>
  <si>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</si>
  <si>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</si>
  <si>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</si>
  <si>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</si>
  <si>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</si>
  <si>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</si>
  <si>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</si>
  <si>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</si>
  <si>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</si>
  <si>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</si>
  <si>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</si>
  <si>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</si>
  <si>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</si>
  <si>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</si>
  <si>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</si>
  <si>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</si>
  <si>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</si>
  <si>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</si>
  <si>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</si>
  <si>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</si>
  <si>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IVAN MOSIC</t>
  </si>
  <si>
    <t>MIODRAG STOJANOVIC</t>
  </si>
  <si>
    <t>MILOS KREMIC</t>
  </si>
  <si>
    <t>JELENA BOGUCANIN</t>
  </si>
  <si>
    <t>LJUPKA VUKOJEVIC</t>
  </si>
  <si>
    <t>JOVANA DOJCINOVIC</t>
  </si>
  <si>
    <t>ORIOL GARCIA</t>
  </si>
  <si>
    <t>01:16</t>
  </si>
  <si>
    <t>04:23</t>
  </si>
  <si>
    <t>00:10</t>
  </si>
  <si>
    <t>03:14</t>
  </si>
  <si>
    <t>02:18</t>
  </si>
  <si>
    <t>Good scouting during the whole game, good suport with the IRS requests. I was a bit confused on pregame about backup/main PC, try to be more clear on pregame. Good job overall, keep working on that way.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</si>
</sst>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24" sqref="N24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05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05_048_RED_MAD_E2025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48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45947.791666666664</v>
      </c>
      <c r="C3" s="157"/>
      <c r="D3" s="39">
        <v>626</v>
      </c>
      <c r="E3" s="29"/>
      <c r="F3" s="26">
        <f>SUBTOTAL(3,I17:I106)</f>
        <v>5</v>
      </c>
      <c r="G3" s="27">
        <f>IF(OR(D3="",D3=0),"",F3/D3)</f>
        <v>7.9872204472843447E-3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Crvena Zvezda Meridianbet Belgrade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RED</v>
      </c>
      <c r="I4" s="5"/>
      <c r="J4" s="119" t="s">
        <v>714</v>
      </c>
      <c r="K4" s="54" t="s">
        <v>743</v>
      </c>
      <c r="L4" s="5"/>
      <c r="M4" s="167" t="s">
        <v>762</v>
      </c>
      <c r="N4" s="168"/>
      <c r="O4" s="2"/>
      <c r="P4" s="2"/>
      <c r="Q4" s="84" t="s">
        <v>175</v>
      </c>
      <c r="R4" s="94">
        <f>(IF(G3="",0,G3))</f>
        <v>7.9872204472843447E-3</v>
      </c>
      <c r="S4" s="61">
        <f>SUM(I13:M13)</f>
        <v>0</v>
      </c>
      <c r="T4" s="78"/>
      <c r="U4" s="61">
        <f>AC18</f>
        <v>3</v>
      </c>
      <c r="V4" s="61">
        <f>+AC22</f>
        <v>2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Real Madrid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MAD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0.79872204472843444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2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4.298722044728434</v>
      </c>
      <c r="N7" s="58"/>
      <c r="O7" s="2"/>
      <c r="P7" s="2"/>
      <c r="Q7" s="86">
        <f>SUM(R5,S5,AC16)</f>
        <v>4.298722044728434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4.298722044728434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48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5</v>
      </c>
      <c r="Z16" s="90" t="s">
        <v>110</v>
      </c>
      <c r="AA16" s="75">
        <f>SUM(AA17:AA24)</f>
        <v>5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3.5</v>
      </c>
      <c r="AD16" s="75">
        <f>SUM(AD17:AD24)</f>
        <v>45</v>
      </c>
      <c r="AE16" s="76" t="s">
        <v>42</v>
      </c>
      <c r="AF16" s="75">
        <f>SUM(AF17:AF24)</f>
        <v>3</v>
      </c>
      <c r="AG16" s="75">
        <f>SUM(AG17:AG21)</f>
        <v>5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48</v>
      </c>
      <c r="D17" s="32" t="s">
        <v>757</v>
      </c>
      <c r="E17" s="33">
        <v>1</v>
      </c>
      <c r="F17" s="36">
        <v>15</v>
      </c>
      <c r="G17" s="36">
        <v>22</v>
      </c>
      <c r="H17" s="38" t="str">
        <f>IF(I17="","",$I$14)</f>
        <v>SCOUTING</v>
      </c>
      <c r="I17" s="34">
        <v>122</v>
      </c>
      <c r="J17" s="13" t="s">
        <v>4</v>
      </c>
      <c r="K17" s="13" t="s">
        <v>62</v>
      </c>
      <c r="L17" s="13" t="s">
        <v>5</v>
      </c>
      <c r="M17" s="13" t="s">
        <v>168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5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E2025</v>
      </c>
      <c r="C18" s="31">
        <f t="shared" si="3"/>
        <v>48</v>
      </c>
      <c r="D18" s="32" t="s">
        <v>758</v>
      </c>
      <c r="E18" s="33">
        <v>2</v>
      </c>
      <c r="F18" s="36">
        <v>30</v>
      </c>
      <c r="G18" s="36">
        <v>33</v>
      </c>
      <c r="H18" s="38" t="str">
        <f t="shared" ref="H18:H81" si="8">IF(I18="","",$I$14)</f>
        <v>SCOUTING</v>
      </c>
      <c r="I18" s="34">
        <v>237</v>
      </c>
      <c r="J18" s="13" t="s">
        <v>4</v>
      </c>
      <c r="K18" s="13" t="s">
        <v>62</v>
      </c>
      <c r="L18" s="13" t="s">
        <v>5</v>
      </c>
      <c r="M18" s="13" t="s">
        <v>10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>E2025</v>
      </c>
      <c r="C19" s="31">
        <f t="shared" si="3"/>
        <v>48</v>
      </c>
      <c r="D19" s="32" t="s">
        <v>759</v>
      </c>
      <c r="E19" s="33">
        <v>2</v>
      </c>
      <c r="F19" s="36">
        <v>43</v>
      </c>
      <c r="G19" s="36">
        <v>39</v>
      </c>
      <c r="H19" s="38" t="str">
        <f t="shared" si="8"/>
        <v>SCOUTING</v>
      </c>
      <c r="I19" s="34">
        <v>307</v>
      </c>
      <c r="J19" s="13" t="s">
        <v>4</v>
      </c>
      <c r="K19" s="13" t="s">
        <v>62</v>
      </c>
      <c r="L19" s="13" t="s">
        <v>6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>E2025</v>
      </c>
      <c r="C20" s="31">
        <f t="shared" si="3"/>
        <v>48</v>
      </c>
      <c r="D20" s="32" t="s">
        <v>760</v>
      </c>
      <c r="E20" s="33">
        <v>4</v>
      </c>
      <c r="F20" s="36">
        <v>83</v>
      </c>
      <c r="G20" s="36">
        <v>65</v>
      </c>
      <c r="H20" s="38" t="str">
        <f t="shared" si="8"/>
        <v>SCOUTING</v>
      </c>
      <c r="I20" s="34">
        <v>574</v>
      </c>
      <c r="J20" s="13" t="s">
        <v>4</v>
      </c>
      <c r="K20" s="13" t="s">
        <v>63</v>
      </c>
      <c r="L20" s="13" t="s">
        <v>6</v>
      </c>
      <c r="M20" s="13" t="s">
        <v>9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>E2025</v>
      </c>
      <c r="C21" s="31">
        <f t="shared" si="3"/>
        <v>48</v>
      </c>
      <c r="D21" s="32" t="s">
        <v>761</v>
      </c>
      <c r="E21" s="33">
        <v>4</v>
      </c>
      <c r="F21" s="36">
        <v>83</v>
      </c>
      <c r="G21" s="36">
        <v>69</v>
      </c>
      <c r="H21" s="38" t="str">
        <f t="shared" si="8"/>
        <v>SCOUTING</v>
      </c>
      <c r="I21" s="34">
        <v>595</v>
      </c>
      <c r="J21" s="13" t="s">
        <v>4</v>
      </c>
      <c r="K21" s="13" t="s">
        <v>63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.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REPORT_E2025048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"E2025048"</v>
      </c>
      <c r="F3" s="45" t="str">
        <f t="shared" ref="F3:F16" si="0">""""&amp;B3&amp;"""" &amp; " : " &amp;C3&amp;","</f>
        <v>"name" : "E2025048",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"E048"</v>
      </c>
      <c r="F4" s="45" t="str">
        <f t="shared" si="0"/>
        <v>"cod" : "E048",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048</v>
      </c>
      <c r="F6" s="45" t="str">
        <f t="shared" si="0"/>
        <v>"number" : 048,</v>
      </c>
    </row>
    <row r="7" spans="2:6" x14ac:dyDescent="0.2">
      <c r="B7" s="43" t="s">
        <v>116</v>
      </c>
      <c r="C7" s="43" t="str">
        <f ca="1">""""&amp;TEXT('SCOUT &amp; LOGISTICS'!B3,"dd/mm/aaaa")&amp;""""</f>
        <v>"17/10/Friday"</v>
      </c>
      <c r="F7" s="45" t="str">
        <f t="shared" ca="1" si="0"/>
        <v>"date" : "17/10/Friday",</v>
      </c>
    </row>
    <row r="8" spans="2:6" x14ac:dyDescent="0.2">
      <c r="B8" s="43" t="s">
        <v>125</v>
      </c>
      <c r="C8" s="43" t="str">
        <f>""""&amp;'SCOUT &amp; LOGISTICS'!D4 &amp;""""</f>
        <v>"Crvena Zvezda Meridianbet Belgrade"</v>
      </c>
      <c r="F8" s="45" t="str">
        <f t="shared" si="0"/>
        <v>"home_team" : "Crvena Zvezda Meridianbet Belgrade",</v>
      </c>
    </row>
    <row r="9" spans="2:6" x14ac:dyDescent="0.2">
      <c r="B9" s="43" t="s">
        <v>126</v>
      </c>
      <c r="C9" s="43" t="str">
        <f>""""&amp;'SCOUT &amp; LOGISTICS'!D5&amp;""""</f>
        <v>"Real Madrid"</v>
      </c>
      <c r="F9" s="45" t="str">
        <f t="shared" si="0"/>
        <v>"away_team" : "Real Madrid",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"IVAN MOSIC"</v>
      </c>
      <c r="F10" s="45" t="str">
        <f t="shared" si="0"/>
        <v>"Data_entry" : "IVAN MOSIC",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"MIODRAG STOJANOVIC"</v>
      </c>
      <c r="F11" s="45" t="str">
        <f t="shared" si="0"/>
        <v>"Caller_1" : "MIODRAG STOJANOVIC",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"MILOS KREMIC"</v>
      </c>
      <c r="F12" s="45" t="str">
        <f t="shared" si="0"/>
        <v>"Caller_2" : "MILOS KREMIC",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"JELENA BOGUCANIN"</v>
      </c>
      <c r="F13" s="45" t="str">
        <f t="shared" si="0"/>
        <v>"Timerkeeper" : "JELENA BOGUCANIN",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"LJUPKA VUKOJEVIC"</v>
      </c>
      <c r="F14" s="45" t="str">
        <f t="shared" si="0"/>
        <v>"Shotclock" : "LJUPKA VUKOJEVIC",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"JOVANA DOJCINOVIC"</v>
      </c>
      <c r="F15" s="45" t="str">
        <f t="shared" si="0"/>
        <v>"IRS" : "JOVANA DOJCINOVIC",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"ORIOL GARCIA"</v>
      </c>
      <c r="F16" s="45" t="str">
        <f t="shared" si="0"/>
        <v>"Live_Game_Manager" : "ORIOL GARCIA",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626</v>
      </c>
      <c r="F25" s="45" t="str">
        <f t="shared" ref="F25:F48" si="1">""""&amp;C25&amp;"""" &amp; " : " &amp;D25&amp;","</f>
        <v>"total_actions" : 626,</v>
      </c>
    </row>
    <row r="26" spans="2:6" x14ac:dyDescent="0.2">
      <c r="C26" s="43" t="s">
        <v>132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5</v>
      </c>
      <c r="F37" s="45" t="str">
        <f t="shared" si="1"/>
        <v>"scoresheet_corrections" : 5,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"Good scouting during the whole game, good suport with the IRS requests. I was a bit confused on pregame about backup/main PC, try to be more clear on pregame. Good job overall, keep working on that way."</v>
      </c>
      <c r="F51" s="45" t="str">
        <f>""""&amp;B51&amp;"""" &amp; " : " &amp;C51&amp;","</f>
        <v>"comments" : "Good scouting during the whole game, good suport with the IRS requests. I was a bit confused on pregame about backup/main PC, try to be more clear on pregame. Good job overall, keep working on that way.",</v>
      </c>
    </row>
    <row r="52" spans="2:6" x14ac:dyDescent="0.2">
      <c r="B52" s="43" t="s">
        <v>153</v>
      </c>
      <c r="C52" s="43" t="str">
        <f>TEXT('SCOUT &amp; LOGISTICS'!F1,"0,0")</f>
        <v>05_048_RED_MAD_E2025</v>
      </c>
      <c r="F52" s="45" t="str">
        <f>""""&amp;B52&amp;"""" &amp; " : " &amp;C52</f>
        <v>"result" : 05_048_RED_MAD_E2025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75" zeroHeight="1" x14ac:dyDescent="0.2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E048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17/10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Crvena Zvezda Meridianbet Belgrade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Real Madrid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IVAN MOSIC</v>
      </c>
      <c r="C8" s="206"/>
      <c r="D8" s="206"/>
      <c r="E8" s="206"/>
      <c r="F8" s="206"/>
      <c r="G8" s="206" t="str">
        <f>IF('SCOUT &amp; LOGISTICS'!D7="","",'SCOUT &amp; LOGISTICS'!D7)</f>
        <v>MIODRAG STOJANOVIC</v>
      </c>
      <c r="H8" s="206"/>
      <c r="I8" s="206"/>
      <c r="J8" s="206"/>
      <c r="K8" s="206"/>
      <c r="L8" s="206" t="str">
        <f>IF('SCOUT &amp; LOGISTICS'!D8="","",'SCOUT &amp; LOGISTICS'!D8)</f>
        <v>MILOS KREMIC</v>
      </c>
      <c r="M8" s="206"/>
      <c r="N8" s="206"/>
      <c r="O8" s="206"/>
      <c r="P8" s="206"/>
      <c r="Q8" s="206" t="str">
        <f>IF('SCOUT &amp; LOGISTICS'!D9="","",'SCOUT &amp; LOGISTICS'!D9)</f>
        <v>JELENA BOGUCANIN</v>
      </c>
      <c r="R8" s="206"/>
      <c r="S8" s="206"/>
      <c r="T8" s="206"/>
      <c r="U8" s="206"/>
      <c r="V8" s="206" t="str">
        <f>IF('SCOUT &amp; LOGISTICS'!D10="","",'SCOUT &amp; LOGISTICS'!D10)</f>
        <v>LJUPKA VUKOJEVIC</v>
      </c>
      <c r="W8" s="206"/>
      <c r="X8" s="206"/>
      <c r="Y8" s="206"/>
      <c r="Z8" s="206"/>
      <c r="AA8" s="206" t="str">
        <f>IF('SCOUT &amp; LOGISTICS'!D11="","",'SCOUT &amp; LOGISTICS'!D11)</f>
        <v>JOVANA DOJCINOVIC</v>
      </c>
      <c r="AB8" s="206"/>
      <c r="AC8" s="206"/>
      <c r="AD8" s="206"/>
      <c r="AE8" s="206"/>
      <c r="AF8" s="48"/>
    </row>
    <row r="9" spans="1:33" ht="13.5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ORIOL GARCIA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5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5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626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5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7.9872204472843447E-3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5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3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2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5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5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2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5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Good scouting during the whole game, good suport with the IRS requests. I was a bit confused on pregame about backup/main PC, try to be more clear on pregame. Good job overall, keep working on that way.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4.298722044728434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A7CD318-6747-43B3-A5B6-57D5CC7E49A6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2025-10-09T17:11:09Z</cp:lastPrinted>
  <dcterms:created xsi:type="dcterms:W3CDTF">2023-09-19T19:50:35Z</dcterms:created>
  <dcterms:modified xsi:type="dcterms:W3CDTF">2025-10-20T10:57:50Z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