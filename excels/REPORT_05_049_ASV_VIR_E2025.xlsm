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3" documentId="8_{9DBA3638-3490-4D1D-A799-3F9083A11D8F}" xr6:coauthVersionLast="47" xr6:coauthVersionMax="47" xr10:uidLastSave="{53DA12EA-DE0B-4B80-A676-3DD14D149EB7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<sst xmlns="http://schemas.openxmlformats.org/spreadsheetml/2006/main" count="3270" uniqueCount="764">
  <si>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</si>
  <si>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</si>
  <si>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</si>
  <si>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</si>
  <si>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</si>
  <si>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</si>
  <si>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</si>
  <si>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</si>
  <si>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</si>
  <si>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</si>
  <si>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</si>
  <si>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</si>
  <si>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</si>
  <si>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</si>
  <si>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</si>
  <si>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</si>
  <si>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</si>
  <si>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</si>
  <si>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</si>
  <si>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</si>
  <si>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</si>
  <si>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</si>
  <si>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</si>
  <si>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</si>
  <si>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</si>
  <si>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</si>
  <si>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</si>
  <si>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</si>
  <si>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</si>
  <si>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</si>
  <si>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</si>
  <si>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</si>
  <si>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</si>
  <si>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</si>
  <si>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</si>
  <si>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</si>
  <si>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</si>
  <si>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</si>
  <si>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</si>
  <si>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</si>
  <si>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</si>
  <si>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</si>
  <si>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</si>
  <si>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</si>
  <si>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</si>
  <si>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</si>
  <si>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</si>
  <si>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</si>
  <si>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</si>
  <si>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</si>
  <si>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</si>
  <si>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</si>
  <si>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</si>
  <si>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</si>
  <si>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</si>
  <si>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</si>
  <si>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</si>
  <si>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</si>
  <si>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</si>
  <si>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</si>
  <si>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</si>
  <si>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</si>
  <si>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</si>
  <si>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</si>
  <si>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</si>
  <si>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</si>
  <si>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</si>
  <si>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</si>
  <si>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</si>
  <si>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</si>
  <si>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</si>
  <si>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</si>
  <si>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</si>
  <si>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</si>
  <si>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</si>
  <si>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</si>
  <si>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</si>
  <si>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</si>
  <si>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</si>
  <si>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</si>
  <si>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</si>
  <si>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</si>
  <si>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</si>
  <si>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</si>
  <si>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</si>
  <si>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</si>
  <si>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</si>
  <si>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</si>
  <si>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</si>
  <si>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</si>
  <si>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</si>
  <si>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</si>
  <si>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</si>
  <si>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</si>
  <si>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</si>
  <si>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</si>
  <si>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</si>
  <si>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</si>
  <si>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</si>
  <si>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</si>
  <si>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</si>
  <si>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</si>
  <si>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</si>
  <si>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</si>
  <si>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</si>
  <si>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</si>
  <si>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</si>
  <si>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</si>
  <si>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</si>
  <si>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</si>
  <si>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</si>
  <si>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</si>
  <si>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</si>
  <si>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</si>
  <si>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</si>
  <si>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</si>
  <si>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</si>
  <si>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</si>
  <si>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</si>
  <si>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</si>
  <si>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</si>
  <si>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</si>
  <si>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</si>
  <si>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</si>
  <si>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</si>
  <si>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</si>
  <si>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</si>
  <si>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</si>
  <si>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</si>
  <si>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</si>
  <si>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</si>
  <si>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</si>
  <si>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</si>
  <si>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</si>
  <si>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</si>
  <si>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</si>
  <si>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</si>
  <si>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</si>
  <si>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</si>
  <si>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</si>
  <si>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</si>
  <si>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</si>
  <si>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</si>
  <si>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</si>
  <si>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</si>
  <si>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</si>
  <si>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</si>
  <si>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</si>
  <si>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</si>
  <si>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</si>
  <si>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</si>
  <si>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</si>
  <si>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</si>
  <si>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</si>
  <si>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</si>
  <si>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</si>
  <si>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</si>
  <si>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</si>
  <si>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</si>
  <si>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</si>
  <si>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</si>
  <si>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</si>
  <si>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</si>
  <si>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</si>
  <si>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</si>
  <si>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</si>
  <si>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</si>
  <si>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</si>
  <si>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</si>
  <si>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</si>
  <si>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</si>
  <si>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</si>
  <si>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</si>
  <si>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</si>
  <si>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</si>
  <si>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</si>
  <si>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</si>
  <si>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</si>
  <si>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</si>
  <si>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</si>
  <si>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</si>
  <si>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</si>
  <si>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</si>
  <si>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</si>
  <si>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</si>
  <si>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</si>
  <si>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</si>
  <si>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</si>
  <si>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</si>
  <si>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</si>
  <si>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</si>
  <si>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</si>
  <si>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</si>
  <si>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</si>
  <si>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</si>
  <si>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</si>
  <si>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</si>
  <si>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</si>
  <si>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</si>
  <si>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</si>
  <si>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</si>
  <si>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</si>
  <si>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</si>
  <si>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</si>
  <si>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</si>
  <si>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</si>
  <si>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</si>
  <si>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</si>
  <si>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</si>
  <si>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</si>
  <si>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</si>
  <si>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</si>
  <si>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</si>
  <si>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</si>
  <si>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</si>
  <si>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</si>
  <si>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</si>
  <si>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</si>
  <si>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</si>
  <si>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</si>
  <si>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</si>
  <si>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</si>
  <si>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</si>
  <si>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</si>
  <si>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</si>
  <si>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</si>
  <si>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</si>
  <si>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</si>
  <si>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</si>
  <si>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</si>
  <si>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</si>
  <si>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</si>
  <si>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</si>
  <si>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</si>
  <si>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</si>
  <si>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</si>
  <si>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</si>
  <si>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</si>
  <si>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</si>
  <si>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</si>
  <si>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</si>
  <si>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</si>
  <si>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</si>
  <si>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</si>
  <si>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</si>
  <si>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</si>
  <si>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</si>
  <si>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</si>
  <si>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</si>
  <si>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</si>
  <si>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</si>
  <si>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</si>
  <si>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</si>
  <si>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</si>
  <si>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</si>
  <si>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</si>
  <si>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</si>
  <si>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</si>
  <si>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</si>
  <si>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</si>
  <si>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</si>
  <si>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</si>
  <si>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</si>
  <si>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</si>
  <si>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</si>
  <si>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</si>
  <si>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</si>
  <si>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</si>
  <si>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</si>
  <si>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</si>
  <si>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</si>
  <si>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</si>
  <si>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</si>
  <si>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</si>
  <si>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</si>
  <si>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</si>
  <si>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</si>
  <si>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</si>
  <si>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</si>
  <si>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</si>
  <si>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</si>
  <si>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</si>
  <si>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</si>
  <si>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</si>
  <si>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</si>
  <si>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</si>
  <si>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</si>
  <si>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</si>
  <si>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</si>
  <si>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</si>
  <si>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</si>
  <si>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</si>
  <si>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</si>
  <si>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</si>
  <si>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</si>
  <si>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</si>
  <si>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</si>
  <si>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</si>
  <si>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</si>
  <si>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</si>
  <si>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</si>
  <si>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</si>
  <si>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</si>
  <si>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</si>
  <si>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</si>
  <si>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</si>
  <si>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</si>
  <si>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</si>
  <si>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</si>
  <si>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</si>
  <si>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</si>
  <si>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</si>
  <si>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</si>
  <si>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</si>
  <si>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</si>
  <si>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</si>
  <si>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</si>
  <si>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</si>
  <si>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</si>
  <si>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</si>
  <si>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</si>
  <si>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</si>
  <si>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</si>
  <si>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</si>
  <si>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</si>
  <si>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</si>
  <si>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</si>
  <si>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</si>
  <si>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</si>
  <si>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</si>
  <si>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</si>
  <si>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</si>
  <si>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</si>
  <si>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</si>
  <si>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</si>
  <si>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</si>
  <si>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</si>
  <si>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</si>
  <si>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</si>
  <si>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</si>
  <si>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</si>
  <si>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</si>
  <si>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</si>
  <si>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</si>
  <si>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</si>
  <si>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</si>
  <si>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</si>
  <si>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</si>
  <si>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</si>
  <si>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</si>
  <si>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</si>
  <si>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</si>
  <si>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</si>
  <si>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</si>
  <si>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</si>
  <si>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</si>
  <si>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</si>
  <si>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</si>
  <si>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</si>
  <si>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</si>
  <si>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</si>
  <si>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</si>
  <si>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</si>
  <si>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</si>
  <si>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</si>
  <si>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</si>
  <si>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</si>
  <si>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</si>
  <si>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</si>
  <si>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</si>
  <si>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</si>
  <si>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</si>
  <si>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</si>
  <si>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</si>
  <si>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</si>
  <si>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</si>
  <si>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</si>
  <si>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</si>
  <si>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</si>
  <si>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</si>
  <si>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</si>
  <si>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</si>
  <si>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</si>
  <si>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</si>
  <si>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</si>
  <si>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</si>
  <si>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</si>
  <si>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</si>
  <si>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</si>
  <si>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</si>
  <si>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</si>
  <si>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</si>
  <si>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</si>
  <si>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</si>
  <si>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</si>
  <si>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</si>
  <si>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</si>
  <si>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</si>
  <si>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</si>
  <si>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</si>
  <si>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</si>
  <si>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</si>
  <si>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</si>
  <si>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</si>
  <si>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</si>
  <si>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</si>
  <si>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</si>
  <si>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</si>
  <si>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</si>
  <si>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</si>
  <si>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</si>
  <si>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</si>
  <si>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</si>
  <si>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</si>
  <si>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</si>
  <si>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</si>
  <si>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</si>
  <si>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</si>
  <si>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</si>
  <si>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</si>
  <si>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</si>
  <si>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</si>
  <si>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</si>
  <si>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</si>
  <si>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</si>
  <si>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</si>
  <si>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</si>
  <si>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</si>
  <si>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</si>
  <si>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</si>
  <si>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</si>
  <si>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</si>
  <si>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</si>
  <si>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</si>
  <si>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</si>
  <si>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</si>
  <si>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</si>
  <si>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</si>
  <si>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</si>
  <si>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</si>
  <si>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</si>
  <si>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</si>
  <si>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</si>
  <si>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</si>
  <si>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</si>
  <si>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</si>
  <si>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</si>
  <si>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</si>
  <si>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</si>
  <si>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</si>
  <si>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</si>
  <si>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</si>
  <si>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</si>
  <si>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</si>
  <si>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</si>
  <si>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</si>
  <si>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</si>
  <si>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</si>
  <si>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</si>
  <si>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</si>
  <si>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</si>
  <si>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</si>
  <si>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</si>
  <si>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</si>
  <si>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</si>
  <si>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</si>
  <si>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</si>
  <si>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</si>
  <si>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</si>
  <si>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</si>
  <si>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</si>
  <si>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</si>
  <si>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</si>
  <si>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</si>
  <si>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</si>
  <si>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</si>
  <si>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</si>
  <si>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</si>
  <si>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</si>
  <si>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</si>
  <si>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</si>
  <si>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</si>
  <si>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</si>
  <si>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</si>
  <si>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</si>
  <si>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</si>
  <si>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</si>
  <si>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</si>
  <si>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</si>
  <si>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</si>
  <si>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</si>
  <si>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</si>
  <si>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</si>
  <si>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</si>
  <si>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</si>
  <si>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</si>
  <si>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</si>
  <si>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</si>
  <si>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</si>
  <si>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</si>
  <si>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</si>
  <si>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</si>
  <si>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</si>
  <si>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</si>
  <si>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</si>
  <si>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</si>
  <si>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</si>
  <si>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</si>
  <si>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</si>
  <si>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</si>
  <si>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</si>
  <si>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</si>
  <si>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</si>
  <si>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</si>
  <si>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</si>
  <si>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</si>
  <si>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</si>
  <si>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</si>
  <si>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</si>
  <si>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</si>
  <si>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</si>
  <si>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</si>
  <si>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</si>
  <si>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</si>
  <si>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</si>
  <si>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</si>
  <si>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</si>
  <si>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</si>
  <si>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</si>
  <si>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</si>
  <si>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</si>
  <si>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</si>
  <si>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</si>
  <si>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</si>
  <si>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</si>
  <si>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</si>
  <si>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</si>
  <si>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</si>
  <si>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</si>
  <si>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</si>
  <si>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</si>
  <si>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</si>
  <si>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</si>
  <si>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</si>
  <si>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</si>
  <si>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</si>
  <si>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</si>
  <si>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</si>
  <si>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</si>
  <si>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</si>
  <si>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</si>
  <si>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</si>
  <si>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</si>
  <si>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</si>
  <si>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</si>
  <si>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</si>
  <si>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</si>
  <si>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</si>
  <si>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</si>
  <si>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</si>
  <si>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</si>
  <si>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</si>
  <si>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</si>
  <si>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</si>
  <si>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</si>
  <si>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</si>
  <si>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</si>
  <si>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</si>
  <si>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</si>
  <si>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</si>
  <si>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</si>
  <si>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</si>
  <si>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</si>
  <si>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</si>
  <si>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</si>
  <si>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</si>
  <si>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</si>
  <si>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</si>
  <si>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</si>
  <si>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</si>
  <si>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</si>
  <si>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</si>
  <si>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</si>
  <si>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</si>
  <si>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</si>
  <si>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</si>
  <si>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</si>
  <si>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</si>
  <si>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</si>
  <si>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</si>
  <si>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</si>
  <si>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</si>
  <si>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</si>
  <si>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</si>
  <si>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</si>
  <si>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</si>
  <si>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</si>
  <si>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</si>
  <si>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</si>
  <si>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</si>
  <si>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</si>
  <si>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</si>
  <si>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</si>
  <si>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</si>
  <si>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</si>
  <si>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</si>
  <si>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</si>
  <si>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</si>
  <si>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</si>
  <si>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</si>
  <si>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</si>
  <si>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</si>
  <si>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</si>
  <si>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</si>
  <si>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</si>
  <si>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</si>
  <si>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</si>
  <si>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</si>
  <si>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</si>
  <si>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</si>
  <si>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</si>
  <si>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</si>
  <si>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</si>
  <si>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</si>
  <si>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</si>
  <si>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</si>
  <si>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</si>
  <si>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</si>
  <si>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</si>
  <si>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</si>
  <si>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</si>
  <si>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</si>
  <si>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</si>
  <si>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</si>
  <si>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</si>
  <si>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</si>
  <si>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</si>
  <si>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</si>
  <si>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</si>
  <si>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</si>
  <si>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</si>
  <si>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</si>
  <si>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</si>
  <si>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</si>
  <si>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</si>
  <si>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</si>
  <si>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</si>
  <si>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</si>
  <si>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</si>
  <si>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</si>
  <si>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</si>
  <si>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</si>
  <si>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</si>
  <si>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</si>
  <si>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</si>
  <si>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</si>
  <si>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</si>
  <si>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</si>
  <si>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</si>
  <si>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</si>
  <si>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</si>
  <si>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</si>
  <si>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</si>
  <si>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</si>
  <si>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</si>
  <si>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</si>
  <si>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</si>
  <si>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</si>
  <si>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</si>
  <si>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</si>
  <si>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</si>
  <si>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</si>
  <si>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</si>
  <si>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</si>
  <si>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</si>
  <si>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</si>
  <si>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</si>
  <si>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</si>
  <si>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</si>
  <si>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</si>
  <si>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</si>
  <si>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</si>
  <si>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</si>
  <si>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</si>
  <si>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</si>
  <si>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</si>
  <si>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</si>
  <si>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</si>
  <si>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</si>
  <si>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</si>
  <si>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</si>
  <si>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</si>
  <si>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</si>
  <si>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</si>
  <si>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</si>
  <si>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</si>
  <si>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</si>
  <si>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</si>
  <si>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</si>
  <si>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</si>
  <si>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</si>
  <si>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</si>
  <si>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</si>
  <si>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</si>
  <si>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</si>
  <si>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</si>
  <si>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</si>
  <si>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</si>
  <si>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</si>
  <si>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</si>
  <si>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</si>
  <si>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</si>
  <si>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</si>
  <si>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</si>
  <si>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</si>
  <si>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</si>
  <si>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</si>
  <si>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</si>
  <si>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</si>
  <si>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</si>
  <si>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</si>
  <si>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</si>
  <si>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</si>
  <si>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</si>
  <si>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</si>
  <si>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</si>
  <si>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</si>
  <si>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</si>
  <si>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</si>
  <si>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</si>
  <si>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</si>
  <si>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</si>
  <si>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</si>
  <si>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</si>
  <si>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</si>
  <si>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</si>
  <si>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</si>
  <si>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</si>
  <si>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</si>
  <si>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</si>
  <si>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</si>
  <si>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</si>
  <si>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</si>
  <si>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</si>
  <si>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</si>
  <si>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</si>
  <si>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</si>
  <si>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</si>
  <si>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</si>
  <si>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</si>
  <si>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STEPHANE DURIEUX</t>
  </si>
  <si>
    <t>FLORENT BOITON</t>
  </si>
  <si>
    <t>OLIVIER JAUFFRES</t>
  </si>
  <si>
    <t>SOPHIE GAUDIN</t>
  </si>
  <si>
    <t>VIRGINIE USCLADE</t>
  </si>
  <si>
    <t>KADER SI-TAYEB</t>
  </si>
  <si>
    <t>XAVI MATEU</t>
  </si>
  <si>
    <t>2:14</t>
  </si>
  <si>
    <t>01:34</t>
  </si>
  <si>
    <t>07:38</t>
  </si>
  <si>
    <t>09:17</t>
  </si>
  <si>
    <t>06:37</t>
  </si>
  <si>
    <t xml:space="preserve">Excellent job! All the fouls have to be noted in the correct time. </t>
  </si>
  <si>
    <t>C:\Users\xavi.mateu\OneDrive - EUROLEAGUE\Documents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</si>
</sst>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05_049_ASV_VIR_E2025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 cm="1">
        <f t="array" ref="B3">IF(ISERROR(VLOOKUP($B$2&amp;TEXT($C$2,"000"),GAMES!$A$3:$I$562,8,FALSE)),D6NOW(),VLOOKUP($B$2&amp;TEXT($C$2,"000"),GAMES!$A$3:$I$562,8,FALSE))</f>
        <v>45947.833333333336</v>
      </c>
      <c r="C3" s="157"/>
      <c r="D3" s="39">
        <v>589</v>
      </c>
      <c r="E3" s="29"/>
      <c r="F3" s="26">
        <f>SUBTOTAL(3,I17:I106)</f>
        <v>5</v>
      </c>
      <c r="G3" s="27">
        <f>IF(OR(D3="",D3=0),"",F3/D3)</f>
        <v>8.4889643463497456E-3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LDLC ASVEL Villeurbanne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8.4889643463497456E-3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0.84889643463497455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3.8488964346349746</v>
      </c>
      <c r="N7" s="58"/>
      <c r="O7" s="2"/>
      <c r="P7" s="2"/>
      <c r="Q7" s="86">
        <f>SUM(R5,S5,AC16)</f>
        <v>3.8488964346349746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3.8488964346349746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49</v>
      </c>
      <c r="D17" s="32" t="s">
        <v>757</v>
      </c>
      <c r="E17" s="33">
        <v>1</v>
      </c>
      <c r="F17" s="36">
        <v>17</v>
      </c>
      <c r="G17" s="36">
        <v>17</v>
      </c>
      <c r="H17" s="38" t="str">
        <f>IF(I17="","",$I$14)</f>
        <v>SCOUTING</v>
      </c>
      <c r="I17" s="34">
        <v>110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49</v>
      </c>
      <c r="D18" s="32" t="s">
        <v>758</v>
      </c>
      <c r="E18" s="33">
        <v>1</v>
      </c>
      <c r="F18" s="36">
        <v>19</v>
      </c>
      <c r="G18" s="36">
        <v>19</v>
      </c>
      <c r="H18" s="38" t="str">
        <f t="shared" ref="H18:H81" si="8">IF(I18="","",$I$14)</f>
        <v>SCOUTING</v>
      </c>
      <c r="I18" s="34">
        <v>122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49</v>
      </c>
      <c r="D19" s="32" t="s">
        <v>759</v>
      </c>
      <c r="E19" s="33">
        <v>2</v>
      </c>
      <c r="F19" s="36">
        <v>26</v>
      </c>
      <c r="G19" s="36">
        <v>25</v>
      </c>
      <c r="H19" s="38" t="str">
        <f t="shared" si="8"/>
        <v>SCOUTING</v>
      </c>
      <c r="I19" s="34">
        <v>177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49</v>
      </c>
      <c r="D20" s="32" t="s">
        <v>760</v>
      </c>
      <c r="E20" s="33">
        <v>3</v>
      </c>
      <c r="F20" s="36">
        <v>44</v>
      </c>
      <c r="G20" s="36">
        <v>40</v>
      </c>
      <c r="H20" s="38" t="str">
        <f t="shared" si="8"/>
        <v>SCOUTING</v>
      </c>
      <c r="I20" s="34">
        <v>317</v>
      </c>
      <c r="J20" s="13" t="s">
        <v>4</v>
      </c>
      <c r="K20" s="13" t="s">
        <v>63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49</v>
      </c>
      <c r="D21" s="32" t="s">
        <v>761</v>
      </c>
      <c r="E21" s="33">
        <v>4</v>
      </c>
      <c r="F21" s="36">
        <v>66</v>
      </c>
      <c r="G21" s="36">
        <v>74</v>
      </c>
      <c r="H21" s="38" t="str">
        <f t="shared" si="8"/>
        <v>SCOUTING</v>
      </c>
      <c r="I21" s="34">
        <v>502</v>
      </c>
      <c r="J21" s="13" t="s">
        <v>4</v>
      </c>
      <c r="K21" s="13" t="s">
        <v>63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REPORT_E2025049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"E2025049"</v>
      </c>
      <c r="F3" s="45" t="str">
        <f t="shared" ref="F3:F16" si="0">""""&amp;B3&amp;"""" &amp; " : " &amp;C3&amp;","</f>
        <v>"name" : "E2025049",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"E049"</v>
      </c>
      <c r="F4" s="45" t="str">
        <f t="shared" si="0"/>
        <v>"cod" : "E049",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049</v>
      </c>
      <c r="F6" s="45" t="str">
        <f t="shared" si="0"/>
        <v>"number" : 049,</v>
      </c>
    </row>
    <row r="7" spans="2:6" x14ac:dyDescent="0.25">
      <c r="B7" s="43" t="s">
        <v>116</v>
      </c>
      <c r="C7" s="43" t="str">
        <f>""""&amp;TEXT('SCOUT &amp; LOGISTICS'!B3,"dd/mm/aaaa")&amp;""""</f>
        <v>"17/10/Friday"</v>
      </c>
      <c r="F7" s="45" t="str">
        <f t="shared" si="0"/>
        <v>"date" : "17/10/Friday",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"STEPHANE DURIEUX"</v>
      </c>
      <c r="F10" s="45" t="str">
        <f t="shared" si="0"/>
        <v>"Data_entry" : "STEPHANE DURIEUX",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"FLORENT BOITON"</v>
      </c>
      <c r="F11" s="45" t="str">
        <f t="shared" si="0"/>
        <v>"Caller_1" : "FLORENT BOITON",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"OLIVIER JAUFFRES"</v>
      </c>
      <c r="F12" s="45" t="str">
        <f t="shared" si="0"/>
        <v>"Caller_2" : "OLIVIER JAUFFRES",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"SOPHIE GAUDIN"</v>
      </c>
      <c r="F13" s="45" t="str">
        <f t="shared" si="0"/>
        <v>"Timerkeeper" : "SOPHIE GAUDIN",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"VIRGINIE USCLADE"</v>
      </c>
      <c r="F14" s="45" t="str">
        <f t="shared" si="0"/>
        <v>"Shotclock" : "VIRGINIE USCLADE",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589</v>
      </c>
      <c r="F25" s="45" t="str">
        <f t="shared" ref="F25:F48" si="1">""""&amp;C25&amp;"""" &amp; " : " &amp;D25&amp;","</f>
        <v>"total_actions" : 589,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All the fouls have to be noted in the correct time. "</v>
      </c>
      <c r="F51" s="45" t="str">
        <f>""""&amp;B51&amp;"""" &amp; " : " &amp;C51&amp;","</f>
        <v>"comments" : "Excellent job! All the fouls have to be noted in the correct time. ",</v>
      </c>
    </row>
    <row r="52" spans="2:6" x14ac:dyDescent="0.25">
      <c r="B52" s="43" t="s">
        <v>153</v>
      </c>
      <c r="C52" s="43" t="str">
        <f>TEXT('SCOUT &amp; LOGISTICS'!F1,"0,0")</f>
        <v>05_049_ASV_VIR_E2025</v>
      </c>
      <c r="F52" s="45" t="str">
        <f>""""&amp;B52&amp;"""" &amp; " : " &amp;C52</f>
        <v>"result" : 05_049_ASV_VIR_E2025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E049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>"DATE: " &amp; TEXT('SCOUT &amp; LOGISTICS'!B3,"dd/mm")</f>
        <v>DATE: 17/10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Ldlc Asvel Villeurbanne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STEPHANE DURIEUX</v>
      </c>
      <c r="C8" s="206"/>
      <c r="D8" s="206"/>
      <c r="E8" s="206"/>
      <c r="F8" s="206"/>
      <c r="G8" s="206" t="str">
        <f>IF('SCOUT &amp; LOGISTICS'!D7="","",'SCOUT &amp; LOGISTICS'!D7)</f>
        <v>FLORENT BOITON</v>
      </c>
      <c r="H8" s="206"/>
      <c r="I8" s="206"/>
      <c r="J8" s="206"/>
      <c r="K8" s="206"/>
      <c r="L8" s="206" t="str">
        <f>IF('SCOUT &amp; LOGISTICS'!D8="","",'SCOUT &amp; LOGISTICS'!D8)</f>
        <v>OLIVIER JAUFFRES</v>
      </c>
      <c r="M8" s="206"/>
      <c r="N8" s="206"/>
      <c r="O8" s="206"/>
      <c r="P8" s="206"/>
      <c r="Q8" s="206" t="str">
        <f>IF('SCOUT &amp; LOGISTICS'!D9="","",'SCOUT &amp; LOGISTICS'!D9)</f>
        <v>SOPHIE GAUDIN</v>
      </c>
      <c r="R8" s="206"/>
      <c r="S8" s="206"/>
      <c r="T8" s="206"/>
      <c r="U8" s="206"/>
      <c r="V8" s="206" t="str">
        <f>IF('SCOUT &amp; LOGISTICS'!D10="","",'SCOUT &amp; LOGISTICS'!D10)</f>
        <v>VIRGINIE USCLADE</v>
      </c>
      <c r="W8" s="206"/>
      <c r="X8" s="206"/>
      <c r="Y8" s="206"/>
      <c r="Z8" s="206"/>
      <c r="AA8" s="206" t="str">
        <f>IF('SCOUT &amp; LOGISTICS'!D11="","",'SCOUT &amp; LOGISTICS'!D11)</f>
        <v>KADER SI-TAYEB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8.4889643463497456E-3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job! All the fouls have to be noted in the correct time.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3.8488964346349746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EEB1A0-85FD-47DC-84EC-62879397DA6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2025-10-21T13:43:04Z</cp:lastPrinted>
  <dcterms:created xsi:type="dcterms:W3CDTF">2023-09-19T19:50:35Z</dcterms:created>
  <dcterms:modified xsi:type="dcterms:W3CDTF">2025-10-21T13:43:10Z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