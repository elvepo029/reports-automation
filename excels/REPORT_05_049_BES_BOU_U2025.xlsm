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2" documentId="8_{2C7F56B0-6892-49FD-A9DE-12BBD1082601}" xr6:coauthVersionLast="47" xr6:coauthVersionMax="47" xr10:uidLastSave="{74AB38C3-3EFC-40A6-A2E7-1CC531811B2F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<sst xmlns="http://schemas.openxmlformats.org/spreadsheetml/2006/main" count="3262" uniqueCount="762">
  <si>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</si>
  <si>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</si>
  <si>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</si>
  <si>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</si>
  <si>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</si>
  <si>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</si>
  <si>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</si>
  <si>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</si>
  <si>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</si>
  <si>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</si>
  <si>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</si>
  <si>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</si>
  <si>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</si>
  <si>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</si>
  <si>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</si>
  <si>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</si>
  <si>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</si>
  <si>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</si>
  <si>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</si>
  <si>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</si>
  <si>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</si>
  <si>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</si>
  <si>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</si>
  <si>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</si>
  <si>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</si>
  <si>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</si>
  <si>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</si>
  <si>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</si>
  <si>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</si>
  <si>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</si>
  <si>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</si>
  <si>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</si>
  <si>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</si>
  <si>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</si>
  <si>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</si>
  <si>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</si>
  <si>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</si>
  <si>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</si>
  <si>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</si>
  <si>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</si>
  <si>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</si>
  <si>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</si>
  <si>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</si>
  <si>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</si>
  <si>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</si>
  <si>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</si>
  <si>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</si>
  <si>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</si>
  <si>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</si>
  <si>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</si>
  <si>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</si>
  <si>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</si>
  <si>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</si>
  <si>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</si>
  <si>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</si>
  <si>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</si>
  <si>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</si>
  <si>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</si>
  <si>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</si>
  <si>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</si>
  <si>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</si>
  <si>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</si>
  <si>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</si>
  <si>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</si>
  <si>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</si>
  <si>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</si>
  <si>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</si>
  <si>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</si>
  <si>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</si>
  <si>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</si>
  <si>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</si>
  <si>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</si>
  <si>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</si>
  <si>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</si>
  <si>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</si>
  <si>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</si>
  <si>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</si>
  <si>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</si>
  <si>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</si>
  <si>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</si>
  <si>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</si>
  <si>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</si>
  <si>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</si>
  <si>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</si>
  <si>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</si>
  <si>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</si>
  <si>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</si>
  <si>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</si>
  <si>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</si>
  <si>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</si>
  <si>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</si>
  <si>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</si>
  <si>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</si>
  <si>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</si>
  <si>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</si>
  <si>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</si>
  <si>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</si>
  <si>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</si>
  <si>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</si>
  <si>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</si>
  <si>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</si>
  <si>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</si>
  <si>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</si>
  <si>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</si>
  <si>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</si>
  <si>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</si>
  <si>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</si>
  <si>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</si>
  <si>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</si>
  <si>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</si>
  <si>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</si>
  <si>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</si>
  <si>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</si>
  <si>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</si>
  <si>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</si>
  <si>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</si>
  <si>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</si>
  <si>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</si>
  <si>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</si>
  <si>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</si>
  <si>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</si>
  <si>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</si>
  <si>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</si>
  <si>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</si>
  <si>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</si>
  <si>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</si>
  <si>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</si>
  <si>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</si>
  <si>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</si>
  <si>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</si>
  <si>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</si>
  <si>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</si>
  <si>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</si>
  <si>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</si>
  <si>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</si>
  <si>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</si>
  <si>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</si>
  <si>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</si>
  <si>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</si>
  <si>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</si>
  <si>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</si>
  <si>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</si>
  <si>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</si>
  <si>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</si>
  <si>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</si>
  <si>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</si>
  <si>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</si>
  <si>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</si>
  <si>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</si>
  <si>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</si>
  <si>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</si>
  <si>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</si>
  <si>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</si>
  <si>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</si>
  <si>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</si>
  <si>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</si>
  <si>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</si>
  <si>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</si>
  <si>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</si>
  <si>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</si>
  <si>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</si>
  <si>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</si>
  <si>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</si>
  <si>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</si>
  <si>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</si>
  <si>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</si>
  <si>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</si>
  <si>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</si>
  <si>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</si>
  <si>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</si>
  <si>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</si>
  <si>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</si>
  <si>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</si>
  <si>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</si>
  <si>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</si>
  <si>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</si>
  <si>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</si>
  <si>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</si>
  <si>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</si>
  <si>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</si>
  <si>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</si>
  <si>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</si>
  <si>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</si>
  <si>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</si>
  <si>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</si>
  <si>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</si>
  <si>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</si>
  <si>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</si>
  <si>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</si>
  <si>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</si>
  <si>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</si>
  <si>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</si>
  <si>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</si>
  <si>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</si>
  <si>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</si>
  <si>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</si>
  <si>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</si>
  <si>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</si>
  <si>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</si>
  <si>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</si>
  <si>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</si>
  <si>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</si>
  <si>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</si>
  <si>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</si>
  <si>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</si>
  <si>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</si>
  <si>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</si>
  <si>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</si>
  <si>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</si>
  <si>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</si>
  <si>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</si>
  <si>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</si>
  <si>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</si>
  <si>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</si>
  <si>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</si>
  <si>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</si>
  <si>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</si>
  <si>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</si>
  <si>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</si>
  <si>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</si>
  <si>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</si>
  <si>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</si>
  <si>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</si>
  <si>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</si>
  <si>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</si>
  <si>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</si>
  <si>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</si>
  <si>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</si>
  <si>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</si>
  <si>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</si>
  <si>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</si>
  <si>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</si>
  <si>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</si>
  <si>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</si>
  <si>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</si>
  <si>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</si>
  <si>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</si>
  <si>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</si>
  <si>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</si>
  <si>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</si>
  <si>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</si>
  <si>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</si>
  <si>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</si>
  <si>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</si>
  <si>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</si>
  <si>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</si>
  <si>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</si>
  <si>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</si>
  <si>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</si>
  <si>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</si>
  <si>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</si>
  <si>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</si>
  <si>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</si>
  <si>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</si>
  <si>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</si>
  <si>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</si>
  <si>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</si>
  <si>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</si>
  <si>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</si>
  <si>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</si>
  <si>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</si>
  <si>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</si>
  <si>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</si>
  <si>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</si>
  <si>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</si>
  <si>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</si>
  <si>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</si>
  <si>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</si>
  <si>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</si>
  <si>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</si>
  <si>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</si>
  <si>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</si>
  <si>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</si>
  <si>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</si>
  <si>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</si>
  <si>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</si>
  <si>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</si>
  <si>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</si>
  <si>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</si>
  <si>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</si>
  <si>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</si>
  <si>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</si>
  <si>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</si>
  <si>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</si>
  <si>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</si>
  <si>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</si>
  <si>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</si>
  <si>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</si>
  <si>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</si>
  <si>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</si>
  <si>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</si>
  <si>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</si>
  <si>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</si>
  <si>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</si>
  <si>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</si>
  <si>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</si>
  <si>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</si>
  <si>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</si>
  <si>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</si>
  <si>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</si>
  <si>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</si>
  <si>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</si>
  <si>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</si>
  <si>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</si>
  <si>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</si>
  <si>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</si>
  <si>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</si>
  <si>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</si>
  <si>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</si>
  <si>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</si>
  <si>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</si>
  <si>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</si>
  <si>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</si>
  <si>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</si>
  <si>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</si>
  <si>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</si>
  <si>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</si>
  <si>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</si>
  <si>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</si>
  <si>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</si>
  <si>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</si>
  <si>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</si>
  <si>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</si>
  <si>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</si>
  <si>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</si>
  <si>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</si>
  <si>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</si>
  <si>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</si>
  <si>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</si>
  <si>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</si>
  <si>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</si>
  <si>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</si>
  <si>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</si>
  <si>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</si>
  <si>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</si>
  <si>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</si>
  <si>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</si>
  <si>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</si>
  <si>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</si>
  <si>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</si>
  <si>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</si>
  <si>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</si>
  <si>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</si>
  <si>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</si>
  <si>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</si>
  <si>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</si>
  <si>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</si>
  <si>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</si>
  <si>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</si>
  <si>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</si>
  <si>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</si>
  <si>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</si>
  <si>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</si>
  <si>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</si>
  <si>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</si>
  <si>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</si>
  <si>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</si>
  <si>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</si>
  <si>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</si>
  <si>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</si>
  <si>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</si>
  <si>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</si>
  <si>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</si>
  <si>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</si>
  <si>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</si>
  <si>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</si>
  <si>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</si>
  <si>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</si>
  <si>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</si>
  <si>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</si>
  <si>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</si>
  <si>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</si>
  <si>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</si>
  <si>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</si>
  <si>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</si>
  <si>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</si>
  <si>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</si>
  <si>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</si>
  <si>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</si>
  <si>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</si>
  <si>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</si>
  <si>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</si>
  <si>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</si>
  <si>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</si>
  <si>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</si>
  <si>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</si>
  <si>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</si>
  <si>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</si>
  <si>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</si>
  <si>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</si>
  <si>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</si>
  <si>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</si>
  <si>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</si>
  <si>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</si>
  <si>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</si>
  <si>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</si>
  <si>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</si>
  <si>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</si>
  <si>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</si>
  <si>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</si>
  <si>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</si>
  <si>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</si>
  <si>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</si>
  <si>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</si>
  <si>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</si>
  <si>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</si>
  <si>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</si>
  <si>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</si>
  <si>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</si>
  <si>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</si>
  <si>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</si>
  <si>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</si>
  <si>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</si>
  <si>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</si>
  <si>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</si>
  <si>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</si>
  <si>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</si>
  <si>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</si>
  <si>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</si>
  <si>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</si>
  <si>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</si>
  <si>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</si>
  <si>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</si>
  <si>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</si>
  <si>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</si>
  <si>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</si>
  <si>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</si>
  <si>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</si>
  <si>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</si>
  <si>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</si>
  <si>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</si>
  <si>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</si>
  <si>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</si>
  <si>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</si>
  <si>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</si>
  <si>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</si>
  <si>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</si>
  <si>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</si>
  <si>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</si>
  <si>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</si>
  <si>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</si>
  <si>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</si>
  <si>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</si>
  <si>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</si>
  <si>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</si>
  <si>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</si>
  <si>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</si>
  <si>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</si>
  <si>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</si>
  <si>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</si>
  <si>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</si>
  <si>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</si>
  <si>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</si>
  <si>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</si>
  <si>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</si>
  <si>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</si>
  <si>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</si>
  <si>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</si>
  <si>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</si>
  <si>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</si>
  <si>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</si>
  <si>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</si>
  <si>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</si>
  <si>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</si>
  <si>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</si>
  <si>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</si>
  <si>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</si>
  <si>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</si>
  <si>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</si>
  <si>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</si>
  <si>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</si>
  <si>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</si>
  <si>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</si>
  <si>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</si>
  <si>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</si>
  <si>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</si>
  <si>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</si>
  <si>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</si>
  <si>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</si>
  <si>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</si>
  <si>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</si>
  <si>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</si>
  <si>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</si>
  <si>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</si>
  <si>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</si>
  <si>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</si>
  <si>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</si>
  <si>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</si>
  <si>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</si>
  <si>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</si>
  <si>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</si>
  <si>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</si>
  <si>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</si>
  <si>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</si>
  <si>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</si>
  <si>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</si>
  <si>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</si>
  <si>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</si>
  <si>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</si>
  <si>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</si>
  <si>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</si>
  <si>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</si>
  <si>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</si>
  <si>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</si>
  <si>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</si>
  <si>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</si>
  <si>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</si>
  <si>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</si>
  <si>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</si>
  <si>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</si>
  <si>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</si>
  <si>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</si>
  <si>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</si>
  <si>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</si>
  <si>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</si>
  <si>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</si>
  <si>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</si>
  <si>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</si>
  <si>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</si>
  <si>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</si>
  <si>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</si>
  <si>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</si>
  <si>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</si>
  <si>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</si>
  <si>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</si>
  <si>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</si>
  <si>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</si>
  <si>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</si>
  <si>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</si>
  <si>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</si>
  <si>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</si>
  <si>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</si>
  <si>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</si>
  <si>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</si>
  <si>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</si>
  <si>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</si>
  <si>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</si>
  <si>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</si>
  <si>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</si>
  <si>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</si>
  <si>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</si>
  <si>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</si>
  <si>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</si>
  <si>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</si>
  <si>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</si>
  <si>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</si>
  <si>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</si>
  <si>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</si>
  <si>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</si>
  <si>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</si>
  <si>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</si>
  <si>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</si>
  <si>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</si>
  <si>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</si>
  <si>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</si>
  <si>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</si>
  <si>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</si>
  <si>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</si>
  <si>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</si>
  <si>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</si>
  <si>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</si>
  <si>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</si>
  <si>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</si>
  <si>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</si>
  <si>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</si>
  <si>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</si>
  <si>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</si>
  <si>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</si>
  <si>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</si>
  <si>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</si>
  <si>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</si>
  <si>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</si>
  <si>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</si>
  <si>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</si>
  <si>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</si>
  <si>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</si>
  <si>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</si>
  <si>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</si>
  <si>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</si>
  <si>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</si>
  <si>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</si>
  <si>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</si>
  <si>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</si>
  <si>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</si>
  <si>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</si>
  <si>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</si>
  <si>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</si>
  <si>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</si>
  <si>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</si>
  <si>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</si>
  <si>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</si>
  <si>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</si>
  <si>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</si>
  <si>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</si>
  <si>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</si>
  <si>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</si>
  <si>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</si>
  <si>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</si>
  <si>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</si>
  <si>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</si>
  <si>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</si>
  <si>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</si>
  <si>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</si>
  <si>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</si>
  <si>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</si>
  <si>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</si>
  <si>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</si>
  <si>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</si>
  <si>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</si>
  <si>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</si>
  <si>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</si>
  <si>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</si>
  <si>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</si>
  <si>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</si>
  <si>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</si>
  <si>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</si>
  <si>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</si>
  <si>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</si>
  <si>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</si>
  <si>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</si>
  <si>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</si>
  <si>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</si>
  <si>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</si>
  <si>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</si>
  <si>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</si>
  <si>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</si>
  <si>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</si>
  <si>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</si>
  <si>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</si>
  <si>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</si>
  <si>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</si>
  <si>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</si>
  <si>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</si>
  <si>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</si>
  <si>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</si>
  <si>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</si>
  <si>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</si>
  <si>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</si>
  <si>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</si>
  <si>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</si>
  <si>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</si>
  <si>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</si>
  <si>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</si>
  <si>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</si>
  <si>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</si>
  <si>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</si>
  <si>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</si>
  <si>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</si>
  <si>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</si>
  <si>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</si>
  <si>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</si>
  <si>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</si>
  <si>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</si>
  <si>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</si>
  <si>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</si>
  <si>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</si>
  <si>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</si>
  <si>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</si>
  <si>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</si>
  <si>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</si>
  <si>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</si>
  <si>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</si>
  <si>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</si>
  <si>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</si>
  <si>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</si>
  <si>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</si>
  <si>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</si>
  <si>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</si>
  <si>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</si>
  <si>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</si>
  <si>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</si>
  <si>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</si>
  <si>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</si>
  <si>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</si>
  <si>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</si>
  <si>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</si>
  <si>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</si>
  <si>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</si>
  <si>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</si>
  <si>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</si>
  <si>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</si>
  <si>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</si>
  <si>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</si>
  <si>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</si>
  <si>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</si>
  <si>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</si>
  <si>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</si>
  <si>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</si>
  <si>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</si>
  <si>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</si>
  <si>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</si>
  <si>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</si>
  <si>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</si>
  <si>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</si>
  <si>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</si>
  <si>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</si>
  <si>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</si>
  <si>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</si>
  <si>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</si>
  <si>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</si>
  <si>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</si>
  <si>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</si>
  <si>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</si>
  <si>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</si>
  <si>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</si>
  <si>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</si>
  <si>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</si>
  <si>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</si>
  <si>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</si>
  <si>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</si>
  <si>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</si>
  <si>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</si>
  <si>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</si>
  <si>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</si>
  <si>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</si>
  <si>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</si>
  <si>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</si>
  <si>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</si>
  <si>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</si>
  <si>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</si>
  <si>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</si>
  <si>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</si>
  <si>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</si>
  <si>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</si>
  <si>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</si>
  <si>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</si>
  <si>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</si>
  <si>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</si>
  <si>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</si>
  <si>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</si>
  <si>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</si>
  <si>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</si>
  <si>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</si>
  <si>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</si>
  <si>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</si>
  <si>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</si>
  <si>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</si>
  <si>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</si>
  <si>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</si>
  <si>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</si>
  <si>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</si>
  <si>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</si>
  <si>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</si>
  <si>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</si>
  <si>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</si>
  <si>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</si>
  <si>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</si>
  <si>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</si>
  <si>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</si>
  <si>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</si>
  <si>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MARC VENTURA</t>
  </si>
  <si>
    <t>EXCELLENT, ALL NICE AND TIDY AND ON TIME.</t>
  </si>
  <si>
    <t xml:space="preserve">GOOD GAME, MINOR CORRECTIONS, A MIX OF AUTOCORRECTIONS AND lgm INDICATIONS. </t>
  </si>
  <si>
    <t>SERTAC DOSTEL</t>
  </si>
  <si>
    <t>AHMET GEZINTI</t>
  </si>
  <si>
    <t>GÜLIZ ADILLER</t>
  </si>
  <si>
    <t>AYBERK PARALI</t>
  </si>
  <si>
    <t>01:20</t>
  </si>
  <si>
    <t>CORRECTED VERY FAST (THEY ALREADY KNEW)</t>
  </si>
  <si>
    <t>07:21</t>
  </si>
  <si>
    <t>A FAST CHANGE OP POSESSION, SO MISSING A TO-STL-TO</t>
  </si>
  <si>
    <t>04:06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</si>
</sst>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30" sqref="K30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05_049_BES_BOU_U2025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45959.791666666664</v>
      </c>
      <c r="C3" s="157"/>
      <c r="D3" s="39">
        <v>606</v>
      </c>
      <c r="E3" s="29"/>
      <c r="F3" s="26">
        <f>SUBTOTAL(3,I17:I106)</f>
        <v>3</v>
      </c>
      <c r="G3" s="27">
        <f>IF(OR(D3="",D3=0),"",F3/D3)</f>
        <v>4.9504950495049506E-3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Besiktas GAIN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743</v>
      </c>
      <c r="L4" s="5"/>
      <c r="M4" s="167" t="s">
        <v>752</v>
      </c>
      <c r="N4" s="168"/>
      <c r="O4" s="2"/>
      <c r="P4" s="2"/>
      <c r="Q4" s="84" t="s">
        <v>175</v>
      </c>
      <c r="R4" s="94">
        <f>(IF(G3="",0,G3))</f>
        <v>4.9504950495049506E-3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Cosea JL Bourg-en-Bresse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BOU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0.49504950495049505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6.4950495049504955</v>
      </c>
      <c r="N7" s="58"/>
      <c r="O7" s="2"/>
      <c r="P7" s="2"/>
      <c r="Q7" s="86">
        <f>SUM(R5,S5,AC16)</f>
        <v>6.4950495049504955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6.4950495049504955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751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49</v>
      </c>
      <c r="D17" s="32" t="s">
        <v>757</v>
      </c>
      <c r="E17" s="33">
        <v>1</v>
      </c>
      <c r="F17" s="36">
        <v>22</v>
      </c>
      <c r="G17" s="36">
        <v>10</v>
      </c>
      <c r="H17" s="38" t="str">
        <f>IF(I17="","",$I$14)</f>
        <v>SCOUTING</v>
      </c>
      <c r="I17" s="34">
        <v>105</v>
      </c>
      <c r="J17" s="13" t="s">
        <v>4</v>
      </c>
      <c r="K17" s="13" t="s">
        <v>62</v>
      </c>
      <c r="L17" s="13" t="s">
        <v>7</v>
      </c>
      <c r="M17" s="13" t="s">
        <v>30</v>
      </c>
      <c r="N17" s="35" t="s">
        <v>758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49</v>
      </c>
      <c r="D18" s="32" t="s">
        <v>759</v>
      </c>
      <c r="E18" s="33">
        <v>2</v>
      </c>
      <c r="F18" s="36">
        <v>35</v>
      </c>
      <c r="G18" s="36">
        <v>16</v>
      </c>
      <c r="H18" s="38" t="str">
        <f t="shared" ref="H18:H81" si="8">IF(I18="","",$I$14)</f>
        <v>SCOUTING</v>
      </c>
      <c r="I18" s="34">
        <v>179</v>
      </c>
      <c r="J18" s="13" t="s">
        <v>4</v>
      </c>
      <c r="K18" s="13" t="s">
        <v>62</v>
      </c>
      <c r="L18" s="13" t="s">
        <v>7</v>
      </c>
      <c r="M18" s="13" t="s">
        <v>9</v>
      </c>
      <c r="N18" s="35" t="s">
        <v>760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49</v>
      </c>
      <c r="D19" s="32" t="s">
        <v>761</v>
      </c>
      <c r="E19" s="33">
        <v>3</v>
      </c>
      <c r="F19" s="36">
        <v>62</v>
      </c>
      <c r="G19" s="36">
        <v>40</v>
      </c>
      <c r="H19" s="38" t="str">
        <f t="shared" si="8"/>
        <v>SCOUTING</v>
      </c>
      <c r="I19" s="34">
        <v>389</v>
      </c>
      <c r="J19" s="13" t="s">
        <v>4</v>
      </c>
      <c r="K19" s="13" t="s">
        <v>63</v>
      </c>
      <c r="L19" s="13" t="s">
        <v>6</v>
      </c>
      <c r="M19" s="13" t="s">
        <v>39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REPORT_U2025049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"U2025049"</v>
      </c>
      <c r="F3" s="45" t="str">
        <f t="shared" ref="F3:F16" si="0">""""&amp;B3&amp;"""" &amp; " : " &amp;C3&amp;","</f>
        <v>"name" : "U2025049",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"U049"</v>
      </c>
      <c r="F4" s="45" t="str">
        <f t="shared" si="0"/>
        <v>"cod" : "U049",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049</v>
      </c>
      <c r="F6" s="45" t="str">
        <f t="shared" si="0"/>
        <v>"number" : 049,</v>
      </c>
    </row>
    <row r="7" spans="2:6" x14ac:dyDescent="0.2">
      <c r="B7" s="43" t="s">
        <v>116</v>
      </c>
      <c r="C7" s="43" t="str">
        <f ca="1">""""&amp;TEXT('SCOUT &amp; LOGISTICS'!B3,"dd/mm/aaaa")&amp;""""</f>
        <v>"29/10/2025"</v>
      </c>
      <c r="F7" s="45" t="str">
        <f t="shared" ca="1" si="0"/>
        <v>"date" : "29/10/2025",</v>
      </c>
    </row>
    <row r="8" spans="2:6" x14ac:dyDescent="0.2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">
      <c r="B9" s="43" t="s">
        <v>126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"AHMET GEZINTI"</v>
      </c>
      <c r="F12" s="45" t="str">
        <f t="shared" si="0"/>
        <v>"Caller_2" : "AHMET GEZINTI",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"GÜLIZ ADILLER"</v>
      </c>
      <c r="F13" s="45" t="str">
        <f t="shared" si="0"/>
        <v>"Timerkeeper" : "GÜLIZ ADILLER",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"AYBERK PARALI"</v>
      </c>
      <c r="F14" s="45" t="str">
        <f t="shared" si="0"/>
        <v>"Shotclock" : "AYBERK PARALI",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606</v>
      </c>
      <c r="F25" s="45" t="str">
        <f t="shared" ref="F25:F48" si="1">""""&amp;C25&amp;"""" &amp; " : " &amp;D25&amp;","</f>
        <v>"total_actions" : 606,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GAME, MINOR CORRECTIONS, A MIX OF AUTOCORRECTIONS AND lgm INDICATIONS. "</v>
      </c>
      <c r="F51" s="45" t="str">
        <f>""""&amp;B51&amp;"""" &amp; " : " &amp;C51&amp;","</f>
        <v>"comments" : "GOOD GAME, MINOR CORRECTIONS, A MIX OF AUTOCORRECTIONS AND lgm INDICATIONS. ",</v>
      </c>
    </row>
    <row r="52" spans="2:6" x14ac:dyDescent="0.2">
      <c r="B52" s="43" t="s">
        <v>153</v>
      </c>
      <c r="C52" s="43" t="str">
        <f>TEXT('SCOUT &amp; LOGISTICS'!F1,"0,0")</f>
        <v>05_049_BES_BOU_U2025</v>
      </c>
      <c r="F52" s="45" t="str">
        <f>""""&amp;B52&amp;"""" &amp; " : " &amp;C52</f>
        <v>"result" : 05_049_BES_BOU_U2025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U049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Besiktas Gain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Cosea Jl Bourg-En-Bresse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AHMET GEZINTI</v>
      </c>
      <c r="M8" s="206"/>
      <c r="N8" s="206"/>
      <c r="O8" s="206"/>
      <c r="P8" s="206"/>
      <c r="Q8" s="206" t="str">
        <f>IF('SCOUT &amp; LOGISTICS'!D9="","",'SCOUT &amp; LOGISTICS'!D9)</f>
        <v>GÜLIZ ADILLER</v>
      </c>
      <c r="R8" s="206"/>
      <c r="S8" s="206"/>
      <c r="T8" s="206"/>
      <c r="U8" s="206"/>
      <c r="V8" s="206" t="str">
        <f>IF('SCOUT &amp; LOGISTICS'!D10="","",'SCOUT &amp; LOGISTICS'!D10)</f>
        <v>AYBERK PARALI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606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4.9504950495049506E-3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 xml:space="preserve">GOOD GAME, MINOR CORRECTIONS, A MIX OF AUTOCORRECTIONS AND lgm INDICATIONS.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6.4950495049504955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4EF6FC-2F3A-411C-AF6C-FAAE094879BA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2025-10-28T17:34:49Z</cp:lastPrinted>
  <dcterms:created xsi:type="dcterms:W3CDTF">2023-09-19T19:50:35Z</dcterms:created>
  <dcterms:modified xsi:type="dcterms:W3CDTF">2025-10-29T17:56:40Z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