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11" documentId="8_{F78180F6-CC7C-4EA2-9C4B-31AF161D8245}" xr6:coauthVersionLast="47" xr6:coauthVersionMax="47" xr10:uidLastSave="{B56F52F0-0E69-4756-A5C0-72893748D6FB}"/>
  <bookViews>
    <workbookView xWindow="-108" yWindow="-108" windowWidth="23256" windowHeight="12456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<sst xmlns="http://schemas.openxmlformats.org/spreadsheetml/2006/main" count="3298" uniqueCount="770">
  <si>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</si>
  <si>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</si>
  <si>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</si>
  <si>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</si>
  <si>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</si>
  <si>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</si>
  <si>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</si>
  <si>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</si>
  <si>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</si>
  <si>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</si>
  <si>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</si>
  <si>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</si>
  <si>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</si>
  <si>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</si>
  <si>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</si>
  <si>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</si>
  <si>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</si>
  <si>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</si>
  <si>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</si>
  <si>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</si>
  <si>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</si>
  <si>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</si>
  <si>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</si>
  <si>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</si>
  <si>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</si>
  <si>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</si>
  <si>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</si>
  <si>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</si>
  <si>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</si>
  <si>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</si>
  <si>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</si>
  <si>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</si>
  <si>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</si>
  <si>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</si>
  <si>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</si>
  <si>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</si>
  <si>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</si>
  <si>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</si>
  <si>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</si>
  <si>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</si>
  <si>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</si>
  <si>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</si>
  <si>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</si>
  <si>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</si>
  <si>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</si>
  <si>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</si>
  <si>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</si>
  <si>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</si>
  <si>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</si>
  <si>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</si>
  <si>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</si>
  <si>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</si>
  <si>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</si>
  <si>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</si>
  <si>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</si>
  <si>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</si>
  <si>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</si>
  <si>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</si>
  <si>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</si>
  <si>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</si>
  <si>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</si>
  <si>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</si>
  <si>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</si>
  <si>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</si>
  <si>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</si>
  <si>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</si>
  <si>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</si>
  <si>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</si>
  <si>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</si>
  <si>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</si>
  <si>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</si>
  <si>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</si>
  <si>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</si>
  <si>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</si>
  <si>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</si>
  <si>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</si>
  <si>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</si>
  <si>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</si>
  <si>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</si>
  <si>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</si>
  <si>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</si>
  <si>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</si>
  <si>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</si>
  <si>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</si>
  <si>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</si>
  <si>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</si>
  <si>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</si>
  <si>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</si>
  <si>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</si>
  <si>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</si>
  <si>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</si>
  <si>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</si>
  <si>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</si>
  <si>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</si>
  <si>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</si>
  <si>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</si>
  <si>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</si>
  <si>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</si>
  <si>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</si>
  <si>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</si>
  <si>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</si>
  <si>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</si>
  <si>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</si>
  <si>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</si>
  <si>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</si>
  <si>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</si>
  <si>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</si>
  <si>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</si>
  <si>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</si>
  <si>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</si>
  <si>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</si>
  <si>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</si>
  <si>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</si>
  <si>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</si>
  <si>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</si>
  <si>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</si>
  <si>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</si>
  <si>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</si>
  <si>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</si>
  <si>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</si>
  <si>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</si>
  <si>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</si>
  <si>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</si>
  <si>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</si>
  <si>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</si>
  <si>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</si>
  <si>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</si>
  <si>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</si>
  <si>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</si>
  <si>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</si>
  <si>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</si>
  <si>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</si>
  <si>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</si>
  <si>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</si>
  <si>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</si>
  <si>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</si>
  <si>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</si>
  <si>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</si>
  <si>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</si>
  <si>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</si>
  <si>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</si>
  <si>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</si>
  <si>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</si>
  <si>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</si>
  <si>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</si>
  <si>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</si>
  <si>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</si>
  <si>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</si>
  <si>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</si>
  <si>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</si>
  <si>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</si>
  <si>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</si>
  <si>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</si>
  <si>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</si>
  <si>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</si>
  <si>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</si>
  <si>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</si>
  <si>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</si>
  <si>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</si>
  <si>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</si>
  <si>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</si>
  <si>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</si>
  <si>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</si>
  <si>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</si>
  <si>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</si>
  <si>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</si>
  <si>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</si>
  <si>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</si>
  <si>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</si>
  <si>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</si>
  <si>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</si>
  <si>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</si>
  <si>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</si>
  <si>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</si>
  <si>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</si>
  <si>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</si>
  <si>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</si>
  <si>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</si>
  <si>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</si>
  <si>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</si>
  <si>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</si>
  <si>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</si>
  <si>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</si>
  <si>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</si>
  <si>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</si>
  <si>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</si>
  <si>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</si>
  <si>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</si>
  <si>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</si>
  <si>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</si>
  <si>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</si>
  <si>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</si>
  <si>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</si>
  <si>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</si>
  <si>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</si>
  <si>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</si>
  <si>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</si>
  <si>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</si>
  <si>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</si>
  <si>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</si>
  <si>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</si>
  <si>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</si>
  <si>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</si>
  <si>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</si>
  <si>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</si>
  <si>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</si>
  <si>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</si>
  <si>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</si>
  <si>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</si>
  <si>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</si>
  <si>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</si>
  <si>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</si>
  <si>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</si>
  <si>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</si>
  <si>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</si>
  <si>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</si>
  <si>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</si>
  <si>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</si>
  <si>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</si>
  <si>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</si>
  <si>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</si>
  <si>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</si>
  <si>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</si>
  <si>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</si>
  <si>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</si>
  <si>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</si>
  <si>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</si>
  <si>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</si>
  <si>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</si>
  <si>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</si>
  <si>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</si>
  <si>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</si>
  <si>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</si>
  <si>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</si>
  <si>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</si>
  <si>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</si>
  <si>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</si>
  <si>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</si>
  <si>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</si>
  <si>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</si>
  <si>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</si>
  <si>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</si>
  <si>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</si>
  <si>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</si>
  <si>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</si>
  <si>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</si>
  <si>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</si>
  <si>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</si>
  <si>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</si>
  <si>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</si>
  <si>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</si>
  <si>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</si>
  <si>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</si>
  <si>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</si>
  <si>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</si>
  <si>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</si>
  <si>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</si>
  <si>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</si>
  <si>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</si>
  <si>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</si>
  <si>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</si>
  <si>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</si>
  <si>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</si>
  <si>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</si>
  <si>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</si>
  <si>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</si>
  <si>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</si>
  <si>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</si>
  <si>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</si>
  <si>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</si>
  <si>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</si>
  <si>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</si>
  <si>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</si>
  <si>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</si>
  <si>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</si>
  <si>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</si>
  <si>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</si>
  <si>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</si>
  <si>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</si>
  <si>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</si>
  <si>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</si>
  <si>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</si>
  <si>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</si>
  <si>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</si>
  <si>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</si>
  <si>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</si>
  <si>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</si>
  <si>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</si>
  <si>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</si>
  <si>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</si>
  <si>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</si>
  <si>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</si>
  <si>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</si>
  <si>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</si>
  <si>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</si>
  <si>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</si>
  <si>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</si>
  <si>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</si>
  <si>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</si>
  <si>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</si>
  <si>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</si>
  <si>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</si>
  <si>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</si>
  <si>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</si>
  <si>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</si>
  <si>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</si>
  <si>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</si>
  <si>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</si>
  <si>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</si>
  <si>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</si>
  <si>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</si>
  <si>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</si>
  <si>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</si>
  <si>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</si>
  <si>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</si>
  <si>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</si>
  <si>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</si>
  <si>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</si>
  <si>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</si>
  <si>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</si>
  <si>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</si>
  <si>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</si>
  <si>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</si>
  <si>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</si>
  <si>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</si>
  <si>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</si>
  <si>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</si>
  <si>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</si>
  <si>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</si>
  <si>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</si>
  <si>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</si>
  <si>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</si>
  <si>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</si>
  <si>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</si>
  <si>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</si>
  <si>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</si>
  <si>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</si>
  <si>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</si>
  <si>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</si>
  <si>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</si>
  <si>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</si>
  <si>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</si>
  <si>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</si>
  <si>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</si>
  <si>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</si>
  <si>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</si>
  <si>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</si>
  <si>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</si>
  <si>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</si>
  <si>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</si>
  <si>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</si>
  <si>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</si>
  <si>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</si>
  <si>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</si>
  <si>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</si>
  <si>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</si>
  <si>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</si>
  <si>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</si>
  <si>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</si>
  <si>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</si>
  <si>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</si>
  <si>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</si>
  <si>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</si>
  <si>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</si>
  <si>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</si>
  <si>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</si>
  <si>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</si>
  <si>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</si>
  <si>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</si>
  <si>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</si>
  <si>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</si>
  <si>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</si>
  <si>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</si>
  <si>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</si>
  <si>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</si>
  <si>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</si>
  <si>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</si>
  <si>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</si>
  <si>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</si>
  <si>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</si>
  <si>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</si>
  <si>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</si>
  <si>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</si>
  <si>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</si>
  <si>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</si>
  <si>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</si>
  <si>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</si>
  <si>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</si>
  <si>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</si>
  <si>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</si>
  <si>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</si>
  <si>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</si>
  <si>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</si>
  <si>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</si>
  <si>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</si>
  <si>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</si>
  <si>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</si>
  <si>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</si>
  <si>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</si>
  <si>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</si>
  <si>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</si>
  <si>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</si>
  <si>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</si>
  <si>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</si>
  <si>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</si>
  <si>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</si>
  <si>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</si>
  <si>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</si>
  <si>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</si>
  <si>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</si>
  <si>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</si>
  <si>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</si>
  <si>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</si>
  <si>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</si>
  <si>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</si>
  <si>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</si>
  <si>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</si>
  <si>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</si>
  <si>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</si>
  <si>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</si>
  <si>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</si>
  <si>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</si>
  <si>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</si>
  <si>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</si>
  <si>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</si>
  <si>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</si>
  <si>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</si>
  <si>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</si>
  <si>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</si>
  <si>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</si>
  <si>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</si>
  <si>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</si>
  <si>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</si>
  <si>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</si>
  <si>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</si>
  <si>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</si>
  <si>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</si>
  <si>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</si>
  <si>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</si>
  <si>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</si>
  <si>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</si>
  <si>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</si>
  <si>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</si>
  <si>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</si>
  <si>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</si>
  <si>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</si>
  <si>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</si>
  <si>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</si>
  <si>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</si>
  <si>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</si>
  <si>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</si>
  <si>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</si>
  <si>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</si>
  <si>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</si>
  <si>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</si>
  <si>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</si>
  <si>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</si>
  <si>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</si>
  <si>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</si>
  <si>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</si>
  <si>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</si>
  <si>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</si>
  <si>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</si>
  <si>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</si>
  <si>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</si>
  <si>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</si>
  <si>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</si>
  <si>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</si>
  <si>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</si>
  <si>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</si>
  <si>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</si>
  <si>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</si>
  <si>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</si>
  <si>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</si>
  <si>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</si>
  <si>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</si>
  <si>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</si>
  <si>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</si>
  <si>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</si>
  <si>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</si>
  <si>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</si>
  <si>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</si>
  <si>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</si>
  <si>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</si>
  <si>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</si>
  <si>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</si>
  <si>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</si>
  <si>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</si>
  <si>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</si>
  <si>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</si>
  <si>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</si>
  <si>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</si>
  <si>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</si>
  <si>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</si>
  <si>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</si>
  <si>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</si>
  <si>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</si>
  <si>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</si>
  <si>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</si>
  <si>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</si>
  <si>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</si>
  <si>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</si>
  <si>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</si>
  <si>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</si>
  <si>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</si>
  <si>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</si>
  <si>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</si>
  <si>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</si>
  <si>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</si>
  <si>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</si>
  <si>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</si>
  <si>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</si>
  <si>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</si>
  <si>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</si>
  <si>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</si>
  <si>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</si>
  <si>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</si>
  <si>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</si>
  <si>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</si>
  <si>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</si>
  <si>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</si>
  <si>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</si>
  <si>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</si>
  <si>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</si>
  <si>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</si>
  <si>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</si>
  <si>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</si>
  <si>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</si>
  <si>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</si>
  <si>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</si>
  <si>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</si>
  <si>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</si>
  <si>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</si>
  <si>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</si>
  <si>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</si>
  <si>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</si>
  <si>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</si>
  <si>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</si>
  <si>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</si>
  <si>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</si>
  <si>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</si>
  <si>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</si>
  <si>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</si>
  <si>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</si>
  <si>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</si>
  <si>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</si>
  <si>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</si>
  <si>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</si>
  <si>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</si>
  <si>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</si>
  <si>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</si>
  <si>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</si>
  <si>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</si>
  <si>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</si>
  <si>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</si>
  <si>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</si>
  <si>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</si>
  <si>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</si>
  <si>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</si>
  <si>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</si>
  <si>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</si>
  <si>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</si>
  <si>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</si>
  <si>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</si>
  <si>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</si>
  <si>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</si>
  <si>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</si>
  <si>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</si>
  <si>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</si>
  <si>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</si>
  <si>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</si>
  <si>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</si>
  <si>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</si>
  <si>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</si>
  <si>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</si>
  <si>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</si>
  <si>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</si>
  <si>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</si>
  <si>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</si>
  <si>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</si>
  <si>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</si>
  <si>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</si>
  <si>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</si>
  <si>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</si>
  <si>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</si>
  <si>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</si>
  <si>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</si>
  <si>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</si>
  <si>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</si>
  <si>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</si>
  <si>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</si>
  <si>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</si>
  <si>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</si>
  <si>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</si>
  <si>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</si>
  <si>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</si>
  <si>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</si>
  <si>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</si>
  <si>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</si>
  <si>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</si>
  <si>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</si>
  <si>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</si>
  <si>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</si>
  <si>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</si>
  <si>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</si>
  <si>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</si>
  <si>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</si>
  <si>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</si>
  <si>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</si>
  <si>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</si>
  <si>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</si>
  <si>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</si>
  <si>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</si>
  <si>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</si>
  <si>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</si>
  <si>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</si>
  <si>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</si>
  <si>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</si>
  <si>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</si>
  <si>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</si>
  <si>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</si>
  <si>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</si>
  <si>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</si>
  <si>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</si>
  <si>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</si>
  <si>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</si>
  <si>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</si>
  <si>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</si>
  <si>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</si>
  <si>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</si>
  <si>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</si>
  <si>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</si>
  <si>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</si>
  <si>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</si>
  <si>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</si>
  <si>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</si>
  <si>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</si>
  <si>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</si>
  <si>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</si>
  <si>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</si>
  <si>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</si>
  <si>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</si>
  <si>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</si>
  <si>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</si>
  <si>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</si>
  <si>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</si>
  <si>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</si>
  <si>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</si>
  <si>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</si>
  <si>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</si>
  <si>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</si>
  <si>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</si>
  <si>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</si>
  <si>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</si>
  <si>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</si>
  <si>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</si>
  <si>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</si>
  <si>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</si>
  <si>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</si>
  <si>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</si>
  <si>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</si>
  <si>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</si>
  <si>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</si>
  <si>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</si>
  <si>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</si>
  <si>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</si>
  <si>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</si>
  <si>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</si>
  <si>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</si>
  <si>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</si>
  <si>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</si>
  <si>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</si>
  <si>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</si>
  <si>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</si>
  <si>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</si>
  <si>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</si>
  <si>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</si>
  <si>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</si>
  <si>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</si>
  <si>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</si>
  <si>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</si>
  <si>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</si>
  <si>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</si>
  <si>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</si>
  <si>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</si>
  <si>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</si>
  <si>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</si>
  <si>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</si>
  <si>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</si>
  <si>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</si>
  <si>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</si>
  <si>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</si>
  <si>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</si>
  <si>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</si>
  <si>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</si>
  <si>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</si>
  <si>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</si>
  <si>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</si>
  <si>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</si>
  <si>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</si>
  <si>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</si>
  <si>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</si>
  <si>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</si>
  <si>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</si>
  <si>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</si>
  <si>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</si>
  <si>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</si>
  <si>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</si>
  <si>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</si>
  <si>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</si>
  <si>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</si>
  <si>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</si>
  <si>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</si>
  <si>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</si>
  <si>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</si>
  <si>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</si>
  <si>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</si>
  <si>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</si>
  <si>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</si>
  <si>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</si>
  <si>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</si>
  <si>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</si>
  <si>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</si>
  <si>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</si>
  <si>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</si>
  <si>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</si>
  <si>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</si>
  <si>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</si>
  <si>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</si>
  <si>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</si>
  <si>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</si>
  <si>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</si>
  <si>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</si>
  <si>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</si>
  <si>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</si>
  <si>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</si>
  <si>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</si>
  <si>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</si>
  <si>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</si>
  <si>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</si>
  <si>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</si>
  <si>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</si>
  <si>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</si>
  <si>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</si>
  <si>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</si>
  <si>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</si>
  <si>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</si>
  <si>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</si>
  <si>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</si>
  <si>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C:\Users\pablo.campoy\EUROLEAGUE\EB STATS - General\SEASON 2025-26\Reports\Eurocup</t>
  </si>
  <si>
    <t>08:58</t>
  </si>
  <si>
    <t>08:31</t>
  </si>
  <si>
    <t>04:24</t>
  </si>
  <si>
    <t>00:12</t>
  </si>
  <si>
    <t>KIM THAMMIG</t>
  </si>
  <si>
    <t>MORITZ HEIM</t>
  </si>
  <si>
    <t>MARC ROTHE</t>
  </si>
  <si>
    <t>SEBASTIAN LUCK</t>
  </si>
  <si>
    <t>FRANZISCA BRUCKNER</t>
  </si>
  <si>
    <t>MICHAEL BÖHMER</t>
  </si>
  <si>
    <t>08:29</t>
  </si>
  <si>
    <t>03:38</t>
  </si>
  <si>
    <t>Van apuntar Block Against</t>
  </si>
  <si>
    <t>Van apuntar un tir fallat i tap rebut, quan semblava un passi</t>
  </si>
  <si>
    <t>02:21</t>
  </si>
  <si>
    <t>Falta mal apuntada al 2, quan havia estat del 15</t>
  </si>
  <si>
    <t>07:05</t>
  </si>
  <si>
    <t>Tap no apuntat</t>
  </si>
  <si>
    <t>Tap rebut no apuntat</t>
  </si>
  <si>
    <t>Good criteria on steals/turnovers despite the corrections, that were difficult to see. I can say the same about blocks, great scoring despita a couple discrepancies (one was a clear block). Good work in general. One a important mistake with a wrong foul scored, whose responsibilty (referees, scorers) we cannot know.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</si>
</sst>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05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05_050_NIN_ULM_U2025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749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U2025</v>
      </c>
      <c r="C2" s="123">
        <v>50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45959.791666666664</v>
      </c>
      <c r="C3" s="157"/>
      <c r="D3" s="39">
        <v>697</v>
      </c>
      <c r="E3" s="29"/>
      <c r="F3" s="26">
        <f>SUBTOTAL(3,I17:I106)</f>
        <v>10</v>
      </c>
      <c r="G3" s="27">
        <f>IF(OR(D3="",D3=0),"",F3/D3)</f>
        <v>1.4347202295552367E-2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NINERS Chemnitz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NIN</v>
      </c>
      <c r="I4" s="5"/>
      <c r="J4" s="119" t="s">
        <v>714</v>
      </c>
      <c r="K4" s="54" t="s">
        <v>742</v>
      </c>
      <c r="L4" s="5"/>
      <c r="M4" s="167" t="s">
        <v>769</v>
      </c>
      <c r="N4" s="168"/>
      <c r="O4" s="2"/>
      <c r="P4" s="2"/>
      <c r="Q4" s="84" t="s">
        <v>175</v>
      </c>
      <c r="R4" s="94">
        <f>(IF(G3="",0,G3))</f>
        <v>1.4347202295552367E-2</v>
      </c>
      <c r="S4" s="61">
        <f>SUM(I13:M13)</f>
        <v>0</v>
      </c>
      <c r="T4" s="78"/>
      <c r="U4" s="61">
        <f>AC18</f>
        <v>4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3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ratiopharm Ulm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ULM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1.4347202295552368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7.5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754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755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14.934720229555237</v>
      </c>
      <c r="N7" s="58"/>
      <c r="O7" s="2"/>
      <c r="P7" s="2"/>
      <c r="Q7" s="86">
        <f>SUM(R5,S5,AC16)</f>
        <v>14.934720229555237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756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14.934720229555236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757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758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">
        <v>759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50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/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10</v>
      </c>
      <c r="J15" s="24">
        <f>SUBTOTAL(3,J17:J106)</f>
        <v>10</v>
      </c>
      <c r="K15" s="24">
        <f>SUBTOTAL(3,K17:K106)</f>
        <v>10</v>
      </c>
      <c r="L15" s="24">
        <f>SUBTOTAL(3,L17:L106)</f>
        <v>10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10</v>
      </c>
      <c r="Z16" s="90" t="s">
        <v>110</v>
      </c>
      <c r="AA16" s="75">
        <f>SUM(AA17:AA24)</f>
        <v>10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13.5</v>
      </c>
      <c r="AD16" s="75">
        <f>SUM(AD17:AD24)</f>
        <v>45</v>
      </c>
      <c r="AE16" s="76" t="s">
        <v>42</v>
      </c>
      <c r="AF16" s="75">
        <f>SUM(AF17:AF24)</f>
        <v>3</v>
      </c>
      <c r="AG16" s="75">
        <f>SUM(AG17:AG21)</f>
        <v>10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U2025</v>
      </c>
      <c r="C17" s="31">
        <f t="shared" ref="C17:C48" si="3">IF(I17="","",$C$2)</f>
        <v>50</v>
      </c>
      <c r="D17" s="32" t="s">
        <v>750</v>
      </c>
      <c r="E17" s="33">
        <v>1</v>
      </c>
      <c r="F17" s="36">
        <v>0</v>
      </c>
      <c r="G17" s="36">
        <v>4</v>
      </c>
      <c r="H17" s="38" t="str">
        <f>IF(I17="","",$I$14)</f>
        <v>SCOUTING</v>
      </c>
      <c r="I17" s="34">
        <v>22</v>
      </c>
      <c r="J17" s="13" t="s">
        <v>4</v>
      </c>
      <c r="K17" s="13" t="s">
        <v>63</v>
      </c>
      <c r="L17" s="13" t="s">
        <v>6</v>
      </c>
      <c r="M17" s="13" t="s">
        <v>22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9</v>
      </c>
      <c r="Z17" s="105" t="s">
        <v>63</v>
      </c>
      <c r="AA17" s="62">
        <f>COUNTIF($K$17:$K$106,Z17)</f>
        <v>7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4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U2025</v>
      </c>
      <c r="C18" s="31">
        <f t="shared" si="3"/>
        <v>50</v>
      </c>
      <c r="D18" s="32" t="s">
        <v>751</v>
      </c>
      <c r="E18" s="33">
        <v>1</v>
      </c>
      <c r="F18" s="36">
        <v>2</v>
      </c>
      <c r="G18" s="36">
        <v>4</v>
      </c>
      <c r="H18" s="38" t="str">
        <f t="shared" ref="H18:H81" si="8">IF(I18="","",$I$14)</f>
        <v>SCOUTING</v>
      </c>
      <c r="I18" s="34">
        <v>26</v>
      </c>
      <c r="J18" s="13" t="s">
        <v>4</v>
      </c>
      <c r="K18" s="13" t="s">
        <v>63</v>
      </c>
      <c r="L18" s="13" t="s">
        <v>5</v>
      </c>
      <c r="M18" s="13" t="s">
        <v>9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U2025</v>
      </c>
      <c r="C19" s="31">
        <f t="shared" si="3"/>
        <v>50</v>
      </c>
      <c r="D19" s="32" t="s">
        <v>752</v>
      </c>
      <c r="E19" s="33">
        <v>1</v>
      </c>
      <c r="F19" s="36">
        <v>9</v>
      </c>
      <c r="G19" s="36">
        <v>13</v>
      </c>
      <c r="H19" s="38" t="str">
        <f t="shared" si="8"/>
        <v>SCOUTING</v>
      </c>
      <c r="I19" s="34">
        <v>98</v>
      </c>
      <c r="J19" s="13" t="s">
        <v>4</v>
      </c>
      <c r="K19" s="13" t="s">
        <v>63</v>
      </c>
      <c r="L19" s="13" t="s">
        <v>5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1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4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>U2025</v>
      </c>
      <c r="C20" s="31">
        <f t="shared" si="3"/>
        <v>50</v>
      </c>
      <c r="D20" s="32" t="s">
        <v>753</v>
      </c>
      <c r="E20" s="33">
        <v>1</v>
      </c>
      <c r="F20" s="36">
        <v>22</v>
      </c>
      <c r="G20" s="36">
        <v>18</v>
      </c>
      <c r="H20" s="38" t="str">
        <f t="shared" si="8"/>
        <v>SCOUTING</v>
      </c>
      <c r="I20" s="34">
        <v>158</v>
      </c>
      <c r="J20" s="13" t="s">
        <v>4</v>
      </c>
      <c r="K20" s="13" t="s">
        <v>63</v>
      </c>
      <c r="L20" s="13" t="s">
        <v>48</v>
      </c>
      <c r="M20" s="13" t="s">
        <v>28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>U2025</v>
      </c>
      <c r="C21" s="31">
        <f t="shared" si="3"/>
        <v>50</v>
      </c>
      <c r="D21" s="32" t="s">
        <v>760</v>
      </c>
      <c r="E21" s="33">
        <v>3</v>
      </c>
      <c r="F21" s="36">
        <v>48</v>
      </c>
      <c r="G21" s="36">
        <v>39</v>
      </c>
      <c r="H21" s="38" t="str">
        <f t="shared" si="8"/>
        <v>SCOUTING</v>
      </c>
      <c r="I21" s="34">
        <v>348</v>
      </c>
      <c r="J21" s="13" t="s">
        <v>4</v>
      </c>
      <c r="K21" s="13" t="s">
        <v>63</v>
      </c>
      <c r="L21" s="13" t="s">
        <v>7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>U2025</v>
      </c>
      <c r="C22" s="31">
        <f t="shared" si="3"/>
        <v>50</v>
      </c>
      <c r="D22" s="32" t="s">
        <v>761</v>
      </c>
      <c r="E22" s="33">
        <v>3</v>
      </c>
      <c r="F22" s="36">
        <v>54</v>
      </c>
      <c r="G22" s="36">
        <v>48</v>
      </c>
      <c r="H22" s="38" t="str">
        <f t="shared" si="8"/>
        <v>SCOUTING</v>
      </c>
      <c r="I22" s="34">
        <v>418</v>
      </c>
      <c r="J22" s="13" t="s">
        <v>4</v>
      </c>
      <c r="K22" s="13" t="s">
        <v>63</v>
      </c>
      <c r="L22" s="13" t="s">
        <v>5</v>
      </c>
      <c r="M22" s="13" t="s">
        <v>9</v>
      </c>
      <c r="N22" s="35" t="s">
        <v>762</v>
      </c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>U2025</v>
      </c>
      <c r="C23" s="31">
        <f t="shared" si="3"/>
        <v>50</v>
      </c>
      <c r="D23" s="32" t="s">
        <v>761</v>
      </c>
      <c r="E23" s="33">
        <v>3</v>
      </c>
      <c r="F23" s="36">
        <v>54</v>
      </c>
      <c r="G23" s="36">
        <v>48</v>
      </c>
      <c r="H23" s="38" t="str">
        <f t="shared" si="8"/>
        <v>SCOUTING</v>
      </c>
      <c r="I23" s="34">
        <v>419</v>
      </c>
      <c r="J23" s="13" t="s">
        <v>4</v>
      </c>
      <c r="K23" s="13" t="s">
        <v>62</v>
      </c>
      <c r="L23" s="13" t="s">
        <v>5</v>
      </c>
      <c r="M23" s="13" t="s">
        <v>10</v>
      </c>
      <c r="N23" s="35" t="s">
        <v>763</v>
      </c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3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>U2025</v>
      </c>
      <c r="C24" s="31">
        <f t="shared" si="3"/>
        <v>50</v>
      </c>
      <c r="D24" s="32" t="s">
        <v>764</v>
      </c>
      <c r="E24" s="33">
        <v>3</v>
      </c>
      <c r="F24" s="36">
        <v>54</v>
      </c>
      <c r="G24" s="36">
        <v>52</v>
      </c>
      <c r="H24" s="38" t="str">
        <f t="shared" si="8"/>
        <v>SCOUTING</v>
      </c>
      <c r="I24" s="34">
        <v>456</v>
      </c>
      <c r="J24" s="13" t="s">
        <v>3</v>
      </c>
      <c r="K24" s="13" t="s">
        <v>62</v>
      </c>
      <c r="L24" s="13" t="s">
        <v>6</v>
      </c>
      <c r="M24" s="13" t="s">
        <v>8</v>
      </c>
      <c r="N24" s="35" t="s">
        <v>765</v>
      </c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1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>U2025</v>
      </c>
      <c r="C25" s="31">
        <f t="shared" si="3"/>
        <v>50</v>
      </c>
      <c r="D25" s="32" t="s">
        <v>766</v>
      </c>
      <c r="E25" s="33">
        <v>4</v>
      </c>
      <c r="F25" s="36">
        <v>67</v>
      </c>
      <c r="G25" s="36">
        <v>67</v>
      </c>
      <c r="H25" s="38" t="str">
        <f t="shared" si="8"/>
        <v>SCOUTING</v>
      </c>
      <c r="I25" s="34">
        <v>563</v>
      </c>
      <c r="J25" s="13" t="s">
        <v>4</v>
      </c>
      <c r="K25" s="13" t="s">
        <v>62</v>
      </c>
      <c r="L25" s="13" t="s">
        <v>7</v>
      </c>
      <c r="M25" s="13" t="s">
        <v>12</v>
      </c>
      <c r="N25" s="35" t="s">
        <v>767</v>
      </c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>U2025</v>
      </c>
      <c r="C26" s="31">
        <f t="shared" si="3"/>
        <v>50</v>
      </c>
      <c r="D26" s="32" t="s">
        <v>766</v>
      </c>
      <c r="E26" s="33">
        <v>4</v>
      </c>
      <c r="F26" s="36">
        <v>67</v>
      </c>
      <c r="G26" s="36">
        <v>67</v>
      </c>
      <c r="H26" s="38" t="str">
        <f t="shared" si="8"/>
        <v>SCOUTING</v>
      </c>
      <c r="I26" s="34">
        <v>564</v>
      </c>
      <c r="J26" s="13" t="s">
        <v>4</v>
      </c>
      <c r="K26" s="13" t="s">
        <v>63</v>
      </c>
      <c r="L26" s="13" t="s">
        <v>7</v>
      </c>
      <c r="M26" s="13" t="s">
        <v>30</v>
      </c>
      <c r="N26" s="35" t="s">
        <v>768</v>
      </c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1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2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2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.2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REPORT_U2025050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"U2025050"</v>
      </c>
      <c r="F3" s="45" t="str">
        <f t="shared" ref="F3:F16" si="0">""""&amp;B3&amp;"""" &amp; " : " &amp;C3&amp;","</f>
        <v>"name" : "U2025050",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"U050"</v>
      </c>
      <c r="F4" s="45" t="str">
        <f t="shared" si="0"/>
        <v>"cod" : "U050",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050</v>
      </c>
      <c r="F6" s="45" t="str">
        <f t="shared" si="0"/>
        <v>"number" : 050,</v>
      </c>
    </row>
    <row r="7" spans="2:6" x14ac:dyDescent="0.25">
      <c r="B7" s="43" t="s">
        <v>116</v>
      </c>
      <c r="C7" s="43" t="str">
        <f ca="1">""""&amp;TEXT('SCOUT &amp; LOGISTICS'!B3,"dd/mm/aaaa")&amp;""""</f>
        <v>"29/10/2025"</v>
      </c>
      <c r="F7" s="45" t="str">
        <f t="shared" ca="1" si="0"/>
        <v>"date" : "29/10/2025",</v>
      </c>
    </row>
    <row r="8" spans="2:6" x14ac:dyDescent="0.25">
      <c r="B8" s="43" t="s">
        <v>125</v>
      </c>
      <c r="C8" s="43" t="str">
        <f>""""&amp;'SCOUT &amp; LOGISTICS'!D4 &amp;""""</f>
        <v>"NINERS Chemnitz"</v>
      </c>
      <c r="F8" s="45" t="str">
        <f t="shared" si="0"/>
        <v>"home_team" : "NINERS Chemnitz",</v>
      </c>
    </row>
    <row r="9" spans="2:6" x14ac:dyDescent="0.25">
      <c r="B9" s="43" t="s">
        <v>126</v>
      </c>
      <c r="C9" s="43" t="str">
        <f>""""&amp;'SCOUT &amp; LOGISTICS'!D5&amp;""""</f>
        <v>"ratiopharm Ulm"</v>
      </c>
      <c r="F9" s="45" t="str">
        <f t="shared" si="0"/>
        <v>"away_team" : "ratiopharm Ulm",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"KIM THAMMIG"</v>
      </c>
      <c r="F10" s="45" t="str">
        <f t="shared" si="0"/>
        <v>"Data_entry" : "KIM THAMMIG",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"MORITZ HEIM"</v>
      </c>
      <c r="F11" s="45" t="str">
        <f t="shared" si="0"/>
        <v>"Caller_1" : "MORITZ HEIM",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"MARC ROTHE"</v>
      </c>
      <c r="F12" s="45" t="str">
        <f t="shared" si="0"/>
        <v>"Caller_2" : "MARC ROTHE",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"SEBASTIAN LUCK"</v>
      </c>
      <c r="F13" s="45" t="str">
        <f t="shared" si="0"/>
        <v>"Timerkeeper" : "SEBASTIAN LUCK",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"FRANZISCA BRUCKNER"</v>
      </c>
      <c r="F14" s="45" t="str">
        <f t="shared" si="0"/>
        <v>"Shotclock" : "FRANZISCA BRUCKNER",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"MICHAEL BÖHMER"</v>
      </c>
      <c r="F15" s="45" t="str">
        <f t="shared" si="0"/>
        <v>"IRS" : "MICHAEL BÖHMER",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697</v>
      </c>
      <c r="F25" s="45" t="str">
        <f t="shared" ref="F25:F48" si="1">""""&amp;C25&amp;"""" &amp; " : " &amp;D25&amp;","</f>
        <v>"total_actions" : 697,</v>
      </c>
    </row>
    <row r="26" spans="2:6" x14ac:dyDescent="0.25">
      <c r="C26" s="43" t="s">
        <v>132</v>
      </c>
      <c r="D26" s="43">
        <f>'SCOUT &amp; LOGISTICS'!F3</f>
        <v>10</v>
      </c>
      <c r="F26" s="45" t="str">
        <f t="shared" si="1"/>
        <v>"total_correcions" : 10,</v>
      </c>
    </row>
    <row r="27" spans="2:6" x14ac:dyDescent="0.25">
      <c r="C27" s="43" t="s">
        <v>133</v>
      </c>
      <c r="D27" s="43" t="str">
        <f>""""&amp;IF(OR(D25="",D25=0),"",TEXT(D26/D25,"0,0%"))&amp;""""</f>
        <v>"1,4%"</v>
      </c>
      <c r="F27" s="45" t="str">
        <f t="shared" si="1"/>
        <v>"%_corrections" : "1,4%",</v>
      </c>
    </row>
    <row r="28" spans="2:6" x14ac:dyDescent="0.25">
      <c r="C28" s="43" t="s">
        <v>125</v>
      </c>
      <c r="D28" s="43">
        <f>IF('SCOUT &amp; LOGISTICS'!AA17="","",'SCOUT &amp; LOGISTICS'!AA17)</f>
        <v>7</v>
      </c>
      <c r="F28" s="45" t="str">
        <f t="shared" si="1"/>
        <v>"home_team" : 7,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4</v>
      </c>
      <c r="F31" s="45" t="str">
        <f t="shared" si="1"/>
        <v>"q1" : 4,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4</v>
      </c>
      <c r="F33" s="45" t="str">
        <f t="shared" si="1"/>
        <v>"q3" : 4,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5">
      <c r="C37" s="43" t="s">
        <v>140</v>
      </c>
      <c r="D37" s="43">
        <f>'SCOUT &amp; LOGISTICS'!Y16</f>
        <v>10</v>
      </c>
      <c r="F37" s="45" t="str">
        <f t="shared" si="1"/>
        <v>"scoresheet_corrections" : 10,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3</v>
      </c>
      <c r="F46" s="45" t="str">
        <f t="shared" si="1"/>
        <v>"part_of_a_sequence" : 3,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"Good criteria on steals/turnovers despite the corrections, that were difficult to see. I can say the same about blocks, great scoring despita a couple discrepancies (one was a clear block). Good work in general. One a important mistake with a wrong foul scored, whose responsibilty (referees, scorers) we cannot know."</v>
      </c>
      <c r="F51" s="45" t="str">
        <f>""""&amp;B51&amp;"""" &amp; " : " &amp;C51&amp;","</f>
        <v>"comments" : "Good criteria on steals/turnovers despite the corrections, that were difficult to see. I can say the same about blocks, great scoring despita a couple discrepancies (one was a clear block). Good work in general. One a important mistake with a wrong foul scored, whose responsibilty (referees, scorers) we cannot know.",</v>
      </c>
    </row>
    <row r="52" spans="2:6" x14ac:dyDescent="0.25">
      <c r="B52" s="43" t="s">
        <v>153</v>
      </c>
      <c r="C52" s="43" t="str">
        <f>TEXT('SCOUT &amp; LOGISTICS'!F1,"0,0")</f>
        <v>05_050_NIN_ULM_U2025</v>
      </c>
      <c r="F52" s="45" t="str">
        <f>""""&amp;B52&amp;"""" &amp; " : " &amp;C52</f>
        <v>"result" : 05_050_NIN_ULM_U2025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2" zeroHeight="1" x14ac:dyDescent="0.4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4"/>
    <row r="2" spans="1:33" ht="42.6" customHeight="1" thickBot="1" x14ac:dyDescent="0.4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5">
      <c r="A3" s="48"/>
      <c r="B3" s="208" t="str">
        <f>"GAME: "&amp; LEFT('SCOUT &amp; LOGISTICS'!B2,1) &amp; TEXT('SCOUT &amp; LOGISTICS'!C2,"000") &amp; " " &amp; IF(LEFT('SCOUT &amp; LOGISTICS'!B2,1)="U","(EUROCUP)","(EUROLEAGUE)")</f>
        <v>GAME: U050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5">
      <c r="A4" s="48"/>
      <c r="B4" s="194" t="str">
        <f ca="1">"DATE: " &amp; TEXT('SCOUT &amp; LOGISTICS'!B3,"dd/mm")</f>
        <v>DATE: 29/10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5">
      <c r="A6" s="48"/>
      <c r="B6" s="212" t="str">
        <f>PROPER('SCOUT &amp; LOGISTICS'!D4)</f>
        <v>Niners Chemnitz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Ratiopharm Ulm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5">
      <c r="A8" s="48"/>
      <c r="B8" s="206" t="str">
        <f>IF('SCOUT &amp; LOGISTICS'!D6="","",'SCOUT &amp; LOGISTICS'!D6)</f>
        <v>KIM THAMMIG</v>
      </c>
      <c r="C8" s="206"/>
      <c r="D8" s="206"/>
      <c r="E8" s="206"/>
      <c r="F8" s="206"/>
      <c r="G8" s="206" t="str">
        <f>IF('SCOUT &amp; LOGISTICS'!D7="","",'SCOUT &amp; LOGISTICS'!D7)</f>
        <v>MORITZ HEIM</v>
      </c>
      <c r="H8" s="206"/>
      <c r="I8" s="206"/>
      <c r="J8" s="206"/>
      <c r="K8" s="206"/>
      <c r="L8" s="206" t="str">
        <f>IF('SCOUT &amp; LOGISTICS'!D8="","",'SCOUT &amp; LOGISTICS'!D8)</f>
        <v>MARC ROTHE</v>
      </c>
      <c r="M8" s="206"/>
      <c r="N8" s="206"/>
      <c r="O8" s="206"/>
      <c r="P8" s="206"/>
      <c r="Q8" s="206" t="str">
        <f>IF('SCOUT &amp; LOGISTICS'!D9="","",'SCOUT &amp; LOGISTICS'!D9)</f>
        <v>SEBASTIAN LUCK</v>
      </c>
      <c r="R8" s="206"/>
      <c r="S8" s="206"/>
      <c r="T8" s="206"/>
      <c r="U8" s="206"/>
      <c r="V8" s="206" t="str">
        <f>IF('SCOUT &amp; LOGISTICS'!D10="","",'SCOUT &amp; LOGISTICS'!D10)</f>
        <v>FRANZISCA BRUCKNER</v>
      </c>
      <c r="W8" s="206"/>
      <c r="X8" s="206"/>
      <c r="Y8" s="206"/>
      <c r="Z8" s="206"/>
      <c r="AA8" s="206" t="str">
        <f>IF('SCOUT &amp; LOGISTICS'!D11="","",'SCOUT &amp; LOGISTICS'!D11)</f>
        <v>MICHAEL BÖHMER</v>
      </c>
      <c r="AB8" s="206"/>
      <c r="AC8" s="206"/>
      <c r="AD8" s="206"/>
      <c r="AE8" s="206"/>
      <c r="AF8" s="48"/>
    </row>
    <row r="9" spans="1:33" ht="16.8" thickBot="1" x14ac:dyDescent="0.45">
      <c r="A9" s="48"/>
      <c r="B9" s="200" t="str">
        <f>IF(OR('SCOUT &amp; LOGISTICS'!D14="",'SCOUT &amp; LOGISTICS'!D14=0),"",'SCOUT &amp; LOGISTICS'!B14 &amp; ": " &amp; 'SCOUT &amp; LOGISTICS'!D14) &amp; "     "</f>
        <v xml:space="preserve">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.8" thickBot="1" x14ac:dyDescent="0.4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/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.8" thickBot="1" x14ac:dyDescent="0.4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5">
      <c r="A17" s="48"/>
      <c r="B17" s="204">
        <f>'SCOUT &amp; LOGISTICS'!D3</f>
        <v>697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1.4347202295552367E-2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.8" thickBot="1" x14ac:dyDescent="0.4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5">
      <c r="A20" s="48"/>
      <c r="B20" s="197">
        <f>IF('SCOUT &amp; LOGISTICS'!AA17="","",'SCOUT &amp; LOGISTICS'!AA17)</f>
        <v>7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5">
      <c r="A22" s="48"/>
      <c r="B22" s="197">
        <f>'SCOUT &amp; LOGISTICS'!AG17</f>
        <v>4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4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.8" thickBot="1" x14ac:dyDescent="0.4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5">
      <c r="A25" s="48"/>
      <c r="B25" s="197">
        <f>'SCOUT &amp; LOGISTICS'!Y17</f>
        <v>9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1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5">
      <c r="A27" s="48"/>
      <c r="B27" s="197">
        <f>'SCOUT &amp; LOGISTICS'!AC18</f>
        <v>4</v>
      </c>
      <c r="C27" s="197"/>
      <c r="D27" s="197"/>
      <c r="E27" s="197"/>
      <c r="F27" s="197"/>
      <c r="G27" s="197">
        <f>'SCOUT &amp; LOGISTICS'!AC22</f>
        <v>2</v>
      </c>
      <c r="H27" s="197"/>
      <c r="I27" s="197"/>
      <c r="J27" s="197"/>
      <c r="K27" s="197"/>
      <c r="L27" s="197">
        <f>'SCOUT &amp; LOGISTICS'!AC23</f>
        <v>3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5">
      <c r="A29" s="48"/>
      <c r="B29" s="197">
        <f>'SCOUT &amp; LOGISTICS'!AC25</f>
        <v>1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.8" thickBot="1" x14ac:dyDescent="0.4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5">
      <c r="A32" s="48"/>
      <c r="B32" s="195" t="str">
        <f>IF('SCOUT &amp; LOGISTICS'!M4="","",'SCOUT &amp; LOGISTICS'!M4)</f>
        <v>Good criteria on steals/turnovers despite the corrections, that were difficult to see. I can say the same about blocks, great scoring despita a couple discrepancies (one was a clear block). Good work in general. One a important mistake with a wrong foul scored, whose responsibilty (referees, scorers) we cannot know.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5">
      <c r="A35" s="48"/>
      <c r="B35" s="196">
        <f>'SCOUT &amp; LOGISTICS'!M7</f>
        <v>14.934720229555237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4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0D4DAA4-A82A-425A-A5E3-6B0A45AF33EB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Pablo Campoy</cp:lastModifiedBy>
  <cp:lastPrinted>2025-10-29T20:41:16Z</cp:lastPrinted>
  <dcterms:created xsi:type="dcterms:W3CDTF">2023-09-19T19:50:35Z</dcterms:created>
  <dcterms:modified xsi:type="dcterms:W3CDTF">2025-10-29T20:41:29Z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