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7" documentId="8_{1E084368-8877-4188-A1AE-A03DB8C9DA40}" xr6:coauthVersionLast="47" xr6:coauthVersionMax="47" xr10:uidLastSave="{61DAFE25-AD1A-4D14-A76C-5D057707A9F6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<sst xmlns="http://schemas.openxmlformats.org/spreadsheetml/2006/main" count="3265" uniqueCount="763">
  <si>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</si>
  <si>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</si>
  <si>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</si>
  <si>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</si>
  <si>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</si>
  <si>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</si>
  <si>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</si>
  <si>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</si>
  <si>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</si>
  <si>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</si>
  <si>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</si>
  <si>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</si>
  <si>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</si>
  <si>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</si>
  <si>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</si>
  <si>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</si>
  <si>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</si>
  <si>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</si>
  <si>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</si>
  <si>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</si>
  <si>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</si>
  <si>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</si>
  <si>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</si>
  <si>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</si>
  <si>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</si>
  <si>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</si>
  <si>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</si>
  <si>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</si>
  <si>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</si>
  <si>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</si>
  <si>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</si>
  <si>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</si>
  <si>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</si>
  <si>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</si>
  <si>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</si>
  <si>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</si>
  <si>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</si>
  <si>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</si>
  <si>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</si>
  <si>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</si>
  <si>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</si>
  <si>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</si>
  <si>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</si>
  <si>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</si>
  <si>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</si>
  <si>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</si>
  <si>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</si>
  <si>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</si>
  <si>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</si>
  <si>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</si>
  <si>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</si>
  <si>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</si>
  <si>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</si>
  <si>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</si>
  <si>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</si>
  <si>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</si>
  <si>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</si>
  <si>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</si>
  <si>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</si>
  <si>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</si>
  <si>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</si>
  <si>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</si>
  <si>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</si>
  <si>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</si>
  <si>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</si>
  <si>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</si>
  <si>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</si>
  <si>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</si>
  <si>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</si>
  <si>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</si>
  <si>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</si>
  <si>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</si>
  <si>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</si>
  <si>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</si>
  <si>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</si>
  <si>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</si>
  <si>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</si>
  <si>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</si>
  <si>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</si>
  <si>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</si>
  <si>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</si>
  <si>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</si>
  <si>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</si>
  <si>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</si>
  <si>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</si>
  <si>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</si>
  <si>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</si>
  <si>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</si>
  <si>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</si>
  <si>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</si>
  <si>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</si>
  <si>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</si>
  <si>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</si>
  <si>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</si>
  <si>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</si>
  <si>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</si>
  <si>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</si>
  <si>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</si>
  <si>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</si>
  <si>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</si>
  <si>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</si>
  <si>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</si>
  <si>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</si>
  <si>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</si>
  <si>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</si>
  <si>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</si>
  <si>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</si>
  <si>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</si>
  <si>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</si>
  <si>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</si>
  <si>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</si>
  <si>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</si>
  <si>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</si>
  <si>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</si>
  <si>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</si>
  <si>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</si>
  <si>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</si>
  <si>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</si>
  <si>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</si>
  <si>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</si>
  <si>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</si>
  <si>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</si>
  <si>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</si>
  <si>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</si>
  <si>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</si>
  <si>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</si>
  <si>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</si>
  <si>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</si>
  <si>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</si>
  <si>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</si>
  <si>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</si>
  <si>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</si>
  <si>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</si>
  <si>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</si>
  <si>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</si>
  <si>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</si>
  <si>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</si>
  <si>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</si>
  <si>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</si>
  <si>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</si>
  <si>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</si>
  <si>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</si>
  <si>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</si>
  <si>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</si>
  <si>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</si>
  <si>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</si>
  <si>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</si>
  <si>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</si>
  <si>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</si>
  <si>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</si>
  <si>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</si>
  <si>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</si>
  <si>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</si>
  <si>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</si>
  <si>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</si>
  <si>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</si>
  <si>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</si>
  <si>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</si>
  <si>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</si>
  <si>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</si>
  <si>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</si>
  <si>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</si>
  <si>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</si>
  <si>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</si>
  <si>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</si>
  <si>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</si>
  <si>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</si>
  <si>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</si>
  <si>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</si>
  <si>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</si>
  <si>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</si>
  <si>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</si>
  <si>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</si>
  <si>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</si>
  <si>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</si>
  <si>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</si>
  <si>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</si>
  <si>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</si>
  <si>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</si>
  <si>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</si>
  <si>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</si>
  <si>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</si>
  <si>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</si>
  <si>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</si>
  <si>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</si>
  <si>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</si>
  <si>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</si>
  <si>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</si>
  <si>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</si>
  <si>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</si>
  <si>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</si>
  <si>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</si>
  <si>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</si>
  <si>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</si>
  <si>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</si>
  <si>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</si>
  <si>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</si>
  <si>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</si>
  <si>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</si>
  <si>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</si>
  <si>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</si>
  <si>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</si>
  <si>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</si>
  <si>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</si>
  <si>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</si>
  <si>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</si>
  <si>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</si>
  <si>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</si>
  <si>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</si>
  <si>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</si>
  <si>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</si>
  <si>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</si>
  <si>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</si>
  <si>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</si>
  <si>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</si>
  <si>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</si>
  <si>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</si>
  <si>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</si>
  <si>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</si>
  <si>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</si>
  <si>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</si>
  <si>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</si>
  <si>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</si>
  <si>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</si>
  <si>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</si>
  <si>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</si>
  <si>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</si>
  <si>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</si>
  <si>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</si>
  <si>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</si>
  <si>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</si>
  <si>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</si>
  <si>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</si>
  <si>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</si>
  <si>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</si>
  <si>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</si>
  <si>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</si>
  <si>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</si>
  <si>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</si>
  <si>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</si>
  <si>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</si>
  <si>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</si>
  <si>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</si>
  <si>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</si>
  <si>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</si>
  <si>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</si>
  <si>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</si>
  <si>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</si>
  <si>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</si>
  <si>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</si>
  <si>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</si>
  <si>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</si>
  <si>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</si>
  <si>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</si>
  <si>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</si>
  <si>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</si>
  <si>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</si>
  <si>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</si>
  <si>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</si>
  <si>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</si>
  <si>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</si>
  <si>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</si>
  <si>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</si>
  <si>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</si>
  <si>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</si>
  <si>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</si>
  <si>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</si>
  <si>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</si>
  <si>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</si>
  <si>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</si>
  <si>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</si>
  <si>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</si>
  <si>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</si>
  <si>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</si>
  <si>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</si>
  <si>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</si>
  <si>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</si>
  <si>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</si>
  <si>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</si>
  <si>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</si>
  <si>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</si>
  <si>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</si>
  <si>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</si>
  <si>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</si>
  <si>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</si>
  <si>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</si>
  <si>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</si>
  <si>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</si>
  <si>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</si>
  <si>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</si>
  <si>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</si>
  <si>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</si>
  <si>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</si>
  <si>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</si>
  <si>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</si>
  <si>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</si>
  <si>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</si>
  <si>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</si>
  <si>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</si>
  <si>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</si>
  <si>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</si>
  <si>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</si>
  <si>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</si>
  <si>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</si>
  <si>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</si>
  <si>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</si>
  <si>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</si>
  <si>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</si>
  <si>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</si>
  <si>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</si>
  <si>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</si>
  <si>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</si>
  <si>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</si>
  <si>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</si>
  <si>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</si>
  <si>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</si>
  <si>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</si>
  <si>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</si>
  <si>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</si>
  <si>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</si>
  <si>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</si>
  <si>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</si>
  <si>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</si>
  <si>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</si>
  <si>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</si>
  <si>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</si>
  <si>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</si>
  <si>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</si>
  <si>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</si>
  <si>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</si>
  <si>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</si>
  <si>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</si>
  <si>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</si>
  <si>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</si>
  <si>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</si>
  <si>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</si>
  <si>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</si>
  <si>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</si>
  <si>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</si>
  <si>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</si>
  <si>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</si>
  <si>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</si>
  <si>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</si>
  <si>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</si>
  <si>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</si>
  <si>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</si>
  <si>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</si>
  <si>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</si>
  <si>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</si>
  <si>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</si>
  <si>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</si>
  <si>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</si>
  <si>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</si>
  <si>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</si>
  <si>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</si>
  <si>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</si>
  <si>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</si>
  <si>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</si>
  <si>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</si>
  <si>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</si>
  <si>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</si>
  <si>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</si>
  <si>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</si>
  <si>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</si>
  <si>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</si>
  <si>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</si>
  <si>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</si>
  <si>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</si>
  <si>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</si>
  <si>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</si>
  <si>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</si>
  <si>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</si>
  <si>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</si>
  <si>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</si>
  <si>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</si>
  <si>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</si>
  <si>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</si>
  <si>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</si>
  <si>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</si>
  <si>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</si>
  <si>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</si>
  <si>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</si>
  <si>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</si>
  <si>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</si>
  <si>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</si>
  <si>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</si>
  <si>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</si>
  <si>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</si>
  <si>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</si>
  <si>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</si>
  <si>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</si>
  <si>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</si>
  <si>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</si>
  <si>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</si>
  <si>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</si>
  <si>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</si>
  <si>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</si>
  <si>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</si>
  <si>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</si>
  <si>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</si>
  <si>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</si>
  <si>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</si>
  <si>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</si>
  <si>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</si>
  <si>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</si>
  <si>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</si>
  <si>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</si>
  <si>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</si>
  <si>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</si>
  <si>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</si>
  <si>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</si>
  <si>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</si>
  <si>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</si>
  <si>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</si>
  <si>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</si>
  <si>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</si>
  <si>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</si>
  <si>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</si>
  <si>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</si>
  <si>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</si>
  <si>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</si>
  <si>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</si>
  <si>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</si>
  <si>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</si>
  <si>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</si>
  <si>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</si>
  <si>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</si>
  <si>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</si>
  <si>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</si>
  <si>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</si>
  <si>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</si>
  <si>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</si>
  <si>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</si>
  <si>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</si>
  <si>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</si>
  <si>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</si>
  <si>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</si>
  <si>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</si>
  <si>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</si>
  <si>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</si>
  <si>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</si>
  <si>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</si>
  <si>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</si>
  <si>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</si>
  <si>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</si>
  <si>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</si>
  <si>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</si>
  <si>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</si>
  <si>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</si>
  <si>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</si>
  <si>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</si>
  <si>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</si>
  <si>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</si>
  <si>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</si>
  <si>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</si>
  <si>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</si>
  <si>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</si>
  <si>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</si>
  <si>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</si>
  <si>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</si>
  <si>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</si>
  <si>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</si>
  <si>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</si>
  <si>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</si>
  <si>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</si>
  <si>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</si>
  <si>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</si>
  <si>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</si>
  <si>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</si>
  <si>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</si>
  <si>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</si>
  <si>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</si>
  <si>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</si>
  <si>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</si>
  <si>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</si>
  <si>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</si>
  <si>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</si>
  <si>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</si>
  <si>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</si>
  <si>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</si>
  <si>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</si>
  <si>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</si>
  <si>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</si>
  <si>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</si>
  <si>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</si>
  <si>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</si>
  <si>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</si>
  <si>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</si>
  <si>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</si>
  <si>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</si>
  <si>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</si>
  <si>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</si>
  <si>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</si>
  <si>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</si>
  <si>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</si>
  <si>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</si>
  <si>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</si>
  <si>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</si>
  <si>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</si>
  <si>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</si>
  <si>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</si>
  <si>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</si>
  <si>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</si>
  <si>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</si>
  <si>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</si>
  <si>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</si>
  <si>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</si>
  <si>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</si>
  <si>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</si>
  <si>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</si>
  <si>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</si>
  <si>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</si>
  <si>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</si>
  <si>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</si>
  <si>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</si>
  <si>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</si>
  <si>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</si>
  <si>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</si>
  <si>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</si>
  <si>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</si>
  <si>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</si>
  <si>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</si>
  <si>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</si>
  <si>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</si>
  <si>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</si>
  <si>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</si>
  <si>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</si>
  <si>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</si>
  <si>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</si>
  <si>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</si>
  <si>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</si>
  <si>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</si>
  <si>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</si>
  <si>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</si>
  <si>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</si>
  <si>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</si>
  <si>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</si>
  <si>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</si>
  <si>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</si>
  <si>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</si>
  <si>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</si>
  <si>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</si>
  <si>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</si>
  <si>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</si>
  <si>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</si>
  <si>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</si>
  <si>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</si>
  <si>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</si>
  <si>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</si>
  <si>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</si>
  <si>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</si>
  <si>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</si>
  <si>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</si>
  <si>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</si>
  <si>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</si>
  <si>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</si>
  <si>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</si>
  <si>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</si>
  <si>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</si>
  <si>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</si>
  <si>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</si>
  <si>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</si>
  <si>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</si>
  <si>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</si>
  <si>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</si>
  <si>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</si>
  <si>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</si>
  <si>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</si>
  <si>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</si>
  <si>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</si>
  <si>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</si>
  <si>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</si>
  <si>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</si>
  <si>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</si>
  <si>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</si>
  <si>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</si>
  <si>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</si>
  <si>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</si>
  <si>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</si>
  <si>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</si>
  <si>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</si>
  <si>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</si>
  <si>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</si>
  <si>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</si>
  <si>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</si>
  <si>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</si>
  <si>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</si>
  <si>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</si>
  <si>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</si>
  <si>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</si>
  <si>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</si>
  <si>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</si>
  <si>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</si>
  <si>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</si>
  <si>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</si>
  <si>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</si>
  <si>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</si>
  <si>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</si>
  <si>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</si>
  <si>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</si>
  <si>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</si>
  <si>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</si>
  <si>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</si>
  <si>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</si>
  <si>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</si>
  <si>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</si>
  <si>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</si>
  <si>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</si>
  <si>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</si>
  <si>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</si>
  <si>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</si>
  <si>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</si>
  <si>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</si>
  <si>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</si>
  <si>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</si>
  <si>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</si>
  <si>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</si>
  <si>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</si>
  <si>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</si>
  <si>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</si>
  <si>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</si>
  <si>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</si>
  <si>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</si>
  <si>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</si>
  <si>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</si>
  <si>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</si>
  <si>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</si>
  <si>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</si>
  <si>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</si>
  <si>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</si>
  <si>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</si>
  <si>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</si>
  <si>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</si>
  <si>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</si>
  <si>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</si>
  <si>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</si>
  <si>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</si>
  <si>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</si>
  <si>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</si>
  <si>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</si>
  <si>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</si>
  <si>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</si>
  <si>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</si>
  <si>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</si>
  <si>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</si>
  <si>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</si>
  <si>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</si>
  <si>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</si>
  <si>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</si>
  <si>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</si>
  <si>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</si>
  <si>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</si>
  <si>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</si>
  <si>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</si>
  <si>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</si>
  <si>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</si>
  <si>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</si>
  <si>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</si>
  <si>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</si>
  <si>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</si>
  <si>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</si>
  <si>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</si>
  <si>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</si>
  <si>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</si>
  <si>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</si>
  <si>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</si>
  <si>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</si>
  <si>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</si>
  <si>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</si>
  <si>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</si>
  <si>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</si>
  <si>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</si>
  <si>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</si>
  <si>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</si>
  <si>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</si>
  <si>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</si>
  <si>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</si>
  <si>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</si>
  <si>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</si>
  <si>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</si>
  <si>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</si>
  <si>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</si>
  <si>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</si>
  <si>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</si>
  <si>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</si>
  <si>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</si>
  <si>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</si>
  <si>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</si>
  <si>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</si>
  <si>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</si>
  <si>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</si>
  <si>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</si>
  <si>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</si>
  <si>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</si>
  <si>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</si>
  <si>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</si>
  <si>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</si>
  <si>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</si>
  <si>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</si>
  <si>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</si>
  <si>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</si>
  <si>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</si>
  <si>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</si>
  <si>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</si>
  <si>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</si>
  <si>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</si>
  <si>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</si>
  <si>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</si>
  <si>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</si>
  <si>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</si>
  <si>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</si>
  <si>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</si>
  <si>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</si>
  <si>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</si>
  <si>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</si>
  <si>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</si>
  <si>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</si>
  <si>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</si>
  <si>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</si>
  <si>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</si>
  <si>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</si>
  <si>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</si>
  <si>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</si>
  <si>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</si>
  <si>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</si>
  <si>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</si>
  <si>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</si>
  <si>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</si>
  <si>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</si>
  <si>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</si>
  <si>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</si>
  <si>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</si>
  <si>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</si>
  <si>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</si>
  <si>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</si>
  <si>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</si>
  <si>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</si>
  <si>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</si>
  <si>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</si>
  <si>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</si>
  <si>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</si>
  <si>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</si>
  <si>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</si>
  <si>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</si>
  <si>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</si>
  <si>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</si>
  <si>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</si>
  <si>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</si>
  <si>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</si>
  <si>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4:21</t>
  </si>
  <si>
    <t>8:58</t>
  </si>
  <si>
    <t>7:56</t>
  </si>
  <si>
    <t>7:33</t>
  </si>
  <si>
    <t>DJAMEL SOUDANI</t>
  </si>
  <si>
    <t>BASTIEN BONNETON</t>
  </si>
  <si>
    <t>CYRIL LONGELIN</t>
  </si>
  <si>
    <t>SANDRA PRINCELLE</t>
  </si>
  <si>
    <t>PATRICK JOLIVET</t>
  </si>
  <si>
    <t>AXEL QUENEY</t>
  </si>
  <si>
    <t>HECTOR GUILLEN</t>
  </si>
  <si>
    <t>Very good job! Keep it up!</t>
  </si>
  <si>
    <t>C:\Users\hector.guillen\EUROLEAGUE\EB STATS - Documents\General\SEASON 2025-26\Reports\Euroleague</t>
  </si>
  <si>
    <t>C:\Users\hector.guillen\EUROLEAGUE\EB STATS - Documents\General\SEASON 2025-26\Reports\Euroleague\PDF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</si>
</sst>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05_050_PRS_HTA_E2025</v>
      </c>
      <c r="G1" s="5"/>
      <c r="H1" s="5"/>
      <c r="I1" s="5"/>
      <c r="J1" s="8" t="s">
        <v>707</v>
      </c>
      <c r="K1" s="121" t="s">
        <v>761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50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45947.864583333336</v>
      </c>
      <c r="C3" s="157"/>
      <c r="D3" s="39">
        <v>742</v>
      </c>
      <c r="E3" s="29"/>
      <c r="F3" s="26">
        <f>SUBTOTAL(3,I17:I106)</f>
        <v>4</v>
      </c>
      <c r="G3" s="27">
        <f>IF(OR(D3="",D3=0),"",F3/D3)</f>
        <v>5.3908355795148251E-3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Paris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742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5.3908355795148251E-3</v>
      </c>
      <c r="S4" s="61">
        <f>SUM(I13:M13)</f>
        <v>0</v>
      </c>
      <c r="T4" s="78"/>
      <c r="U4" s="61">
        <f>AC18</f>
        <v>4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0.53908355795148255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753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754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2.5390835579514826</v>
      </c>
      <c r="N7" s="58"/>
      <c r="O7" s="2"/>
      <c r="P7" s="2"/>
      <c r="Q7" s="86">
        <f>SUM(R5,S5,AC16)</f>
        <v>2.5390835579514826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755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2.5390835579514826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756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757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758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50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50</v>
      </c>
      <c r="D17" s="32" t="s">
        <v>749</v>
      </c>
      <c r="E17" s="33">
        <v>1</v>
      </c>
      <c r="F17" s="36">
        <v>15</v>
      </c>
      <c r="G17" s="36">
        <v>15</v>
      </c>
      <c r="H17" s="38" t="str">
        <f>IF(I17="","",$I$14)</f>
        <v>SCOUTING</v>
      </c>
      <c r="I17" s="34">
        <v>101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50</v>
      </c>
      <c r="D18" s="32" t="s">
        <v>750</v>
      </c>
      <c r="E18" s="33">
        <v>2</v>
      </c>
      <c r="F18" s="36">
        <v>27</v>
      </c>
      <c r="G18" s="36">
        <v>29</v>
      </c>
      <c r="H18" s="38" t="str">
        <f t="shared" ref="H18:H81" si="8">IF(I18="","",$I$14)</f>
        <v>SCOUTING</v>
      </c>
      <c r="I18" s="34">
        <v>197</v>
      </c>
      <c r="J18" s="13" t="s">
        <v>4</v>
      </c>
      <c r="K18" s="13" t="s">
        <v>63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50</v>
      </c>
      <c r="D19" s="32" t="s">
        <v>751</v>
      </c>
      <c r="E19" s="33">
        <v>2</v>
      </c>
      <c r="F19" s="36">
        <v>29</v>
      </c>
      <c r="G19" s="36">
        <v>31</v>
      </c>
      <c r="H19" s="38" t="str">
        <f t="shared" si="8"/>
        <v>SCOUTING</v>
      </c>
      <c r="I19" s="34">
        <v>217</v>
      </c>
      <c r="J19" s="13" t="s">
        <v>4</v>
      </c>
      <c r="K19" s="13" t="s">
        <v>62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50</v>
      </c>
      <c r="D20" s="32" t="s">
        <v>752</v>
      </c>
      <c r="E20" s="33">
        <v>4</v>
      </c>
      <c r="F20" s="36">
        <v>70</v>
      </c>
      <c r="G20" s="36">
        <v>72</v>
      </c>
      <c r="H20" s="38" t="str">
        <f t="shared" si="8"/>
        <v>SCOUTING</v>
      </c>
      <c r="I20" s="34">
        <v>599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REPORT_E2025050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"E2025050"</v>
      </c>
      <c r="F3" s="45" t="str">
        <f t="shared" ref="F3:F16" si="0">""""&amp;B3&amp;"""" &amp; " : " &amp;C3&amp;","</f>
        <v>"name" : "E2025050",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"E050"</v>
      </c>
      <c r="F4" s="45" t="str">
        <f t="shared" si="0"/>
        <v>"cod" : "E050",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050</v>
      </c>
      <c r="F6" s="45" t="str">
        <f t="shared" si="0"/>
        <v>"number" : 050,</v>
      </c>
    </row>
    <row r="7" spans="2:6" x14ac:dyDescent="0.25">
      <c r="B7" s="43" t="s">
        <v>116</v>
      </c>
      <c r="C7" s="43" t="str">
        <f ca="1">""""&amp;TEXT('SCOUT &amp; LOGISTICS'!B3,"dd/mm/aaaa")&amp;""""</f>
        <v>"17/10/Friday"</v>
      </c>
      <c r="F7" s="45" t="str">
        <f t="shared" ca="1" si="0"/>
        <v>"date" : "17/10/Friday",</v>
      </c>
    </row>
    <row r="8" spans="2:6" x14ac:dyDescent="0.25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"DJAMEL SOUDANI"</v>
      </c>
      <c r="F10" s="45" t="str">
        <f t="shared" si="0"/>
        <v>"Data_entry" : "DJAMEL SOUDANI",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"BASTIEN BONNETON"</v>
      </c>
      <c r="F11" s="45" t="str">
        <f t="shared" si="0"/>
        <v>"Caller_1" : "BASTIEN BONNETON",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"CYRIL LONGELIN"</v>
      </c>
      <c r="F12" s="45" t="str">
        <f t="shared" si="0"/>
        <v>"Caller_2" : "CYRIL LONGELIN",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"SANDRA PRINCELLE"</v>
      </c>
      <c r="F13" s="45" t="str">
        <f t="shared" si="0"/>
        <v>"Timerkeeper" : "SANDRA PRINCELLE",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"PATRICK JOLIVET"</v>
      </c>
      <c r="F14" s="45" t="str">
        <f t="shared" si="0"/>
        <v>"Shotclock" : "PATRICK JOLIVET",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"AXEL QUENEY"</v>
      </c>
      <c r="F15" s="45" t="str">
        <f t="shared" si="0"/>
        <v>"IRS" : "AXEL QUENEY",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742</v>
      </c>
      <c r="F25" s="45" t="str">
        <f t="shared" ref="F25:F48" si="1">""""&amp;C25&amp;"""" &amp; " : " &amp;D25&amp;","</f>
        <v>"total_actions" : 742,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05_050_PRS_HTA_E2025</v>
      </c>
      <c r="F52" s="45" t="str">
        <f>""""&amp;B52&amp;"""" &amp; " : " &amp;C52</f>
        <v>"result" : 05_050_PRS_HTA_E2025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E050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17/10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Paris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DJAMEL SOUDANI</v>
      </c>
      <c r="C8" s="206"/>
      <c r="D8" s="206"/>
      <c r="E8" s="206"/>
      <c r="F8" s="206"/>
      <c r="G8" s="206" t="str">
        <f>IF('SCOUT &amp; LOGISTICS'!D7="","",'SCOUT &amp; LOGISTICS'!D7)</f>
        <v>BASTIEN BONNETON</v>
      </c>
      <c r="H8" s="206"/>
      <c r="I8" s="206"/>
      <c r="J8" s="206"/>
      <c r="K8" s="206"/>
      <c r="L8" s="206" t="str">
        <f>IF('SCOUT &amp; LOGISTICS'!D8="","",'SCOUT &amp; LOGISTICS'!D8)</f>
        <v>CYRIL LONGELIN</v>
      </c>
      <c r="M8" s="206"/>
      <c r="N8" s="206"/>
      <c r="O8" s="206"/>
      <c r="P8" s="206"/>
      <c r="Q8" s="206" t="str">
        <f>IF('SCOUT &amp; LOGISTICS'!D9="","",'SCOUT &amp; LOGISTICS'!D9)</f>
        <v>SANDRA PRINCELLE</v>
      </c>
      <c r="R8" s="206"/>
      <c r="S8" s="206"/>
      <c r="T8" s="206"/>
      <c r="U8" s="206"/>
      <c r="V8" s="206" t="str">
        <f>IF('SCOUT &amp; LOGISTICS'!D10="","",'SCOUT &amp; LOGISTICS'!D10)</f>
        <v>PATRICK JOLIVET</v>
      </c>
      <c r="W8" s="206"/>
      <c r="X8" s="206"/>
      <c r="Y8" s="206"/>
      <c r="Z8" s="206"/>
      <c r="AA8" s="206" t="str">
        <f>IF('SCOUT &amp; LOGISTICS'!D11="","",'SCOUT &amp; LOGISTICS'!D11)</f>
        <v>AXEL QUENEY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742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5.3908355795148251E-3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2.5390835579514826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8D0605-FFF3-4595-9DDB-49F4A83C10C9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2025-10-17T20:59:00Z</cp:lastPrinted>
  <dcterms:created xsi:type="dcterms:W3CDTF">2023-09-19T19:50:35Z</dcterms:created>
  <dcterms:modified xsi:type="dcterms:W3CDTF">2025-10-17T20:59:02Z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