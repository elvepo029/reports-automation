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97552572-C058-4B97-B90D-A852321A296E}" xr6:coauthVersionLast="47" xr6:coauthVersionMax="47" xr10:uidLastSave="{00000000-0000-0000-0000-000000000000}"/>
  <bookViews>
    <workbookView xWindow="-5115" yWindow="-14655" windowWidth="18495" windowHeight="1510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<sst xmlns="http://schemas.openxmlformats.org/spreadsheetml/2006/main" count="3248" uniqueCount="757">
  <si>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</si>
  <si>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</si>
  <si>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</si>
  <si>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</si>
  <si>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</si>
  <si>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</si>
  <si>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</si>
  <si>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</si>
  <si>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</si>
  <si>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</si>
  <si>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</si>
  <si>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</si>
  <si>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</si>
  <si>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</si>
  <si>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</si>
  <si>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</si>
  <si>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</si>
  <si>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</si>
  <si>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</si>
  <si>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</si>
  <si>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</si>
  <si>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</si>
  <si>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</si>
  <si>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</si>
  <si>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</si>
  <si>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</si>
  <si>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</si>
  <si>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</si>
  <si>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</si>
  <si>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</si>
  <si>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</si>
  <si>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</si>
  <si>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</si>
  <si>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</si>
  <si>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</si>
  <si>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</si>
  <si>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</si>
  <si>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</si>
  <si>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</si>
  <si>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</si>
  <si>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</si>
  <si>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</si>
  <si>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</si>
  <si>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</si>
  <si>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</si>
  <si>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</si>
  <si>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</si>
  <si>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</si>
  <si>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</si>
  <si>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</si>
  <si>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</si>
  <si>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</si>
  <si>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</si>
  <si>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</si>
  <si>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</si>
  <si>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</si>
  <si>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</si>
  <si>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</si>
  <si>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</si>
  <si>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</si>
  <si>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</si>
  <si>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</si>
  <si>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</si>
  <si>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</si>
  <si>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</si>
  <si>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</si>
  <si>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</si>
  <si>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</si>
  <si>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</si>
  <si>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</si>
  <si>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</si>
  <si>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</si>
  <si>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</si>
  <si>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</si>
  <si>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</si>
  <si>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</si>
  <si>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</si>
  <si>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</si>
  <si>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</si>
  <si>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</si>
  <si>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</si>
  <si>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</si>
  <si>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</si>
  <si>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</si>
  <si>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</si>
  <si>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</si>
  <si>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</si>
  <si>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</si>
  <si>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</si>
  <si>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</si>
  <si>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</si>
  <si>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</si>
  <si>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</si>
  <si>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</si>
  <si>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</si>
  <si>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</si>
  <si>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</si>
  <si>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</si>
  <si>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</si>
  <si>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</si>
  <si>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</si>
  <si>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</si>
  <si>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</si>
  <si>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</si>
  <si>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</si>
  <si>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</si>
  <si>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</si>
  <si>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</si>
  <si>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</si>
  <si>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</si>
  <si>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</si>
  <si>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</si>
  <si>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</si>
  <si>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</si>
  <si>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</si>
  <si>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</si>
  <si>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</si>
  <si>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</si>
  <si>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</si>
  <si>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</si>
  <si>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</si>
  <si>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</si>
  <si>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</si>
  <si>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</si>
  <si>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</si>
  <si>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</si>
  <si>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</si>
  <si>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</si>
  <si>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</si>
  <si>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</si>
  <si>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</si>
  <si>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</si>
  <si>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</si>
  <si>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</si>
  <si>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</si>
  <si>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</si>
  <si>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</si>
  <si>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</si>
  <si>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</si>
  <si>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</si>
  <si>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</si>
  <si>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</si>
  <si>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</si>
  <si>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</si>
  <si>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</si>
  <si>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</si>
  <si>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</si>
  <si>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</si>
  <si>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</si>
  <si>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</si>
  <si>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</si>
  <si>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</si>
  <si>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</si>
  <si>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</si>
  <si>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</si>
  <si>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</si>
  <si>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</si>
  <si>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</si>
  <si>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</si>
  <si>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</si>
  <si>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</si>
  <si>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</si>
  <si>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</si>
  <si>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</si>
  <si>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</si>
  <si>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</si>
  <si>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</si>
  <si>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</si>
  <si>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</si>
  <si>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</si>
  <si>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</si>
  <si>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</si>
  <si>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</si>
  <si>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</si>
  <si>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</si>
  <si>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</si>
  <si>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</si>
  <si>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</si>
  <si>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</si>
  <si>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</si>
  <si>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</si>
  <si>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</si>
  <si>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</si>
  <si>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</si>
  <si>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</si>
  <si>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</si>
  <si>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</si>
  <si>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</si>
  <si>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</si>
  <si>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</si>
  <si>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</si>
  <si>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</si>
  <si>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</si>
  <si>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</si>
  <si>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</si>
  <si>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</si>
  <si>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</si>
  <si>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</si>
  <si>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</si>
  <si>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</si>
  <si>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</si>
  <si>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</si>
  <si>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</si>
  <si>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</si>
  <si>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</si>
  <si>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</si>
  <si>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</si>
  <si>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</si>
  <si>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</si>
  <si>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</si>
  <si>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</si>
  <si>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</si>
  <si>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</si>
  <si>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</si>
  <si>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</si>
  <si>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</si>
  <si>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</si>
  <si>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</si>
  <si>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</si>
  <si>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</si>
  <si>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</si>
  <si>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</si>
  <si>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</si>
  <si>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</si>
  <si>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</si>
  <si>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</si>
  <si>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</si>
  <si>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</si>
  <si>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</si>
  <si>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</si>
  <si>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</si>
  <si>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</si>
  <si>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</si>
  <si>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</si>
  <si>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</si>
  <si>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</si>
  <si>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</si>
  <si>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</si>
  <si>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</si>
  <si>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</si>
  <si>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</si>
  <si>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</si>
  <si>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</si>
  <si>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</si>
  <si>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</si>
  <si>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</si>
  <si>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</si>
  <si>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</si>
  <si>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</si>
  <si>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</si>
  <si>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</si>
  <si>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</si>
  <si>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</si>
  <si>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</si>
  <si>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</si>
  <si>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</si>
  <si>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</si>
  <si>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</si>
  <si>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</si>
  <si>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</si>
  <si>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</si>
  <si>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</si>
  <si>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</si>
  <si>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</si>
  <si>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</si>
  <si>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</si>
  <si>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</si>
  <si>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</si>
  <si>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</si>
  <si>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</si>
  <si>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</si>
  <si>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</si>
  <si>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</si>
  <si>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</si>
  <si>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</si>
  <si>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</si>
  <si>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</si>
  <si>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</si>
  <si>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</si>
  <si>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</si>
  <si>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</si>
  <si>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</si>
  <si>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</si>
  <si>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</si>
  <si>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</si>
  <si>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</si>
  <si>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</si>
  <si>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</si>
  <si>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</si>
  <si>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</si>
  <si>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</si>
  <si>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</si>
  <si>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</si>
  <si>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</si>
  <si>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</si>
  <si>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</si>
  <si>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</si>
  <si>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</si>
  <si>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</si>
  <si>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</si>
  <si>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</si>
  <si>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</si>
  <si>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</si>
  <si>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</si>
  <si>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</si>
  <si>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</si>
  <si>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</si>
  <si>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</si>
  <si>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</si>
  <si>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</si>
  <si>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</si>
  <si>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</si>
  <si>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</si>
  <si>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</si>
  <si>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</si>
  <si>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</si>
  <si>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</si>
  <si>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</si>
  <si>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</si>
  <si>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</si>
  <si>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</si>
  <si>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</si>
  <si>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</si>
  <si>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</si>
  <si>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</si>
  <si>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</si>
  <si>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</si>
  <si>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</si>
  <si>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</si>
  <si>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</si>
  <si>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</si>
  <si>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</si>
  <si>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</si>
  <si>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</si>
  <si>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</si>
  <si>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</si>
  <si>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</si>
  <si>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</si>
  <si>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</si>
  <si>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</si>
  <si>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</si>
  <si>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</si>
  <si>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</si>
  <si>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</si>
  <si>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</si>
  <si>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</si>
  <si>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</si>
  <si>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</si>
  <si>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</si>
  <si>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</si>
  <si>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</si>
  <si>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</si>
  <si>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</si>
  <si>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</si>
  <si>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</si>
  <si>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</si>
  <si>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</si>
  <si>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</si>
  <si>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</si>
  <si>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</si>
  <si>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</si>
  <si>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</si>
  <si>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</si>
  <si>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</si>
  <si>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</si>
  <si>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</si>
  <si>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</si>
  <si>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</si>
  <si>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</si>
  <si>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</si>
  <si>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</si>
  <si>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</si>
  <si>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</si>
  <si>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</si>
  <si>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</si>
  <si>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</si>
  <si>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</si>
  <si>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</si>
  <si>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</si>
  <si>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</si>
  <si>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</si>
  <si>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</si>
  <si>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</si>
  <si>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</si>
  <si>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</si>
  <si>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</si>
  <si>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</si>
  <si>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</si>
  <si>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</si>
  <si>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</si>
  <si>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</si>
  <si>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</si>
  <si>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</si>
  <si>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</si>
  <si>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</si>
  <si>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</si>
  <si>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</si>
  <si>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</si>
  <si>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</si>
  <si>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</si>
  <si>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</si>
  <si>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</si>
  <si>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</si>
  <si>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</si>
  <si>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</si>
  <si>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</si>
  <si>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</si>
  <si>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</si>
  <si>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</si>
  <si>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</si>
  <si>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</si>
  <si>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</si>
  <si>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</si>
  <si>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</si>
  <si>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</si>
  <si>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</si>
  <si>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</si>
  <si>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</si>
  <si>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</si>
  <si>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</si>
  <si>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</si>
  <si>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</si>
  <si>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</si>
  <si>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</si>
  <si>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</si>
  <si>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</si>
  <si>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</si>
  <si>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</si>
  <si>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</si>
  <si>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</si>
  <si>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</si>
  <si>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</si>
  <si>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</si>
  <si>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</si>
  <si>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</si>
  <si>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</si>
  <si>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</si>
  <si>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</si>
  <si>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</si>
  <si>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</si>
  <si>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</si>
  <si>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</si>
  <si>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</si>
  <si>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</si>
  <si>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</si>
  <si>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</si>
  <si>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</si>
  <si>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</si>
  <si>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</si>
  <si>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</si>
  <si>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</si>
  <si>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</si>
  <si>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</si>
  <si>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</si>
  <si>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</si>
  <si>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</si>
  <si>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</si>
  <si>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</si>
  <si>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</si>
  <si>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</si>
  <si>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</si>
  <si>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</si>
  <si>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</si>
  <si>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</si>
  <si>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</si>
  <si>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</si>
  <si>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</si>
  <si>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</si>
  <si>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</si>
  <si>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</si>
  <si>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</si>
  <si>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</si>
  <si>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</si>
  <si>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</si>
  <si>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</si>
  <si>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</si>
  <si>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</si>
  <si>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</si>
  <si>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</si>
  <si>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</si>
  <si>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</si>
  <si>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</si>
  <si>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</si>
  <si>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</si>
  <si>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</si>
  <si>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</si>
  <si>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</si>
  <si>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</si>
  <si>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</si>
  <si>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</si>
  <si>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</si>
  <si>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</si>
  <si>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</si>
  <si>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</si>
  <si>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</si>
  <si>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</si>
  <si>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</si>
  <si>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</si>
  <si>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</si>
  <si>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</si>
  <si>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</si>
  <si>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</si>
  <si>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</si>
  <si>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</si>
  <si>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</si>
  <si>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</si>
  <si>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</si>
  <si>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</si>
  <si>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</si>
  <si>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</si>
  <si>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</si>
  <si>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</si>
  <si>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</si>
  <si>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</si>
  <si>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</si>
  <si>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</si>
  <si>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</si>
  <si>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</si>
  <si>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</si>
  <si>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</si>
  <si>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</si>
  <si>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</si>
  <si>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</si>
  <si>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</si>
  <si>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</si>
  <si>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</si>
  <si>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</si>
  <si>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</si>
  <si>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</si>
  <si>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</si>
  <si>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</si>
  <si>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</si>
  <si>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</si>
  <si>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</si>
  <si>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</si>
  <si>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</si>
  <si>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</si>
  <si>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</si>
  <si>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</si>
  <si>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</si>
  <si>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</si>
  <si>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</si>
  <si>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</si>
  <si>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</si>
  <si>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</si>
  <si>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</si>
  <si>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</si>
  <si>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</si>
  <si>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</si>
  <si>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</si>
  <si>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</si>
  <si>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</si>
  <si>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</si>
  <si>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</si>
  <si>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</si>
  <si>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</si>
  <si>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</si>
  <si>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</si>
  <si>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</si>
  <si>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</si>
  <si>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</si>
  <si>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</si>
  <si>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</si>
  <si>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</si>
  <si>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</si>
  <si>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</si>
  <si>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</si>
  <si>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</si>
  <si>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</si>
  <si>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</si>
  <si>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</si>
  <si>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</si>
  <si>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</si>
  <si>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</si>
  <si>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</si>
  <si>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</si>
  <si>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</si>
  <si>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</si>
  <si>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</si>
  <si>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</si>
  <si>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</si>
  <si>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</si>
  <si>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</si>
  <si>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</si>
  <si>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</si>
  <si>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</si>
  <si>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</si>
  <si>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</si>
  <si>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</si>
  <si>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</si>
  <si>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</si>
  <si>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</si>
  <si>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</si>
  <si>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</si>
  <si>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</si>
  <si>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</si>
  <si>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</si>
  <si>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</si>
  <si>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</si>
  <si>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</si>
  <si>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</si>
  <si>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</si>
  <si>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</si>
  <si>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</si>
  <si>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</si>
  <si>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</si>
  <si>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</si>
  <si>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</si>
  <si>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</si>
  <si>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</si>
  <si>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</si>
  <si>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</si>
  <si>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</si>
  <si>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</si>
  <si>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</si>
  <si>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</si>
  <si>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</si>
  <si>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</si>
  <si>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</si>
  <si>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</si>
  <si>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</si>
  <si>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</si>
  <si>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</si>
  <si>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</si>
  <si>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</si>
  <si>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</si>
  <si>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</si>
  <si>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</si>
  <si>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</si>
  <si>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</si>
  <si>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</si>
  <si>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</si>
  <si>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</si>
  <si>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</si>
  <si>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</si>
  <si>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</si>
  <si>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</si>
  <si>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</si>
  <si>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</si>
  <si>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</si>
  <si>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</si>
  <si>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</si>
  <si>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</si>
  <si>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</si>
  <si>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</si>
  <si>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</si>
  <si>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</si>
  <si>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</si>
  <si>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</si>
  <si>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</si>
  <si>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</si>
  <si>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</si>
  <si>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</si>
  <si>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</si>
  <si>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</si>
  <si>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</si>
  <si>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</si>
  <si>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</si>
  <si>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</si>
  <si>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</si>
  <si>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</si>
  <si>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</si>
  <si>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</si>
  <si>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</si>
  <si>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</si>
  <si>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</si>
  <si>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</si>
  <si>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</si>
  <si>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</si>
  <si>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</si>
  <si>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</si>
  <si>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</si>
  <si>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</si>
  <si>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</si>
  <si>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</si>
  <si>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</si>
  <si>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</si>
  <si>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</si>
  <si>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</si>
  <si>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</si>
  <si>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</si>
  <si>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</si>
  <si>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</si>
  <si>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</si>
  <si>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</si>
  <si>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</si>
  <si>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</si>
  <si>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</si>
  <si>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</si>
  <si>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</si>
  <si>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</si>
  <si>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</si>
  <si>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</si>
  <si>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</si>
  <si>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</si>
  <si>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</si>
  <si>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</si>
  <si>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</si>
  <si>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</si>
  <si>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</si>
  <si>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</si>
  <si>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</si>
  <si>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</si>
  <si>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</si>
  <si>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</si>
  <si>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</si>
  <si>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</si>
  <si>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</si>
  <si>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</si>
  <si>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</si>
  <si>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</si>
  <si>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</si>
  <si>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</si>
  <si>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</si>
  <si>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</si>
  <si>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</si>
  <si>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</si>
  <si>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</si>
  <si>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</si>
  <si>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</si>
  <si>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</si>
  <si>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</si>
  <si>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</si>
  <si>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</si>
  <si>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</si>
  <si>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</si>
  <si>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</si>
  <si>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</si>
  <si>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</si>
  <si>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</si>
  <si>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</si>
  <si>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</si>
  <si>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</si>
  <si>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</si>
  <si>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</si>
  <si>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</si>
  <si>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</si>
  <si>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</si>
  <si>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</si>
  <si>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</si>
  <si>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</si>
  <si>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</si>
  <si>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</si>
  <si>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</si>
  <si>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</si>
  <si>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</si>
  <si>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</si>
  <si>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</si>
  <si>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</si>
  <si>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</si>
  <si>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MARIO ENJUANES</t>
  </si>
  <si>
    <t>KRANAIOTIS, KONSTANTINOS</t>
  </si>
  <si>
    <t>SAMARA, ELISAVET</t>
  </si>
  <si>
    <t>VOTSARIS, VASILEIOS</t>
  </si>
  <si>
    <t>ZIKTA, NATASA</t>
  </si>
  <si>
    <t>IAKOVOS, RAMPANTI</t>
  </si>
  <si>
    <t>00:37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</si>
</sst>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06_051_ARI_WRO_U2025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51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45966.833333333336</v>
      </c>
      <c r="C3" s="178"/>
      <c r="D3" s="39">
        <v>664</v>
      </c>
      <c r="E3" s="29"/>
      <c r="F3" s="26">
        <f>SUBTOTAL(3,I17:I106)</f>
        <v>1</v>
      </c>
      <c r="G3" s="27">
        <f>IF(OR(D3="",D3=0),"",F3/D3)</f>
        <v>1.5060240963855422E-3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Aris Thessaloniki Betsson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ARI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1.5060240963855422E-3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Slask Wroclaw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WRO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0.15060240963855423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1.1506024096385543</v>
      </c>
      <c r="N7" s="58"/>
      <c r="O7" s="2"/>
      <c r="P7" s="2"/>
      <c r="Q7" s="86">
        <f>SUM(R5,S5,AC16)</f>
        <v>1.1506024096385543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1.1506024096385543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51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51</v>
      </c>
      <c r="D17" s="32" t="s">
        <v>756</v>
      </c>
      <c r="E17" s="33">
        <v>3</v>
      </c>
      <c r="F17" s="36">
        <v>67</v>
      </c>
      <c r="G17" s="36">
        <v>42</v>
      </c>
      <c r="H17" s="38" t="str">
        <f>IF(I17="","",$I$14)</f>
        <v>SCOUTING</v>
      </c>
      <c r="I17" s="34">
        <v>480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REPORT_U2025051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"U2025051"</v>
      </c>
      <c r="F3" s="45" t="str">
        <f t="shared" ref="F3:F16" si="0">""""&amp;B3&amp;"""" &amp; " : " &amp;C3&amp;","</f>
        <v>"name" : "U2025051",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"U051"</v>
      </c>
      <c r="F4" s="45" t="str">
        <f t="shared" si="0"/>
        <v>"cod" : "U051",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051</v>
      </c>
      <c r="F6" s="45" t="str">
        <f t="shared" si="0"/>
        <v>"number" : 051,</v>
      </c>
    </row>
    <row r="7" spans="2:6" x14ac:dyDescent="0.2">
      <c r="B7" s="43" t="s">
        <v>116</v>
      </c>
      <c r="C7" s="43" t="str">
        <f ca="1">""""&amp;TEXT('SCOUT &amp; LOGISTICS'!B3,"dd/mm/aaaa")&amp;""""</f>
        <v>"05/11/Wednesday"</v>
      </c>
      <c r="F7" s="45" t="str">
        <f t="shared" ca="1" si="0"/>
        <v>"date" : "05/11/Wednesday",</v>
      </c>
    </row>
    <row r="8" spans="2:6" x14ac:dyDescent="0.2">
      <c r="B8" s="43" t="s">
        <v>125</v>
      </c>
      <c r="C8" s="43" t="str">
        <f>""""&amp;'SCOUT &amp; LOGISTICS'!D4 &amp;""""</f>
        <v>"Aris Thessaloniki Betsson"</v>
      </c>
      <c r="F8" s="45" t="str">
        <f t="shared" si="0"/>
        <v>"home_team" : "Aris Thessaloniki Betsson",</v>
      </c>
    </row>
    <row r="9" spans="2:6" x14ac:dyDescent="0.2">
      <c r="B9" s="43" t="s">
        <v>126</v>
      </c>
      <c r="C9" s="43" t="str">
        <f>""""&amp;'SCOUT &amp; LOGISTICS'!D5&amp;""""</f>
        <v>"Slask Wroclaw"</v>
      </c>
      <c r="F9" s="45" t="str">
        <f t="shared" si="0"/>
        <v>"away_team" : "Slask Wroclaw",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"KRANAIOTIS, KONSTANTINOS"</v>
      </c>
      <c r="F10" s="45" t="str">
        <f t="shared" si="0"/>
        <v>"Data_entry" : "KRANAIOTIS, KONSTANTINOS",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"SAMARA, ELISAVET"</v>
      </c>
      <c r="F11" s="45" t="str">
        <f t="shared" si="0"/>
        <v>"Caller_1" : "SAMARA, ELISAVET",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"VOTSARIS, VASILEIOS"</v>
      </c>
      <c r="F12" s="45" t="str">
        <f t="shared" si="0"/>
        <v>"Caller_2" : "VOTSARIS, VASILEIOS",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"ZIKTA, NATASA"</v>
      </c>
      <c r="F13" s="45" t="str">
        <f t="shared" si="0"/>
        <v>"Timerkeeper" : "ZIKTA, NATASA",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"IAKOVOS, RAMPANTI"</v>
      </c>
      <c r="F14" s="45" t="str">
        <f t="shared" si="0"/>
        <v>"Shotclock" : "IAKOVOS, RAMPANTI",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664</v>
      </c>
      <c r="F25" s="45" t="str">
        <f t="shared" ref="F25:F48" si="1">""""&amp;C25&amp;"""" &amp; " : " &amp;D25&amp;","</f>
        <v>"total_actions" : 664,</v>
      </c>
    </row>
    <row r="26" spans="2:6" x14ac:dyDescent="0.2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06_051_ARI_WRO_U2025</v>
      </c>
      <c r="F52" s="45" t="str">
        <f>""""&amp;B52&amp;"""" &amp; " : " &amp;C52</f>
        <v>"result" : 06_051_ARI_WRO_U2025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U051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05/11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Aris Thessaloniki Betsson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Slask Wroclaw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KRANAIOTIS, KONSTANTINOS</v>
      </c>
      <c r="C8" s="201"/>
      <c r="D8" s="201"/>
      <c r="E8" s="201"/>
      <c r="F8" s="201"/>
      <c r="G8" s="201" t="str">
        <f>IF('SCOUT &amp; LOGISTICS'!D7="","",'SCOUT &amp; LOGISTICS'!D7)</f>
        <v>SAMARA, ELISAVET</v>
      </c>
      <c r="H8" s="201"/>
      <c r="I8" s="201"/>
      <c r="J8" s="201"/>
      <c r="K8" s="201"/>
      <c r="L8" s="201" t="str">
        <f>IF('SCOUT &amp; LOGISTICS'!D8="","",'SCOUT &amp; LOGISTICS'!D8)</f>
        <v>VOTSARIS, VASILEIOS</v>
      </c>
      <c r="M8" s="201"/>
      <c r="N8" s="201"/>
      <c r="O8" s="201"/>
      <c r="P8" s="201"/>
      <c r="Q8" s="201" t="str">
        <f>IF('SCOUT &amp; LOGISTICS'!D9="","",'SCOUT &amp; LOGISTICS'!D9)</f>
        <v>ZIKTA, NATASA</v>
      </c>
      <c r="R8" s="201"/>
      <c r="S8" s="201"/>
      <c r="T8" s="201"/>
      <c r="U8" s="201"/>
      <c r="V8" s="201" t="str">
        <f>IF('SCOUT &amp; LOGISTICS'!D10="","",'SCOUT &amp; LOGISTICS'!D10)</f>
        <v>IAKOVOS, RAMPANTI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664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1.5060240963855422E-3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1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1.1506024096385543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CD4AD48-82E7-4858-9C9C-6FF16D28384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2025-11-05T20:59:08Z</cp:lastPrinted>
  <dcterms:created xsi:type="dcterms:W3CDTF">2023-09-19T19:50:35Z</dcterms:created>
  <dcterms:modified xsi:type="dcterms:W3CDTF">2025-11-05T20:59:21Z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