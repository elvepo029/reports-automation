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9" documentId="8_{29A27870-017D-4F26-A37C-CF7B12A81524}" xr6:coauthVersionLast="47" xr6:coauthVersionMax="47" xr10:uidLastSave="{8F055070-AAAE-48F0-ADDC-91DAF4BE935A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<sst xmlns="http://schemas.openxmlformats.org/spreadsheetml/2006/main" count="3282" uniqueCount="765">
  <si>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</si>
  <si>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</si>
  <si>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</si>
  <si>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</si>
  <si>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</si>
  <si>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</si>
  <si>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</si>
  <si>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</si>
  <si>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</si>
  <si>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</si>
  <si>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</si>
  <si>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</si>
  <si>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</si>
  <si>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</si>
  <si>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</si>
  <si>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</si>
  <si>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</si>
  <si>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</si>
  <si>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</si>
  <si>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</si>
  <si>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</si>
  <si>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</si>
  <si>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</si>
  <si>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</si>
  <si>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</si>
  <si>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</si>
  <si>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</si>
  <si>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</si>
  <si>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</si>
  <si>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</si>
  <si>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</si>
  <si>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</si>
  <si>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</si>
  <si>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</si>
  <si>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</si>
  <si>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</si>
  <si>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</si>
  <si>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</si>
  <si>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</si>
  <si>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</si>
  <si>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</si>
  <si>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</si>
  <si>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</si>
  <si>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</si>
  <si>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</si>
  <si>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</si>
  <si>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</si>
  <si>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</si>
  <si>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</si>
  <si>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</si>
  <si>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</si>
  <si>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</si>
  <si>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</si>
  <si>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</si>
  <si>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</si>
  <si>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</si>
  <si>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</si>
  <si>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</si>
  <si>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</si>
  <si>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</si>
  <si>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</si>
  <si>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</si>
  <si>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</si>
  <si>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</si>
  <si>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</si>
  <si>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</si>
  <si>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</si>
  <si>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</si>
  <si>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</si>
  <si>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</si>
  <si>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</si>
  <si>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</si>
  <si>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</si>
  <si>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</si>
  <si>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</si>
  <si>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</si>
  <si>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</si>
  <si>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</si>
  <si>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</si>
  <si>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</si>
  <si>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</si>
  <si>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</si>
  <si>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</si>
  <si>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</si>
  <si>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</si>
  <si>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</si>
  <si>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</si>
  <si>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</si>
  <si>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</si>
  <si>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</si>
  <si>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</si>
  <si>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</si>
  <si>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</si>
  <si>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</si>
  <si>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</si>
  <si>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</si>
  <si>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</si>
  <si>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</si>
  <si>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</si>
  <si>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</si>
  <si>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</si>
  <si>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</si>
  <si>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</si>
  <si>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</si>
  <si>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</si>
  <si>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</si>
  <si>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</si>
  <si>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</si>
  <si>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</si>
  <si>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</si>
  <si>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</si>
  <si>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</si>
  <si>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</si>
  <si>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</si>
  <si>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</si>
  <si>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</si>
  <si>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</si>
  <si>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</si>
  <si>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</si>
  <si>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</si>
  <si>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</si>
  <si>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</si>
  <si>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</si>
  <si>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</si>
  <si>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</si>
  <si>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</si>
  <si>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</si>
  <si>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</si>
  <si>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</si>
  <si>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</si>
  <si>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</si>
  <si>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</si>
  <si>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</si>
  <si>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</si>
  <si>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</si>
  <si>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</si>
  <si>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</si>
  <si>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</si>
  <si>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</si>
  <si>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</si>
  <si>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</si>
  <si>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</si>
  <si>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</si>
  <si>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</si>
  <si>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</si>
  <si>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</si>
  <si>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</si>
  <si>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</si>
  <si>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</si>
  <si>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</si>
  <si>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</si>
  <si>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</si>
  <si>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</si>
  <si>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</si>
  <si>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</si>
  <si>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</si>
  <si>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</si>
  <si>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</si>
  <si>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</si>
  <si>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</si>
  <si>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</si>
  <si>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</si>
  <si>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</si>
  <si>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</si>
  <si>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</si>
  <si>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</si>
  <si>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</si>
  <si>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</si>
  <si>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</si>
  <si>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</si>
  <si>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</si>
  <si>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</si>
  <si>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</si>
  <si>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</si>
  <si>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</si>
  <si>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</si>
  <si>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</si>
  <si>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</si>
  <si>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</si>
  <si>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</si>
  <si>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</si>
  <si>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</si>
  <si>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</si>
  <si>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</si>
  <si>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</si>
  <si>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</si>
  <si>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</si>
  <si>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</si>
  <si>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</si>
  <si>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</si>
  <si>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</si>
  <si>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</si>
  <si>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</si>
  <si>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</si>
  <si>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</si>
  <si>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</si>
  <si>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</si>
  <si>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</si>
  <si>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</si>
  <si>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</si>
  <si>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</si>
  <si>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</si>
  <si>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</si>
  <si>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</si>
  <si>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</si>
  <si>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</si>
  <si>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</si>
  <si>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</si>
  <si>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</si>
  <si>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</si>
  <si>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</si>
  <si>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</si>
  <si>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</si>
  <si>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</si>
  <si>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</si>
  <si>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</si>
  <si>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</si>
  <si>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</si>
  <si>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</si>
  <si>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</si>
  <si>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</si>
  <si>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</si>
  <si>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</si>
  <si>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</si>
  <si>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</si>
  <si>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</si>
  <si>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</si>
  <si>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</si>
  <si>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</si>
  <si>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</si>
  <si>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</si>
  <si>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</si>
  <si>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</si>
  <si>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</si>
  <si>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</si>
  <si>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</si>
  <si>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</si>
  <si>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</si>
  <si>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</si>
  <si>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</si>
  <si>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</si>
  <si>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</si>
  <si>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</si>
  <si>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</si>
  <si>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</si>
  <si>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</si>
  <si>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</si>
  <si>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</si>
  <si>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</si>
  <si>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</si>
  <si>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</si>
  <si>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</si>
  <si>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</si>
  <si>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</si>
  <si>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</si>
  <si>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</si>
  <si>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</si>
  <si>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</si>
  <si>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</si>
  <si>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</si>
  <si>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</si>
  <si>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</si>
  <si>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</si>
  <si>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</si>
  <si>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</si>
  <si>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</si>
  <si>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</si>
  <si>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</si>
  <si>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</si>
  <si>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</si>
  <si>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</si>
  <si>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</si>
  <si>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</si>
  <si>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</si>
  <si>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</si>
  <si>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</si>
  <si>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</si>
  <si>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</si>
  <si>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</si>
  <si>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</si>
  <si>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</si>
  <si>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</si>
  <si>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</si>
  <si>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</si>
  <si>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</si>
  <si>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</si>
  <si>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</si>
  <si>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</si>
  <si>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</si>
  <si>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</si>
  <si>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</si>
  <si>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</si>
  <si>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</si>
  <si>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</si>
  <si>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</si>
  <si>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</si>
  <si>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</si>
  <si>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</si>
  <si>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</si>
  <si>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</si>
  <si>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</si>
  <si>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</si>
  <si>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</si>
  <si>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</si>
  <si>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</si>
  <si>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</si>
  <si>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</si>
  <si>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</si>
  <si>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</si>
  <si>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</si>
  <si>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</si>
  <si>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</si>
  <si>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</si>
  <si>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</si>
  <si>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</si>
  <si>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</si>
  <si>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</si>
  <si>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</si>
  <si>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</si>
  <si>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</si>
  <si>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</si>
  <si>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</si>
  <si>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</si>
  <si>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</si>
  <si>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</si>
  <si>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</si>
  <si>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</si>
  <si>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</si>
  <si>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</si>
  <si>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</si>
  <si>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</si>
  <si>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</si>
  <si>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</si>
  <si>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</si>
  <si>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</si>
  <si>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</si>
  <si>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</si>
  <si>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</si>
  <si>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</si>
  <si>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</si>
  <si>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</si>
  <si>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</si>
  <si>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</si>
  <si>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</si>
  <si>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</si>
  <si>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</si>
  <si>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</si>
  <si>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</si>
  <si>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</si>
  <si>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</si>
  <si>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</si>
  <si>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</si>
  <si>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</si>
  <si>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</si>
  <si>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</si>
  <si>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</si>
  <si>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</si>
  <si>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</si>
  <si>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</si>
  <si>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</si>
  <si>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</si>
  <si>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</si>
  <si>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</si>
  <si>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</si>
  <si>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</si>
  <si>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</si>
  <si>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</si>
  <si>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</si>
  <si>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</si>
  <si>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</si>
  <si>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</si>
  <si>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</si>
  <si>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</si>
  <si>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</si>
  <si>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</si>
  <si>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</si>
  <si>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</si>
  <si>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</si>
  <si>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</si>
  <si>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</si>
  <si>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</si>
  <si>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</si>
  <si>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</si>
  <si>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</si>
  <si>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</si>
  <si>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</si>
  <si>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</si>
  <si>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</si>
  <si>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</si>
  <si>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</si>
  <si>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</si>
  <si>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</si>
  <si>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</si>
  <si>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</si>
  <si>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</si>
  <si>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</si>
  <si>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</si>
  <si>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</si>
  <si>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</si>
  <si>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</si>
  <si>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</si>
  <si>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</si>
  <si>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</si>
  <si>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</si>
  <si>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</si>
  <si>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</si>
  <si>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</si>
  <si>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</si>
  <si>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</si>
  <si>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</si>
  <si>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</si>
  <si>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</si>
  <si>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</si>
  <si>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</si>
  <si>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</si>
  <si>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</si>
  <si>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</si>
  <si>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</si>
  <si>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</si>
  <si>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</si>
  <si>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</si>
  <si>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</si>
  <si>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</si>
  <si>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</si>
  <si>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</si>
  <si>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</si>
  <si>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</si>
  <si>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</si>
  <si>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</si>
  <si>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</si>
  <si>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</si>
  <si>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</si>
  <si>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</si>
  <si>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</si>
  <si>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</si>
  <si>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</si>
  <si>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</si>
  <si>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</si>
  <si>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</si>
  <si>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</si>
  <si>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</si>
  <si>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</si>
  <si>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</si>
  <si>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</si>
  <si>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</si>
  <si>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</si>
  <si>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</si>
  <si>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</si>
  <si>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</si>
  <si>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</si>
  <si>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</si>
  <si>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</si>
  <si>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</si>
  <si>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</si>
  <si>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</si>
  <si>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</si>
  <si>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</si>
  <si>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</si>
  <si>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</si>
  <si>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</si>
  <si>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</si>
  <si>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</si>
  <si>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</si>
  <si>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</si>
  <si>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</si>
  <si>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</si>
  <si>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</si>
  <si>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</si>
  <si>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</si>
  <si>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</si>
  <si>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</si>
  <si>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</si>
  <si>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</si>
  <si>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</si>
  <si>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</si>
  <si>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</si>
  <si>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</si>
  <si>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</si>
  <si>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</si>
  <si>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</si>
  <si>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</si>
  <si>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</si>
  <si>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</si>
  <si>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</si>
  <si>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</si>
  <si>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</si>
  <si>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</si>
  <si>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</si>
  <si>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</si>
  <si>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</si>
  <si>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</si>
  <si>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</si>
  <si>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</si>
  <si>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</si>
  <si>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</si>
  <si>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</si>
  <si>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</si>
  <si>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</si>
  <si>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</si>
  <si>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</si>
  <si>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</si>
  <si>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</si>
  <si>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</si>
  <si>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</si>
  <si>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</si>
  <si>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</si>
  <si>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</si>
  <si>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</si>
  <si>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</si>
  <si>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</si>
  <si>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</si>
  <si>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</si>
  <si>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</si>
  <si>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</si>
  <si>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</si>
  <si>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</si>
  <si>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</si>
  <si>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</si>
  <si>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</si>
  <si>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</si>
  <si>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</si>
  <si>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</si>
  <si>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</si>
  <si>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</si>
  <si>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</si>
  <si>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</si>
  <si>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</si>
  <si>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</si>
  <si>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</si>
  <si>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</si>
  <si>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</si>
  <si>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</si>
  <si>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</si>
  <si>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</si>
  <si>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</si>
  <si>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</si>
  <si>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</si>
  <si>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</si>
  <si>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</si>
  <si>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</si>
  <si>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</si>
  <si>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</si>
  <si>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</si>
  <si>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</si>
  <si>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</si>
  <si>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</si>
  <si>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</si>
  <si>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</si>
  <si>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</si>
  <si>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</si>
  <si>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</si>
  <si>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</si>
  <si>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</si>
  <si>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</si>
  <si>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</si>
  <si>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</si>
  <si>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</si>
  <si>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</si>
  <si>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</si>
  <si>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</si>
  <si>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</si>
  <si>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</si>
  <si>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</si>
  <si>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</si>
  <si>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</si>
  <si>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</si>
  <si>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</si>
  <si>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</si>
  <si>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</si>
  <si>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</si>
  <si>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</si>
  <si>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</si>
  <si>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</si>
  <si>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</si>
  <si>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</si>
  <si>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</si>
  <si>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</si>
  <si>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</si>
  <si>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</si>
  <si>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</si>
  <si>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</si>
  <si>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</si>
  <si>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</si>
  <si>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</si>
  <si>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</si>
  <si>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</si>
  <si>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</si>
  <si>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</si>
  <si>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</si>
  <si>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</si>
  <si>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</si>
  <si>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</si>
  <si>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</si>
  <si>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</si>
  <si>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</si>
  <si>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</si>
  <si>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</si>
  <si>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</si>
  <si>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</si>
  <si>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</si>
  <si>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</si>
  <si>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</si>
  <si>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</si>
  <si>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</si>
  <si>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</si>
  <si>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</si>
  <si>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</si>
  <si>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</si>
  <si>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</si>
  <si>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</si>
  <si>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</si>
  <si>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</si>
  <si>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</si>
  <si>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</si>
  <si>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</si>
  <si>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</si>
  <si>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</si>
  <si>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</si>
  <si>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</si>
  <si>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</si>
  <si>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</si>
  <si>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</si>
  <si>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</si>
  <si>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</si>
  <si>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</si>
  <si>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</si>
  <si>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</si>
  <si>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</si>
  <si>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</si>
  <si>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</si>
  <si>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</si>
  <si>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</si>
  <si>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</si>
  <si>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</si>
  <si>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</si>
  <si>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</si>
  <si>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</si>
  <si>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</si>
  <si>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</si>
  <si>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</si>
  <si>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</si>
  <si>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</si>
  <si>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</si>
  <si>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</si>
  <si>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</si>
  <si>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</si>
  <si>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</si>
  <si>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</si>
  <si>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</si>
  <si>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</si>
  <si>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</si>
  <si>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</si>
  <si>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</si>
  <si>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</si>
  <si>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</si>
  <si>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</si>
  <si>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</si>
  <si>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</si>
  <si>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</si>
  <si>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</si>
  <si>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</si>
  <si>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</si>
  <si>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</si>
  <si>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</si>
  <si>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</si>
  <si>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</si>
  <si>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</si>
  <si>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</si>
  <si>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</si>
  <si>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</si>
  <si>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</si>
  <si>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</si>
  <si>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</si>
  <si>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</si>
  <si>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</si>
  <si>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</si>
  <si>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</si>
  <si>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</si>
  <si>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</si>
  <si>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</si>
  <si>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</si>
  <si>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</si>
  <si>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</si>
  <si>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</si>
  <si>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</si>
  <si>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</si>
  <si>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</si>
  <si>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</si>
  <si>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</si>
  <si>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</si>
  <si>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</si>
  <si>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</si>
  <si>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</si>
  <si>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</si>
  <si>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</si>
  <si>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</si>
  <si>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</si>
  <si>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</si>
  <si>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</si>
  <si>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</si>
  <si>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</si>
  <si>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</si>
  <si>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</si>
  <si>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</si>
  <si>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</si>
  <si>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</si>
  <si>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</si>
  <si>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</si>
  <si>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</si>
  <si>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</si>
  <si>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</si>
  <si>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</si>
  <si>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</si>
  <si>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</si>
  <si>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</si>
  <si>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</si>
  <si>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</si>
  <si>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</si>
  <si>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</si>
  <si>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</si>
  <si>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</si>
  <si>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</si>
  <si>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</si>
  <si>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</si>
  <si>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</si>
  <si>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</si>
  <si>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</si>
  <si>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</si>
  <si>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</si>
  <si>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</si>
  <si>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</si>
  <si>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</si>
  <si>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</si>
  <si>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</si>
  <si>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</si>
  <si>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</si>
  <si>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</si>
  <si>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</si>
  <si>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</si>
  <si>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</si>
  <si>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</si>
  <si>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</si>
  <si>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</si>
  <si>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</si>
  <si>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</si>
  <si>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</si>
  <si>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</si>
  <si>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</si>
  <si>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</si>
  <si>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</si>
  <si>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MILAN KVRGIC</t>
  </si>
  <si>
    <t>JOVANA DOJCINOVIC</t>
  </si>
  <si>
    <t>JELENA BOGUCANIN</t>
  </si>
  <si>
    <t>JOVANA KRIVOKUCA-MILOVANOVIC</t>
  </si>
  <si>
    <t>C:\Users\nerea.fraile\EUROLEAGUE\EB STATS - Documents\General\SEASON 2025-26\Reports\Euroleague\PDF</t>
  </si>
  <si>
    <t>C:\Users\nerea.fraile\EUROLEAGUE\EB STATS - Documents\General\SEASON 2025-26\Reports\Euroleague</t>
  </si>
  <si>
    <t>08:49</t>
  </si>
  <si>
    <t>08:26</t>
  </si>
  <si>
    <t>08:17</t>
  </si>
  <si>
    <t>08:13</t>
  </si>
  <si>
    <t>After review the IRS</t>
  </si>
  <si>
    <t>02:48</t>
  </si>
  <si>
    <t>00:08</t>
  </si>
  <si>
    <t>There is a Deffensive Rebound by a player and a Turnover after, not an Offensive Rebound. Difficult to watch</t>
  </si>
  <si>
    <t>Few mistakes at the second quarter in one specific minute. Very good job in the rest of the match, specally at the last quarter, with a very tight score. Good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</si>
</sst>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06_051_TEL_MAD_E2025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45952.836805555555</v>
      </c>
      <c r="C3" s="157"/>
      <c r="D3" s="39">
        <v>595</v>
      </c>
      <c r="E3" s="29"/>
      <c r="F3" s="26">
        <f>SUBTOTAL(3,I17:I106)</f>
        <v>7</v>
      </c>
      <c r="G3" s="27">
        <f>IF(OR(D3="",D3=0),"",F3/D3)</f>
        <v>1.1764705882352941E-2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Maccabi Rapyd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1.1764705882352941E-2</v>
      </c>
      <c r="S4" s="61">
        <f>SUM(I13:M13)</f>
        <v>1</v>
      </c>
      <c r="T4" s="78"/>
      <c r="U4" s="61">
        <f>AC18</f>
        <v>1</v>
      </c>
      <c r="V4" s="61">
        <f>+AC22</f>
        <v>5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1.1764705882352942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5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8.6764705882352935</v>
      </c>
      <c r="N7" s="58"/>
      <c r="O7" s="2"/>
      <c r="P7" s="2"/>
      <c r="Q7" s="86">
        <f>SUM(R5,S5,AC16)</f>
        <v>8.6764705882352935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8.6764705882352935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51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51</v>
      </c>
      <c r="D17" s="32" t="s">
        <v>756</v>
      </c>
      <c r="E17" s="33">
        <v>2</v>
      </c>
      <c r="F17" s="36">
        <v>18</v>
      </c>
      <c r="G17" s="36">
        <v>30</v>
      </c>
      <c r="H17" s="38" t="str">
        <f>IF(I17="","",$I$14)</f>
        <v>SCOUTING</v>
      </c>
      <c r="I17" s="34">
        <v>150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51</v>
      </c>
      <c r="D18" s="32" t="s">
        <v>757</v>
      </c>
      <c r="E18" s="33">
        <v>2</v>
      </c>
      <c r="F18" s="36">
        <v>21</v>
      </c>
      <c r="G18" s="36">
        <v>30</v>
      </c>
      <c r="H18" s="38" t="str">
        <f t="shared" ref="H18:H81" si="8">IF(I18="","",$I$14)</f>
        <v>SCOUTING</v>
      </c>
      <c r="I18" s="34">
        <v>158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51</v>
      </c>
      <c r="D19" s="32" t="s">
        <v>757</v>
      </c>
      <c r="E19" s="33">
        <v>2</v>
      </c>
      <c r="F19" s="36">
        <v>21</v>
      </c>
      <c r="G19" s="36">
        <v>30</v>
      </c>
      <c r="H19" s="38" t="str">
        <f t="shared" si="8"/>
        <v>SCOUTING</v>
      </c>
      <c r="I19" s="34">
        <v>157</v>
      </c>
      <c r="J19" s="13" t="s">
        <v>4</v>
      </c>
      <c r="K19" s="13" t="s">
        <v>62</v>
      </c>
      <c r="L19" s="13" t="s">
        <v>75</v>
      </c>
      <c r="M19" s="13" t="s">
        <v>34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51</v>
      </c>
      <c r="D20" s="32" t="s">
        <v>758</v>
      </c>
      <c r="E20" s="33">
        <v>2</v>
      </c>
      <c r="F20" s="36">
        <v>21</v>
      </c>
      <c r="G20" s="36">
        <v>30</v>
      </c>
      <c r="H20" s="38" t="str">
        <f t="shared" si="8"/>
        <v>SCOUTING</v>
      </c>
      <c r="I20" s="34">
        <v>162</v>
      </c>
      <c r="J20" s="13" t="s">
        <v>4</v>
      </c>
      <c r="K20" s="13" t="s">
        <v>63</v>
      </c>
      <c r="L20" s="13" t="s">
        <v>6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51</v>
      </c>
      <c r="D21" s="32" t="s">
        <v>759</v>
      </c>
      <c r="E21" s="33">
        <v>2</v>
      </c>
      <c r="F21" s="36">
        <v>21</v>
      </c>
      <c r="G21" s="36">
        <v>30</v>
      </c>
      <c r="H21" s="38" t="str">
        <f t="shared" si="8"/>
        <v>SCOUTING</v>
      </c>
      <c r="I21" s="34">
        <v>167</v>
      </c>
      <c r="J21" s="13" t="s">
        <v>4</v>
      </c>
      <c r="K21" s="13" t="s">
        <v>63</v>
      </c>
      <c r="L21" s="13" t="s">
        <v>6</v>
      </c>
      <c r="M21" s="13" t="s">
        <v>9</v>
      </c>
      <c r="N21" s="35" t="s">
        <v>760</v>
      </c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51</v>
      </c>
      <c r="D22" s="32" t="s">
        <v>761</v>
      </c>
      <c r="E22" s="33">
        <v>3</v>
      </c>
      <c r="F22" s="36">
        <v>73</v>
      </c>
      <c r="G22" s="36">
        <v>63</v>
      </c>
      <c r="H22" s="38" t="str">
        <f t="shared" si="8"/>
        <v>SCOUTING</v>
      </c>
      <c r="I22" s="34">
        <v>394</v>
      </c>
      <c r="J22" s="13" t="s">
        <v>4</v>
      </c>
      <c r="K22" s="13" t="s">
        <v>62</v>
      </c>
      <c r="L22" s="13" t="s">
        <v>6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21" x14ac:dyDescent="0.25">
      <c r="A23" s="20"/>
      <c r="B23" s="31" t="str">
        <f t="shared" si="2"/>
        <v>E2025</v>
      </c>
      <c r="C23" s="31">
        <f t="shared" si="3"/>
        <v>51</v>
      </c>
      <c r="D23" s="32" t="s">
        <v>762</v>
      </c>
      <c r="E23" s="33">
        <v>4</v>
      </c>
      <c r="F23" s="36">
        <v>89</v>
      </c>
      <c r="G23" s="36">
        <v>91</v>
      </c>
      <c r="H23" s="38" t="str">
        <f t="shared" si="8"/>
        <v>SCOUTING</v>
      </c>
      <c r="I23" s="34">
        <v>583</v>
      </c>
      <c r="J23" s="13" t="s">
        <v>4</v>
      </c>
      <c r="K23" s="13" t="s">
        <v>62</v>
      </c>
      <c r="L23" s="13" t="s">
        <v>5</v>
      </c>
      <c r="M23" s="13" t="s">
        <v>28</v>
      </c>
      <c r="N23" s="35" t="s">
        <v>763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"E2025051"</v>
      </c>
      <c r="F3" s="45" t="str">
        <f t="shared" ref="F3:F16" si="0">""""&amp;B3&amp;"""" &amp; " : " &amp;C3&amp;","</f>
        <v>"name" : "E2025051",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"E051"</v>
      </c>
      <c r="F4" s="45" t="str">
        <f t="shared" si="0"/>
        <v>"cod" : "E051",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051</v>
      </c>
      <c r="F6" s="45" t="str">
        <f t="shared" si="0"/>
        <v>"number" : 051,</v>
      </c>
    </row>
    <row r="7" spans="2:6" x14ac:dyDescent="0.25">
      <c r="B7" s="43" t="s">
        <v>116</v>
      </c>
      <c r="C7" s="43" t="str">
        <f ca="1">""""&amp;TEXT('SCOUT &amp; LOGISTICS'!B3,"dd/mm/aaaa")&amp;""""</f>
        <v>"22/10/Wednesday"</v>
      </c>
      <c r="F7" s="45" t="str">
        <f t="shared" ca="1" si="0"/>
        <v>"date" : "22/10/Wednesday",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"MILAN KVRGIC"</v>
      </c>
      <c r="F12" s="45" t="str">
        <f t="shared" si="0"/>
        <v>"Caller_2" : "MILAN KVRGIC",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"JOVANA DOJCINOVIC"</v>
      </c>
      <c r="F13" s="45" t="str">
        <f t="shared" si="0"/>
        <v>"Timerkeeper" : "JOVANA DOJCINOVIC",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BOGUCANIN"</v>
      </c>
      <c r="F14" s="45" t="str">
        <f t="shared" si="0"/>
        <v>"Shotclock" : "JELENA BOGUCANIN",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595</v>
      </c>
      <c r="F25" s="45" t="str">
        <f t="shared" ref="F25:F48" si="1">""""&amp;C25&amp;"""" &amp; " : " &amp;D25&amp;","</f>
        <v>"total_actions" : 595,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"Few mistakes at the second quarter in one specific minute. Very good job in the rest of the match, specally at the last quarter, with a very tight score. Good job!"</v>
      </c>
      <c r="F51" s="45" t="str">
        <f>""""&amp;B51&amp;"""" &amp; " : " &amp;C51&amp;","</f>
        <v>"comments" : "Few mistakes at the second quarter in one specific minute. Very good job in the rest of the match, specally at the last quarter, with a very tight score. Good job!",</v>
      </c>
    </row>
    <row r="52" spans="2:6" x14ac:dyDescent="0.25">
      <c r="B52" s="43" t="s">
        <v>153</v>
      </c>
      <c r="C52" s="43" t="str">
        <f>TEXT('SCOUT &amp; LOGISTICS'!F1,"0,0")</f>
        <v>06_051_TEL_MAD_E2025</v>
      </c>
      <c r="F52" s="45" t="str">
        <f>""""&amp;B52&amp;"""" &amp; " : " &amp;C52</f>
        <v>"result" : 06_051_TEL_MAD_E2025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22/10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Maccabi Rapyd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IVANA VASILJEVIC</v>
      </c>
      <c r="H8" s="206"/>
      <c r="I8" s="206"/>
      <c r="J8" s="206"/>
      <c r="K8" s="206"/>
      <c r="L8" s="206" t="str">
        <f>IF('SCOUT &amp; LOGISTICS'!D8="","",'SCOUT &amp; LOGISTICS'!D8)</f>
        <v>MILAN KVRGIC</v>
      </c>
      <c r="M8" s="206"/>
      <c r="N8" s="206"/>
      <c r="O8" s="206"/>
      <c r="P8" s="206"/>
      <c r="Q8" s="206" t="str">
        <f>IF('SCOUT &amp; LOGISTICS'!D9="","",'SCOUT &amp; LOGISTICS'!D9)</f>
        <v>JOVANA DOJCINOVIC</v>
      </c>
      <c r="R8" s="206"/>
      <c r="S8" s="206"/>
      <c r="T8" s="206"/>
      <c r="U8" s="206"/>
      <c r="V8" s="206" t="str">
        <f>IF('SCOUT &amp; LOGISTICS'!D10="","",'SCOUT &amp; LOGISTICS'!D10)</f>
        <v>JELENA BOGUCANIN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1.1764705882352941E-2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Few mistakes at the second quarter in one specific minute. Very good job in the rest of the match, specally at the last quarter, with a very tight score.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8.6764705882352935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1FDE05-4BB3-400A-A1AB-04A1C700CC31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2025-10-22T20:47:08Z</cp:lastPrinted>
  <dcterms:created xsi:type="dcterms:W3CDTF">2023-09-19T19:50:35Z</dcterms:created>
  <dcterms:modified xsi:type="dcterms:W3CDTF">2025-10-22T20:47:12Z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