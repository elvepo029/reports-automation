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62" documentId="8_{868987E0-A6B6-44CD-855D-BB8A1143345D}" xr6:coauthVersionLast="47" xr6:coauthVersionMax="47" xr10:uidLastSave="{AE788D78-A0DA-407A-A2F9-89D10A6542EC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<sst xmlns="http://schemas.openxmlformats.org/spreadsheetml/2006/main" count="3269" uniqueCount="759">
  <si>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</si>
  <si>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</si>
  <si>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</si>
  <si>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</si>
  <si>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</si>
  <si>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</si>
  <si>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</si>
  <si>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</si>
  <si>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</si>
  <si>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</si>
  <si>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</si>
  <si>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</si>
  <si>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</si>
  <si>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</si>
  <si>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</si>
  <si>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</si>
  <si>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</si>
  <si>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</si>
  <si>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</si>
  <si>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</si>
  <si>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</si>
  <si>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</si>
  <si>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</si>
  <si>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</si>
  <si>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</si>
  <si>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</si>
  <si>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</si>
  <si>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</si>
  <si>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</si>
  <si>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</si>
  <si>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</si>
  <si>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</si>
  <si>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</si>
  <si>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</si>
  <si>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</si>
  <si>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</si>
  <si>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</si>
  <si>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</si>
  <si>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</si>
  <si>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</si>
  <si>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</si>
  <si>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</si>
  <si>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</si>
  <si>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</si>
  <si>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</si>
  <si>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</si>
  <si>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</si>
  <si>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</si>
  <si>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</si>
  <si>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</si>
  <si>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</si>
  <si>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</si>
  <si>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</si>
  <si>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</si>
  <si>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</si>
  <si>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</si>
  <si>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</si>
  <si>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</si>
  <si>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</si>
  <si>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</si>
  <si>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</si>
  <si>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</si>
  <si>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</si>
  <si>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</si>
  <si>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</si>
  <si>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</si>
  <si>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</si>
  <si>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</si>
  <si>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</si>
  <si>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</si>
  <si>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</si>
  <si>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</si>
  <si>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</si>
  <si>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</si>
  <si>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</si>
  <si>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</si>
  <si>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</si>
  <si>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</si>
  <si>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</si>
  <si>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</si>
  <si>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</si>
  <si>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</si>
  <si>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</si>
  <si>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</si>
  <si>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</si>
  <si>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</si>
  <si>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</si>
  <si>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</si>
  <si>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</si>
  <si>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</si>
  <si>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</si>
  <si>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</si>
  <si>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</si>
  <si>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</si>
  <si>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</si>
  <si>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</si>
  <si>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</si>
  <si>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</si>
  <si>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</si>
  <si>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</si>
  <si>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</si>
  <si>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</si>
  <si>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</si>
  <si>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</si>
  <si>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</si>
  <si>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</si>
  <si>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</si>
  <si>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</si>
  <si>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</si>
  <si>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</si>
  <si>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</si>
  <si>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</si>
  <si>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</si>
  <si>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</si>
  <si>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</si>
  <si>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</si>
  <si>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</si>
  <si>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</si>
  <si>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</si>
  <si>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</si>
  <si>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</si>
  <si>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</si>
  <si>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</si>
  <si>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</si>
  <si>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</si>
  <si>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</si>
  <si>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</si>
  <si>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</si>
  <si>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</si>
  <si>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</si>
  <si>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</si>
  <si>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</si>
  <si>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</si>
  <si>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</si>
  <si>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</si>
  <si>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</si>
  <si>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</si>
  <si>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</si>
  <si>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</si>
  <si>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</si>
  <si>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</si>
  <si>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</si>
  <si>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</si>
  <si>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</si>
  <si>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</si>
  <si>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</si>
  <si>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</si>
  <si>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</si>
  <si>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</si>
  <si>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</si>
  <si>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</si>
  <si>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</si>
  <si>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</si>
  <si>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</si>
  <si>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</si>
  <si>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</si>
  <si>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</si>
  <si>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</si>
  <si>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</si>
  <si>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</si>
  <si>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</si>
  <si>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</si>
  <si>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</si>
  <si>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</si>
  <si>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</si>
  <si>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</si>
  <si>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</si>
  <si>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</si>
  <si>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</si>
  <si>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</si>
  <si>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</si>
  <si>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</si>
  <si>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</si>
  <si>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</si>
  <si>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</si>
  <si>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</si>
  <si>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</si>
  <si>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</si>
  <si>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</si>
  <si>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</si>
  <si>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</si>
  <si>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</si>
  <si>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</si>
  <si>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</si>
  <si>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</si>
  <si>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</si>
  <si>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</si>
  <si>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</si>
  <si>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</si>
  <si>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</si>
  <si>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</si>
  <si>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</si>
  <si>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</si>
  <si>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</si>
  <si>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</si>
  <si>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</si>
  <si>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</si>
  <si>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</si>
  <si>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</si>
  <si>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</si>
  <si>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</si>
  <si>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</si>
  <si>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</si>
  <si>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</si>
  <si>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</si>
  <si>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</si>
  <si>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</si>
  <si>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</si>
  <si>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</si>
  <si>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</si>
  <si>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</si>
  <si>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</si>
  <si>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</si>
  <si>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</si>
  <si>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</si>
  <si>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</si>
  <si>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</si>
  <si>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</si>
  <si>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</si>
  <si>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</si>
  <si>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</si>
  <si>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</si>
  <si>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</si>
  <si>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</si>
  <si>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</si>
  <si>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</si>
  <si>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</si>
  <si>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</si>
  <si>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</si>
  <si>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</si>
  <si>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</si>
  <si>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</si>
  <si>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</si>
  <si>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</si>
  <si>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</si>
  <si>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</si>
  <si>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</si>
  <si>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</si>
  <si>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</si>
  <si>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</si>
  <si>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</si>
  <si>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</si>
  <si>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</si>
  <si>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</si>
  <si>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</si>
  <si>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</si>
  <si>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</si>
  <si>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</si>
  <si>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</si>
  <si>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</si>
  <si>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</si>
  <si>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</si>
  <si>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</si>
  <si>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</si>
  <si>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</si>
  <si>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</si>
  <si>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</si>
  <si>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</si>
  <si>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</si>
  <si>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</si>
  <si>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</si>
  <si>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</si>
  <si>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</si>
  <si>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</si>
  <si>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</si>
  <si>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</si>
  <si>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</si>
  <si>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</si>
  <si>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</si>
  <si>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</si>
  <si>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</si>
  <si>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</si>
  <si>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</si>
  <si>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</si>
  <si>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</si>
  <si>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</si>
  <si>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</si>
  <si>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</si>
  <si>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</si>
  <si>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</si>
  <si>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</si>
  <si>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</si>
  <si>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</si>
  <si>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</si>
  <si>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</si>
  <si>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</si>
  <si>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</si>
  <si>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</si>
  <si>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</si>
  <si>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</si>
  <si>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</si>
  <si>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</si>
  <si>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</si>
  <si>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</si>
  <si>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</si>
  <si>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</si>
  <si>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</si>
  <si>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</si>
  <si>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</si>
  <si>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</si>
  <si>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</si>
  <si>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</si>
  <si>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</si>
  <si>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</si>
  <si>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</si>
  <si>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</si>
  <si>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</si>
  <si>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</si>
  <si>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</si>
  <si>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</si>
  <si>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</si>
  <si>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</si>
  <si>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</si>
  <si>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</si>
  <si>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</si>
  <si>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</si>
  <si>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</si>
  <si>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</si>
  <si>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</si>
  <si>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</si>
  <si>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</si>
  <si>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</si>
  <si>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</si>
  <si>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</si>
  <si>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</si>
  <si>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</si>
  <si>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</si>
  <si>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</si>
  <si>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</si>
  <si>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</si>
  <si>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</si>
  <si>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</si>
  <si>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</si>
  <si>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</si>
  <si>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</si>
  <si>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</si>
  <si>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</si>
  <si>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</si>
  <si>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</si>
  <si>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</si>
  <si>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</si>
  <si>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</si>
  <si>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</si>
  <si>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</si>
  <si>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</si>
  <si>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</si>
  <si>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</si>
  <si>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</si>
  <si>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</si>
  <si>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</si>
  <si>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</si>
  <si>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</si>
  <si>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</si>
  <si>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</si>
  <si>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</si>
  <si>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</si>
  <si>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</si>
  <si>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</si>
  <si>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</si>
  <si>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</si>
  <si>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</si>
  <si>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</si>
  <si>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</si>
  <si>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</si>
  <si>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</si>
  <si>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</si>
  <si>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</si>
  <si>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</si>
  <si>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</si>
  <si>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</si>
  <si>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</si>
  <si>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</si>
  <si>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</si>
  <si>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</si>
  <si>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</si>
  <si>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</si>
  <si>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</si>
  <si>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</si>
  <si>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</si>
  <si>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</si>
  <si>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</si>
  <si>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</si>
  <si>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</si>
  <si>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</si>
  <si>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</si>
  <si>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</si>
  <si>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</si>
  <si>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</si>
  <si>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</si>
  <si>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</si>
  <si>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</si>
  <si>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</si>
  <si>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</si>
  <si>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</si>
  <si>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</si>
  <si>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</si>
  <si>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</si>
  <si>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</si>
  <si>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</si>
  <si>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</si>
  <si>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</si>
  <si>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</si>
  <si>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</si>
  <si>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</si>
  <si>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</si>
  <si>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</si>
  <si>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</si>
  <si>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</si>
  <si>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</si>
  <si>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</si>
  <si>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</si>
  <si>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</si>
  <si>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</si>
  <si>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</si>
  <si>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</si>
  <si>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</si>
  <si>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</si>
  <si>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</si>
  <si>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</si>
  <si>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</si>
  <si>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</si>
  <si>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</si>
  <si>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</si>
  <si>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</si>
  <si>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</si>
  <si>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</si>
  <si>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</si>
  <si>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</si>
  <si>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</si>
  <si>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</si>
  <si>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</si>
  <si>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</si>
  <si>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</si>
  <si>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</si>
  <si>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</si>
  <si>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</si>
  <si>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</si>
  <si>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</si>
  <si>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</si>
  <si>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</si>
  <si>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</si>
  <si>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</si>
  <si>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</si>
  <si>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</si>
  <si>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</si>
  <si>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</si>
  <si>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</si>
  <si>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</si>
  <si>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</si>
  <si>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</si>
  <si>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</si>
  <si>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</si>
  <si>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</si>
  <si>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</si>
  <si>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</si>
  <si>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</si>
  <si>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</si>
  <si>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</si>
  <si>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</si>
  <si>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</si>
  <si>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</si>
  <si>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</si>
  <si>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</si>
  <si>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</si>
  <si>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</si>
  <si>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</si>
  <si>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</si>
  <si>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</si>
  <si>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</si>
  <si>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</si>
  <si>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</si>
  <si>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</si>
  <si>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</si>
  <si>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</si>
  <si>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</si>
  <si>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</si>
  <si>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</si>
  <si>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</si>
  <si>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</si>
  <si>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</si>
  <si>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</si>
  <si>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</si>
  <si>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</si>
  <si>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</si>
  <si>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</si>
  <si>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</si>
  <si>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</si>
  <si>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</si>
  <si>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</si>
  <si>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</si>
  <si>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</si>
  <si>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</si>
  <si>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</si>
  <si>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</si>
  <si>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</si>
  <si>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</si>
  <si>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</si>
  <si>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</si>
  <si>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</si>
  <si>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</si>
  <si>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</si>
  <si>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</si>
  <si>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</si>
  <si>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</si>
  <si>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</si>
  <si>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</si>
  <si>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</si>
  <si>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</si>
  <si>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</si>
  <si>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</si>
  <si>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</si>
  <si>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</si>
  <si>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</si>
  <si>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</si>
  <si>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</si>
  <si>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</si>
  <si>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</si>
  <si>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</si>
  <si>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</si>
  <si>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</si>
  <si>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</si>
  <si>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</si>
  <si>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</si>
  <si>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</si>
  <si>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</si>
  <si>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</si>
  <si>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</si>
  <si>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</si>
  <si>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</si>
  <si>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</si>
  <si>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</si>
  <si>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</si>
  <si>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</si>
  <si>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</si>
  <si>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</si>
  <si>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</si>
  <si>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</si>
  <si>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</si>
  <si>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</si>
  <si>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</si>
  <si>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</si>
  <si>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</si>
  <si>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</si>
  <si>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</si>
  <si>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</si>
  <si>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</si>
  <si>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</si>
  <si>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</si>
  <si>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</si>
  <si>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</si>
  <si>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</si>
  <si>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</si>
  <si>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</si>
  <si>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</si>
  <si>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</si>
  <si>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</si>
  <si>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</si>
  <si>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</si>
  <si>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</si>
  <si>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</si>
  <si>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</si>
  <si>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</si>
  <si>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</si>
  <si>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</si>
  <si>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</si>
  <si>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</si>
  <si>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</si>
  <si>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</si>
  <si>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</si>
  <si>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</si>
  <si>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</si>
  <si>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</si>
  <si>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</si>
  <si>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</si>
  <si>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</si>
  <si>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</si>
  <si>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</si>
  <si>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</si>
  <si>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</si>
  <si>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</si>
  <si>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</si>
  <si>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</si>
  <si>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</si>
  <si>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</si>
  <si>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</si>
  <si>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</si>
  <si>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</si>
  <si>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</si>
  <si>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</si>
  <si>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</si>
  <si>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</si>
  <si>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</si>
  <si>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</si>
  <si>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</si>
  <si>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</si>
  <si>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</si>
  <si>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</si>
  <si>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</si>
  <si>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</si>
  <si>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</si>
  <si>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</si>
  <si>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</si>
  <si>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</si>
  <si>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</si>
  <si>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</si>
  <si>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</si>
  <si>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</si>
  <si>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</si>
  <si>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</si>
  <si>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</si>
  <si>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</si>
  <si>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</si>
  <si>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</si>
  <si>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</si>
  <si>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</si>
  <si>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</si>
  <si>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</si>
  <si>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</si>
  <si>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</si>
  <si>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</si>
  <si>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</si>
  <si>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</si>
  <si>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</si>
  <si>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</si>
  <si>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</si>
  <si>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</si>
  <si>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</si>
  <si>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</si>
  <si>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</si>
  <si>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</si>
  <si>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</si>
  <si>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</si>
  <si>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</si>
  <si>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</si>
  <si>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</si>
  <si>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</si>
  <si>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</si>
  <si>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</si>
  <si>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</si>
  <si>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</si>
  <si>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</si>
  <si>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</si>
  <si>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</si>
  <si>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</si>
  <si>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</si>
  <si>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</si>
  <si>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</si>
  <si>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</si>
  <si>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</si>
  <si>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</si>
  <si>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</si>
  <si>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</si>
  <si>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</si>
  <si>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</si>
  <si>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</si>
  <si>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</si>
  <si>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</si>
  <si>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</si>
  <si>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</si>
  <si>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</si>
  <si>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</si>
  <si>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</si>
  <si>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</si>
  <si>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</si>
  <si>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</si>
  <si>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</si>
  <si>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</si>
  <si>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</si>
  <si>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</si>
  <si>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</si>
  <si>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</si>
  <si>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</si>
  <si>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</si>
  <si>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</si>
  <si>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</si>
  <si>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</si>
  <si>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</si>
  <si>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</si>
  <si>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</si>
  <si>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</si>
  <si>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</si>
  <si>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</si>
  <si>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</si>
  <si>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</si>
  <si>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</si>
  <si>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</si>
  <si>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</si>
  <si>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</si>
  <si>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</si>
  <si>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</si>
  <si>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</si>
  <si>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</si>
  <si>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</si>
  <si>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</si>
  <si>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</si>
  <si>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</si>
  <si>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</si>
  <si>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</si>
  <si>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</si>
  <si>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</si>
  <si>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</si>
  <si>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</si>
  <si>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</si>
  <si>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</si>
  <si>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</si>
  <si>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</si>
  <si>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</si>
  <si>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</si>
  <si>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</si>
  <si>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</si>
  <si>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</si>
  <si>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</si>
  <si>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</si>
  <si>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</si>
  <si>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</si>
  <si>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</si>
  <si>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</si>
  <si>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</si>
  <si>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</si>
  <si>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</si>
  <si>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</si>
  <si>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</si>
  <si>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</si>
  <si>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</si>
  <si>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</si>
  <si>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</si>
  <si>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</si>
  <si>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</si>
  <si>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</si>
  <si>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</si>
  <si>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</si>
  <si>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</si>
  <si>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</si>
  <si>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</si>
  <si>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</si>
  <si>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</si>
  <si>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</si>
  <si>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</si>
  <si>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</si>
  <si>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</si>
  <si>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</si>
  <si>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</si>
  <si>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</si>
  <si>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</si>
  <si>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</si>
  <si>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</si>
  <si>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</si>
  <si>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</si>
  <si>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</si>
  <si>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PREDRAG VASILJEVIC</t>
  </si>
  <si>
    <t>SARA MILICIC</t>
  </si>
  <si>
    <t>ELOI VERGÉ</t>
  </si>
  <si>
    <t>C:\Users\eloi.verge\OneDrive - EUROLEAGUE\Desktop\GAME REPORTS\25-26</t>
  </si>
  <si>
    <t>06:46</t>
  </si>
  <si>
    <t>09:13</t>
  </si>
  <si>
    <t>06:52</t>
  </si>
  <si>
    <t>00:41</t>
  </si>
  <si>
    <t>00:29</t>
  </si>
  <si>
    <t>Really good job as always.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</si>
</sst>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I29" sqref="I29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06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06_052_BAH_JER_U2025</v>
      </c>
      <c r="G1" s="5"/>
      <c r="H1" s="5"/>
      <c r="I1" s="5"/>
      <c r="J1" s="8" t="s">
        <v>707</v>
      </c>
      <c r="K1" s="121" t="s">
        <v>752</v>
      </c>
      <c r="L1" s="121"/>
      <c r="M1" s="122" t="s">
        <v>239</v>
      </c>
      <c r="N1" s="121" t="s">
        <v>752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52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45966.791666666664</v>
      </c>
      <c r="C3" s="178"/>
      <c r="D3" s="39">
        <v>610</v>
      </c>
      <c r="E3" s="29"/>
      <c r="F3" s="26">
        <f>SUBTOTAL(3,I17:I106)</f>
        <v>5</v>
      </c>
      <c r="G3" s="27">
        <f>IF(OR(D3="",D3=0),"",F3/D3)</f>
        <v>8.1967213114754103E-3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Bahcesehir College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BAH</v>
      </c>
      <c r="I4" s="5"/>
      <c r="J4" s="119" t="s">
        <v>714</v>
      </c>
      <c r="K4" s="54" t="s">
        <v>742</v>
      </c>
      <c r="L4" s="5"/>
      <c r="M4" s="185" t="s">
        <v>758</v>
      </c>
      <c r="N4" s="186"/>
      <c r="O4" s="2"/>
      <c r="P4" s="2"/>
      <c r="Q4" s="84" t="s">
        <v>175</v>
      </c>
      <c r="R4" s="94">
        <f>(IF(G3="",0,G3))</f>
        <v>8.1967213114754103E-3</v>
      </c>
      <c r="S4" s="61">
        <f>SUM(I13:M13)</f>
        <v>0</v>
      </c>
      <c r="T4" s="78"/>
      <c r="U4" s="61">
        <f>AC18</f>
        <v>3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Hapoel Bank Yahav Jerusalem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JER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0.81967213114754101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746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745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5.3196721311475414</v>
      </c>
      <c r="N7" s="58"/>
      <c r="O7" s="2"/>
      <c r="P7" s="2"/>
      <c r="Q7" s="86">
        <f>SUM(R5,S5,AC16)</f>
        <v>5.3196721311475414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749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5.3196721311475414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743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750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52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751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4.5</v>
      </c>
      <c r="AD16" s="75">
        <f>SUM(AD17:AD24)</f>
        <v>45</v>
      </c>
      <c r="AE16" s="76" t="s">
        <v>42</v>
      </c>
      <c r="AF16" s="75">
        <f>SUM(AF17:AF24)</f>
        <v>5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52</v>
      </c>
      <c r="D17" s="32" t="s">
        <v>753</v>
      </c>
      <c r="E17" s="33">
        <v>1</v>
      </c>
      <c r="F17" s="36">
        <v>8</v>
      </c>
      <c r="G17" s="36">
        <v>8</v>
      </c>
      <c r="H17" s="38" t="str">
        <f>IF(I17="","",$I$14)</f>
        <v>SCOUTING</v>
      </c>
      <c r="I17" s="34">
        <v>39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52</v>
      </c>
      <c r="D18" s="32" t="s">
        <v>754</v>
      </c>
      <c r="E18" s="33">
        <v>3</v>
      </c>
      <c r="F18" s="36">
        <v>41</v>
      </c>
      <c r="G18" s="36">
        <v>53</v>
      </c>
      <c r="H18" s="38" t="str">
        <f t="shared" ref="H18:H81" si="8">IF(I18="","",$I$14)</f>
        <v>SCOUTING</v>
      </c>
      <c r="I18" s="34">
        <v>322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52</v>
      </c>
      <c r="D19" s="32" t="s">
        <v>755</v>
      </c>
      <c r="E19" s="33">
        <v>3</v>
      </c>
      <c r="F19" s="36">
        <v>48</v>
      </c>
      <c r="G19" s="36">
        <v>53</v>
      </c>
      <c r="H19" s="38" t="str">
        <f t="shared" si="8"/>
        <v>SCOUTING</v>
      </c>
      <c r="I19" s="34">
        <v>350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3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52</v>
      </c>
      <c r="D20" s="32" t="s">
        <v>756</v>
      </c>
      <c r="E20" s="33">
        <v>3</v>
      </c>
      <c r="F20" s="36">
        <v>54</v>
      </c>
      <c r="G20" s="36">
        <v>66</v>
      </c>
      <c r="H20" s="38" t="str">
        <f t="shared" si="8"/>
        <v>SCOUTING</v>
      </c>
      <c r="I20" s="34">
        <v>446</v>
      </c>
      <c r="J20" s="13" t="s">
        <v>4</v>
      </c>
      <c r="K20" s="13" t="s">
        <v>62</v>
      </c>
      <c r="L20" s="13" t="s">
        <v>6</v>
      </c>
      <c r="M20" s="13" t="s">
        <v>168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52</v>
      </c>
      <c r="D21" s="32" t="s">
        <v>757</v>
      </c>
      <c r="E21" s="33">
        <v>4</v>
      </c>
      <c r="F21" s="36">
        <v>82</v>
      </c>
      <c r="G21" s="36">
        <v>86</v>
      </c>
      <c r="H21" s="38" t="str">
        <f t="shared" si="8"/>
        <v>SCOUTING</v>
      </c>
      <c r="I21" s="34">
        <v>595</v>
      </c>
      <c r="J21" s="13" t="s">
        <v>4</v>
      </c>
      <c r="K21" s="13" t="s">
        <v>62</v>
      </c>
      <c r="L21" s="13" t="s">
        <v>48</v>
      </c>
      <c r="M21" s="13" t="s">
        <v>168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REPORT_U2025052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"U2025052"</v>
      </c>
      <c r="F3" s="45" t="str">
        <f t="shared" ref="F3:F16" si="0">""""&amp;B3&amp;"""" &amp; " : " &amp;C3&amp;","</f>
        <v>"name" : "U2025052",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"U052"</v>
      </c>
      <c r="F4" s="45" t="str">
        <f t="shared" si="0"/>
        <v>"cod" : "U052",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052</v>
      </c>
      <c r="F6" s="45" t="str">
        <f t="shared" si="0"/>
        <v>"number" : 052,</v>
      </c>
    </row>
    <row r="7" spans="2:6" x14ac:dyDescent="0.25">
      <c r="B7" s="43" t="s">
        <v>116</v>
      </c>
      <c r="C7" s="43" t="str">
        <f ca="1">""""&amp;TEXT('SCOUT &amp; LOGISTICS'!B3,"dd/mm/aaaa")&amp;""""</f>
        <v>"05/11/2025"</v>
      </c>
      <c r="F7" s="45" t="str">
        <f t="shared" ca="1" si="0"/>
        <v>"date" : "05/11/2025",</v>
      </c>
    </row>
    <row r="8" spans="2:6" x14ac:dyDescent="0.25">
      <c r="B8" s="43" t="s">
        <v>125</v>
      </c>
      <c r="C8" s="43" t="str">
        <f>""""&amp;'SCOUT &amp; LOGISTICS'!D4 &amp;""""</f>
        <v>"Bahcesehir College Istanbul"</v>
      </c>
      <c r="F8" s="45" t="str">
        <f t="shared" si="0"/>
        <v>"home_team" : "Bahcesehir College Istanbul",</v>
      </c>
    </row>
    <row r="9" spans="2:6" x14ac:dyDescent="0.25">
      <c r="B9" s="43" t="s">
        <v>126</v>
      </c>
      <c r="C9" s="43" t="str">
        <f>""""&amp;'SCOUT &amp; LOGISTICS'!D5&amp;""""</f>
        <v>"Hapoel Bank Yahav Jerusalem"</v>
      </c>
      <c r="F9" s="45" t="str">
        <f t="shared" si="0"/>
        <v>"away_team" : "Hapoel Bank Yahav Jerusalem",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"PETAR VASILJEVIC"</v>
      </c>
      <c r="F10" s="45" t="str">
        <f t="shared" si="0"/>
        <v>"Data_entry" : "PETAR VASILJEVIC",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"IVANA VASILJEVIC"</v>
      </c>
      <c r="F11" s="45" t="str">
        <f t="shared" si="0"/>
        <v>"Caller_1" : "IVANA VASILJEVIC",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"PREDRAG VASILJEVIC"</v>
      </c>
      <c r="F12" s="45" t="str">
        <f t="shared" si="0"/>
        <v>"Caller_2" : "PREDRAG VASILJEVIC",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"ANA KRSTIC"</v>
      </c>
      <c r="F13" s="45" t="str">
        <f t="shared" si="0"/>
        <v>"Timerkeeper" : "ANA KRSTIC",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"SARA MILICIC"</v>
      </c>
      <c r="F14" s="45" t="str">
        <f t="shared" si="0"/>
        <v>"Shotclock" : "SARA MILICIC",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VERGÉ"</v>
      </c>
      <c r="F16" s="45" t="str">
        <f t="shared" si="0"/>
        <v>"Live_Game_Manager" : "ELOI VERGÉ",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610</v>
      </c>
      <c r="F25" s="45" t="str">
        <f t="shared" ref="F25:F48" si="1">""""&amp;C25&amp;"""" &amp; " : " &amp;D25&amp;","</f>
        <v>"total_actions" : 610,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"0,8%"</v>
      </c>
      <c r="F27" s="45" t="str">
        <f t="shared" si="1"/>
        <v>"%_corrections" : "0,8%",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3</v>
      </c>
      <c r="F33" s="45" t="str">
        <f t="shared" si="1"/>
        <v>"q3" : 3,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"Really good job as always. Keep it up!"</v>
      </c>
      <c r="F51" s="45" t="str">
        <f>""""&amp;B51&amp;"""" &amp; " : " &amp;C51&amp;","</f>
        <v>"comments" : "Really good job as always. Keep it up!",</v>
      </c>
    </row>
    <row r="52" spans="2:6" x14ac:dyDescent="0.25">
      <c r="B52" s="43" t="s">
        <v>153</v>
      </c>
      <c r="C52" s="43" t="str">
        <f>TEXT('SCOUT &amp; LOGISTICS'!F1,"0,0")</f>
        <v>06_052_BAH_JER_U2025</v>
      </c>
      <c r="F52" s="45" t="str">
        <f>""""&amp;B52&amp;"""" &amp; " : " &amp;C52</f>
        <v>"result" : 06_052_BAH_JER_U2025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5">
      <c r="A3" s="48"/>
      <c r="B3" s="202" t="str">
        <f>"GAME: "&amp; LEFT('SCOUT &amp; LOGISTICS'!B2,1) &amp; TEXT('SCOUT &amp; LOGISTICS'!C2,"000") &amp; " " &amp; IF(LEFT('SCOUT &amp; LOGISTICS'!B2,1)="U","(EUROCUP)","(EUROLEAGUE)")</f>
        <v>GAME: U052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5">
      <c r="A4" s="48"/>
      <c r="B4" s="200" t="str">
        <f ca="1">"DATE: " &amp; TEXT('SCOUT &amp; LOGISTICS'!B3,"dd/mm")</f>
        <v>DATE: 05/11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5">
      <c r="A6" s="48"/>
      <c r="B6" s="197" t="str">
        <f>PROPER('SCOUT &amp; LOGISTICS'!D4)</f>
        <v>Bahcesehir College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Hapoel Bank Yahav Jerusalem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5">
      <c r="A8" s="48"/>
      <c r="B8" s="201" t="str">
        <f>IF('SCOUT &amp; LOGISTICS'!D6="","",'SCOUT &amp; LOGISTICS'!D6)</f>
        <v>PETAR VASILJEVIC</v>
      </c>
      <c r="C8" s="201"/>
      <c r="D8" s="201"/>
      <c r="E8" s="201"/>
      <c r="F8" s="201"/>
      <c r="G8" s="201" t="str">
        <f>IF('SCOUT &amp; LOGISTICS'!D7="","",'SCOUT &amp; LOGISTICS'!D7)</f>
        <v>IVANA VASILJEVIC</v>
      </c>
      <c r="H8" s="201"/>
      <c r="I8" s="201"/>
      <c r="J8" s="201"/>
      <c r="K8" s="201"/>
      <c r="L8" s="201" t="str">
        <f>IF('SCOUT &amp; LOGISTICS'!D8="","",'SCOUT &amp; LOGISTICS'!D8)</f>
        <v>PREDRAG VASILJEVIC</v>
      </c>
      <c r="M8" s="201"/>
      <c r="N8" s="201"/>
      <c r="O8" s="201"/>
      <c r="P8" s="201"/>
      <c r="Q8" s="201" t="str">
        <f>IF('SCOUT &amp; LOGISTICS'!D9="","",'SCOUT &amp; LOGISTICS'!D9)</f>
        <v>ANA KRSTIC</v>
      </c>
      <c r="R8" s="201"/>
      <c r="S8" s="201"/>
      <c r="T8" s="201"/>
      <c r="U8" s="201"/>
      <c r="V8" s="201" t="str">
        <f>IF('SCOUT &amp; LOGISTICS'!D10="","",'SCOUT &amp; LOGISTICS'!D10)</f>
        <v>SARA MILICIC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6" thickBot="1" x14ac:dyDescent="0.5">
      <c r="A9" s="48"/>
      <c r="B9" s="209" t="str">
        <f>IF(OR('SCOUT &amp; LOGISTICS'!D14="",'SCOUT &amp; LOGISTICS'!D14=0),"",'SCOUT &amp; LOGISTICS'!B14 &amp; ": " &amp; 'SCOUT &amp; LOGISTICS'!D14) &amp; "     "</f>
        <v xml:space="preserve">L G M: : ELOI VERGÉ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6" thickBot="1" x14ac:dyDescent="0.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6" thickBot="1" x14ac:dyDescent="0.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3">
        <f>'SCOUT &amp; LOGISTICS'!D3</f>
        <v>610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5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8.1967213114754103E-3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6" thickBot="1" x14ac:dyDescent="0.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9">
        <f>IF('SCOUT &amp; LOGISTICS'!AA17="","",'SCOUT &amp; LOGISTICS'!AA17)</f>
        <v>2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3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3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6" thickBot="1" x14ac:dyDescent="0.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9">
        <f>'SCOUT &amp; LOGISTICS'!Y17</f>
        <v>5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9">
        <f>'SCOUT &amp; LOGISTICS'!AC18</f>
        <v>3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9">
        <f>'SCOUT &amp; LOGISTICS'!AC25</f>
        <v>1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6" thickBot="1" x14ac:dyDescent="0.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5">
      <c r="A32" s="48"/>
      <c r="B32" s="211" t="str">
        <f>IF('SCOUT &amp; LOGISTICS'!M4="","",'SCOUT &amp; LOGISTICS'!M4)</f>
        <v>Really good job as always.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212">
        <f>'SCOUT &amp; LOGISTICS'!M7</f>
        <v>5.3196721311475414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06E4177-80C9-4A36-871A-24FDA546006B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2025-11-04T14:09:52Z</cp:lastPrinted>
  <dcterms:created xsi:type="dcterms:W3CDTF">2023-09-19T19:50:35Z</dcterms:created>
  <dcterms:modified xsi:type="dcterms:W3CDTF">2025-11-06T15:17:36Z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