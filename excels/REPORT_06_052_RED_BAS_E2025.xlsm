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2" documentId="8_{80949E44-C285-4A60-AE22-B9653A9DD86A}" xr6:coauthVersionLast="47" xr6:coauthVersionMax="47" xr10:uidLastSave="{C6D57444-60FB-484B-887E-8AC19C4129F8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<sst xmlns="http://schemas.openxmlformats.org/spreadsheetml/2006/main" count="3260" uniqueCount="761">
  <si>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</si>
  <si>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</si>
  <si>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</si>
  <si>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</si>
  <si>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</si>
  <si>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</si>
  <si>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</si>
  <si>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</si>
  <si>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</si>
  <si>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</si>
  <si>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</si>
  <si>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</si>
  <si>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</si>
  <si>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</si>
  <si>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</si>
  <si>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</si>
  <si>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</si>
  <si>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</si>
  <si>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</si>
  <si>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</si>
  <si>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</si>
  <si>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</si>
  <si>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</si>
  <si>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</si>
  <si>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</si>
  <si>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</si>
  <si>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</si>
  <si>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</si>
  <si>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</si>
  <si>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</si>
  <si>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</si>
  <si>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</si>
  <si>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</si>
  <si>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</si>
  <si>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</si>
  <si>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</si>
  <si>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</si>
  <si>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</si>
  <si>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</si>
  <si>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</si>
  <si>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</si>
  <si>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</si>
  <si>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</si>
  <si>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</si>
  <si>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</si>
  <si>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</si>
  <si>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</si>
  <si>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</si>
  <si>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</si>
  <si>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</si>
  <si>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</si>
  <si>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</si>
  <si>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</si>
  <si>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</si>
  <si>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</si>
  <si>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</si>
  <si>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</si>
  <si>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</si>
  <si>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</si>
  <si>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</si>
  <si>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</si>
  <si>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</si>
  <si>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</si>
  <si>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</si>
  <si>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</si>
  <si>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</si>
  <si>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</si>
  <si>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</si>
  <si>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</si>
  <si>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</si>
  <si>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</si>
  <si>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</si>
  <si>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</si>
  <si>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</si>
  <si>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</si>
  <si>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</si>
  <si>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</si>
  <si>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</si>
  <si>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</si>
  <si>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</si>
  <si>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</si>
  <si>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</si>
  <si>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</si>
  <si>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</si>
  <si>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</si>
  <si>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</si>
  <si>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</si>
  <si>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</si>
  <si>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</si>
  <si>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</si>
  <si>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</si>
  <si>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</si>
  <si>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</si>
  <si>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</si>
  <si>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</si>
  <si>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</si>
  <si>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</si>
  <si>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</si>
  <si>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</si>
  <si>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</si>
  <si>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</si>
  <si>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</si>
  <si>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</si>
  <si>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</si>
  <si>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</si>
  <si>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</si>
  <si>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</si>
  <si>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</si>
  <si>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</si>
  <si>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</si>
  <si>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</si>
  <si>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</si>
  <si>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</si>
  <si>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</si>
  <si>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</si>
  <si>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</si>
  <si>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</si>
  <si>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</si>
  <si>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</si>
  <si>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</si>
  <si>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</si>
  <si>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</si>
  <si>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</si>
  <si>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</si>
  <si>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</si>
  <si>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</si>
  <si>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</si>
  <si>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</si>
  <si>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</si>
  <si>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</si>
  <si>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</si>
  <si>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</si>
  <si>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</si>
  <si>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</si>
  <si>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</si>
  <si>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</si>
  <si>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</si>
  <si>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</si>
  <si>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</si>
  <si>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</si>
  <si>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</si>
  <si>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</si>
  <si>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</si>
  <si>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</si>
  <si>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</si>
  <si>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</si>
  <si>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</si>
  <si>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</si>
  <si>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</si>
  <si>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</si>
  <si>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</si>
  <si>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</si>
  <si>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</si>
  <si>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</si>
  <si>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</si>
  <si>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</si>
  <si>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</si>
  <si>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</si>
  <si>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</si>
  <si>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</si>
  <si>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</si>
  <si>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</si>
  <si>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</si>
  <si>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</si>
  <si>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</si>
  <si>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</si>
  <si>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</si>
  <si>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</si>
  <si>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</si>
  <si>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</si>
  <si>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</si>
  <si>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</si>
  <si>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</si>
  <si>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</si>
  <si>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</si>
  <si>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</si>
  <si>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</si>
  <si>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</si>
  <si>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</si>
  <si>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</si>
  <si>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</si>
  <si>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</si>
  <si>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</si>
  <si>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</si>
  <si>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</si>
  <si>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</si>
  <si>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</si>
  <si>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</si>
  <si>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</si>
  <si>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</si>
  <si>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</si>
  <si>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</si>
  <si>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</si>
  <si>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</si>
  <si>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</si>
  <si>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</si>
  <si>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</si>
  <si>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</si>
  <si>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</si>
  <si>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</si>
  <si>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</si>
  <si>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</si>
  <si>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</si>
  <si>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</si>
  <si>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</si>
  <si>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</si>
  <si>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</si>
  <si>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</si>
  <si>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</si>
  <si>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</si>
  <si>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</si>
  <si>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</si>
  <si>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</si>
  <si>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</si>
  <si>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</si>
  <si>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</si>
  <si>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</si>
  <si>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</si>
  <si>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</si>
  <si>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</si>
  <si>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</si>
  <si>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</si>
  <si>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</si>
  <si>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</si>
  <si>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</si>
  <si>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</si>
  <si>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</si>
  <si>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</si>
  <si>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</si>
  <si>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</si>
  <si>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</si>
  <si>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</si>
  <si>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</si>
  <si>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</si>
  <si>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</si>
  <si>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</si>
  <si>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</si>
  <si>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</si>
  <si>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</si>
  <si>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</si>
  <si>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</si>
  <si>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</si>
  <si>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</si>
  <si>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</si>
  <si>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</si>
  <si>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</si>
  <si>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</si>
  <si>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</si>
  <si>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</si>
  <si>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</si>
  <si>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</si>
  <si>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</si>
  <si>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</si>
  <si>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</si>
  <si>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</si>
  <si>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</si>
  <si>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</si>
  <si>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</si>
  <si>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</si>
  <si>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</si>
  <si>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</si>
  <si>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</si>
  <si>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</si>
  <si>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</si>
  <si>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</si>
  <si>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</si>
  <si>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</si>
  <si>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</si>
  <si>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</si>
  <si>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</si>
  <si>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</si>
  <si>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</si>
  <si>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</si>
  <si>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</si>
  <si>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</si>
  <si>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</si>
  <si>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</si>
  <si>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</si>
  <si>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</si>
  <si>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</si>
  <si>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</si>
  <si>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</si>
  <si>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</si>
  <si>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</si>
  <si>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</si>
  <si>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</si>
  <si>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</si>
  <si>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</si>
  <si>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</si>
  <si>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</si>
  <si>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</si>
  <si>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</si>
  <si>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</si>
  <si>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</si>
  <si>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</si>
  <si>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</si>
  <si>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</si>
  <si>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</si>
  <si>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</si>
  <si>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</si>
  <si>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</si>
  <si>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</si>
  <si>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</si>
  <si>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</si>
  <si>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</si>
  <si>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</si>
  <si>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</si>
  <si>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</si>
  <si>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</si>
  <si>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</si>
  <si>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</si>
  <si>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</si>
  <si>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</si>
  <si>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</si>
  <si>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</si>
  <si>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</si>
  <si>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</si>
  <si>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</si>
  <si>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</si>
  <si>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</si>
  <si>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</si>
  <si>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</si>
  <si>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</si>
  <si>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</si>
  <si>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</si>
  <si>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</si>
  <si>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</si>
  <si>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</si>
  <si>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</si>
  <si>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</si>
  <si>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</si>
  <si>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</si>
  <si>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</si>
  <si>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</si>
  <si>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</si>
  <si>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</si>
  <si>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</si>
  <si>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</si>
  <si>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</si>
  <si>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</si>
  <si>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</si>
  <si>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</si>
  <si>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</si>
  <si>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</si>
  <si>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</si>
  <si>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</si>
  <si>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</si>
  <si>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</si>
  <si>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</si>
  <si>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</si>
  <si>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</si>
  <si>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</si>
  <si>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</si>
  <si>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</si>
  <si>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</si>
  <si>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</si>
  <si>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</si>
  <si>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</si>
  <si>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</si>
  <si>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</si>
  <si>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</si>
  <si>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</si>
  <si>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</si>
  <si>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</si>
  <si>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</si>
  <si>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</si>
  <si>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</si>
  <si>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</si>
  <si>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</si>
  <si>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</si>
  <si>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</si>
  <si>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</si>
  <si>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</si>
  <si>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</si>
  <si>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</si>
  <si>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</si>
  <si>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</si>
  <si>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</si>
  <si>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</si>
  <si>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</si>
  <si>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</si>
  <si>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</si>
  <si>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</si>
  <si>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</si>
  <si>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</si>
  <si>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</si>
  <si>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</si>
  <si>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</si>
  <si>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</si>
  <si>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</si>
  <si>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</si>
  <si>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</si>
  <si>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</si>
  <si>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</si>
  <si>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</si>
  <si>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</si>
  <si>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</si>
  <si>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</si>
  <si>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</si>
  <si>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</si>
  <si>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</si>
  <si>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</si>
  <si>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</si>
  <si>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</si>
  <si>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</si>
  <si>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</si>
  <si>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</si>
  <si>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</si>
  <si>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</si>
  <si>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</si>
  <si>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</si>
  <si>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</si>
  <si>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</si>
  <si>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</si>
  <si>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</si>
  <si>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</si>
  <si>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</si>
  <si>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</si>
  <si>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</si>
  <si>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</si>
  <si>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</si>
  <si>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</si>
  <si>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</si>
  <si>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</si>
  <si>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</si>
  <si>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</si>
  <si>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</si>
  <si>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</si>
  <si>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</si>
  <si>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</si>
  <si>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</si>
  <si>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</si>
  <si>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</si>
  <si>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</si>
  <si>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</si>
  <si>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</si>
  <si>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</si>
  <si>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</si>
  <si>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</si>
  <si>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</si>
  <si>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</si>
  <si>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</si>
  <si>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</si>
  <si>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</si>
  <si>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</si>
  <si>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</si>
  <si>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</si>
  <si>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</si>
  <si>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</si>
  <si>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</si>
  <si>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</si>
  <si>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</si>
  <si>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</si>
  <si>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</si>
  <si>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</si>
  <si>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</si>
  <si>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</si>
  <si>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</si>
  <si>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</si>
  <si>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</si>
  <si>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</si>
  <si>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</si>
  <si>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</si>
  <si>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</si>
  <si>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</si>
  <si>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</si>
  <si>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</si>
  <si>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</si>
  <si>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</si>
  <si>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</si>
  <si>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</si>
  <si>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</si>
  <si>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</si>
  <si>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</si>
  <si>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</si>
  <si>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</si>
  <si>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</si>
  <si>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</si>
  <si>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</si>
  <si>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</si>
  <si>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</si>
  <si>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</si>
  <si>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</si>
  <si>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</si>
  <si>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</si>
  <si>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</si>
  <si>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</si>
  <si>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</si>
  <si>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</si>
  <si>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</si>
  <si>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</si>
  <si>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</si>
  <si>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</si>
  <si>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</si>
  <si>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</si>
  <si>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</si>
  <si>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</si>
  <si>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</si>
  <si>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</si>
  <si>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</si>
  <si>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</si>
  <si>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</si>
  <si>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</si>
  <si>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</si>
  <si>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</si>
  <si>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</si>
  <si>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</si>
  <si>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</si>
  <si>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</si>
  <si>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</si>
  <si>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</si>
  <si>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</si>
  <si>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</si>
  <si>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</si>
  <si>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</si>
  <si>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</si>
  <si>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</si>
  <si>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</si>
  <si>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</si>
  <si>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</si>
  <si>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</si>
  <si>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</si>
  <si>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</si>
  <si>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</si>
  <si>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</si>
  <si>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</si>
  <si>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</si>
  <si>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</si>
  <si>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</si>
  <si>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</si>
  <si>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</si>
  <si>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</si>
  <si>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</si>
  <si>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</si>
  <si>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</si>
  <si>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</si>
  <si>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</si>
  <si>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</si>
  <si>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</si>
  <si>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</si>
  <si>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</si>
  <si>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</si>
  <si>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</si>
  <si>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</si>
  <si>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</si>
  <si>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</si>
  <si>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</si>
  <si>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</si>
  <si>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</si>
  <si>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</si>
  <si>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</si>
  <si>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</si>
  <si>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</si>
  <si>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</si>
  <si>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</si>
  <si>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</si>
  <si>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</si>
  <si>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</si>
  <si>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</si>
  <si>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</si>
  <si>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</si>
  <si>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</si>
  <si>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</si>
  <si>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</si>
  <si>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</si>
  <si>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</si>
  <si>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</si>
  <si>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</si>
  <si>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</si>
  <si>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</si>
  <si>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</si>
  <si>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</si>
  <si>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</si>
  <si>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</si>
  <si>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</si>
  <si>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</si>
  <si>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</si>
  <si>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</si>
  <si>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</si>
  <si>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</si>
  <si>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</si>
  <si>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</si>
  <si>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</si>
  <si>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</si>
  <si>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</si>
  <si>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</si>
  <si>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</si>
  <si>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</si>
  <si>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</si>
  <si>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</si>
  <si>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</si>
  <si>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</si>
  <si>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</si>
  <si>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</si>
  <si>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</si>
  <si>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</si>
  <si>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</si>
  <si>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</si>
  <si>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</si>
  <si>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</si>
  <si>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</si>
  <si>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</si>
  <si>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</si>
  <si>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</si>
  <si>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</si>
  <si>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</si>
  <si>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</si>
  <si>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</si>
  <si>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</si>
  <si>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</si>
  <si>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</si>
  <si>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</si>
  <si>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</si>
  <si>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</si>
  <si>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</si>
  <si>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</si>
  <si>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</si>
  <si>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</si>
  <si>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</si>
  <si>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</si>
  <si>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</si>
  <si>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</si>
  <si>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</si>
  <si>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</si>
  <si>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</si>
  <si>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</si>
  <si>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</si>
  <si>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</si>
  <si>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</si>
  <si>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</si>
  <si>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</si>
  <si>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</si>
  <si>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</si>
  <si>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</si>
  <si>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</si>
  <si>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</si>
  <si>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</si>
  <si>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</si>
  <si>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</si>
  <si>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</si>
  <si>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</si>
  <si>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</si>
  <si>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</si>
  <si>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</si>
  <si>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</si>
  <si>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</si>
  <si>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</si>
  <si>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</si>
  <si>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</si>
  <si>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</si>
  <si>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</si>
  <si>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</si>
  <si>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</si>
  <si>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</si>
  <si>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</si>
  <si>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</si>
  <si>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</si>
  <si>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</si>
  <si>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</si>
  <si>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</si>
  <si>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</si>
  <si>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</si>
  <si>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</si>
  <si>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</si>
  <si>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</si>
  <si>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</si>
  <si>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</si>
  <si>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</si>
  <si>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</si>
  <si>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</si>
  <si>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</si>
  <si>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</si>
  <si>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</si>
  <si>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</si>
  <si>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</si>
  <si>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</si>
  <si>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</si>
  <si>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</si>
  <si>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</si>
  <si>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</si>
  <si>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</si>
  <si>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</si>
  <si>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</si>
  <si>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</si>
  <si>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</si>
  <si>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</si>
  <si>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</si>
  <si>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</si>
  <si>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</si>
  <si>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</si>
  <si>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</si>
  <si>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</si>
  <si>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</si>
  <si>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</si>
  <si>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</si>
  <si>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</si>
  <si>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</si>
  <si>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</si>
  <si>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</si>
  <si>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</si>
  <si>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</si>
  <si>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</si>
  <si>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</si>
  <si>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</si>
  <si>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</si>
  <si>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</si>
  <si>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</si>
  <si>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</si>
  <si>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</si>
  <si>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</si>
  <si>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</si>
  <si>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</si>
  <si>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</si>
  <si>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</si>
  <si>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</si>
  <si>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</si>
  <si>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</si>
  <si>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</si>
  <si>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</si>
  <si>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</si>
  <si>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</si>
  <si>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</si>
  <si>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</si>
  <si>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</si>
  <si>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</si>
  <si>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</si>
  <si>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</si>
  <si>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</si>
  <si>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</si>
  <si>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</si>
  <si>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</si>
  <si>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</si>
  <si>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</si>
  <si>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</si>
  <si>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</si>
  <si>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</si>
  <si>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</si>
  <si>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</si>
  <si>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</si>
  <si>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</si>
  <si>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</si>
  <si>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</si>
  <si>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</si>
  <si>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</si>
  <si>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</si>
  <si>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</si>
  <si>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</si>
  <si>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</si>
  <si>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</si>
  <si>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IVAN MOSIC</t>
  </si>
  <si>
    <t>MIODRAG STOJANOVIC</t>
  </si>
  <si>
    <t>MILOS KREMIC</t>
  </si>
  <si>
    <t>BOJANA KRALJEVIC</t>
  </si>
  <si>
    <t>MIROSLAVA DERIKONJIC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</si>
  <si>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</si>
  <si>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</si>
  <si>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</si>
  <si>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5:56</t>
  </si>
  <si>
    <t>4:06</t>
  </si>
  <si>
    <t>0:36</t>
  </si>
  <si>
    <t>You did a very good job. Remember to let us know if there is a substitution issue or something else important, we are here to help.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</si>
</sst>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06_052_RED_BAS_E2025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52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45953.875</v>
      </c>
      <c r="C3" s="157"/>
      <c r="D3" s="39">
        <v>643</v>
      </c>
      <c r="E3" s="29"/>
      <c r="F3" s="26">
        <f>SUBTOTAL(3,I17:I106)</f>
        <v>3</v>
      </c>
      <c r="G3" s="27">
        <f>IF(OR(D3="",D3=0),"",F3/D3)</f>
        <v>4.6656298600311046E-3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Crvena Zvezda Meridianbet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4.6656298600311046E-3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0.46656298600311047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6.9665629860031109</v>
      </c>
      <c r="N7" s="58"/>
      <c r="O7" s="2"/>
      <c r="P7" s="2"/>
      <c r="Q7" s="86">
        <f>SUM(R5,S5,AC16)</f>
        <v>6.9665629860031109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6.96656298600311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743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52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52</v>
      </c>
      <c r="D17" s="32" t="s">
        <v>757</v>
      </c>
      <c r="E17" s="33">
        <v>2</v>
      </c>
      <c r="F17" s="36">
        <v>26</v>
      </c>
      <c r="G17" s="36">
        <v>28</v>
      </c>
      <c r="H17" s="38" t="str">
        <f>IF(I17="","",$I$14)</f>
        <v>SCOUTING</v>
      </c>
      <c r="I17" s="34">
        <v>197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52</v>
      </c>
      <c r="D18" s="32" t="s">
        <v>758</v>
      </c>
      <c r="E18" s="33">
        <v>2</v>
      </c>
      <c r="F18" s="36">
        <v>28</v>
      </c>
      <c r="G18" s="36">
        <v>32</v>
      </c>
      <c r="H18" s="38" t="str">
        <f t="shared" ref="H18:H81" si="8">IF(I18="","",$I$14)</f>
        <v>SCOUTING</v>
      </c>
      <c r="I18" s="34">
        <v>217</v>
      </c>
      <c r="J18" s="13" t="s">
        <v>4</v>
      </c>
      <c r="K18" s="13" t="s">
        <v>63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52</v>
      </c>
      <c r="D19" s="32" t="s">
        <v>759</v>
      </c>
      <c r="E19" s="33">
        <v>2</v>
      </c>
      <c r="F19" s="36">
        <v>40</v>
      </c>
      <c r="G19" s="36">
        <v>43</v>
      </c>
      <c r="H19" s="38" t="str">
        <f t="shared" si="8"/>
        <v>SCOUTING</v>
      </c>
      <c r="I19" s="34">
        <v>280</v>
      </c>
      <c r="J19" s="13" t="s">
        <v>4</v>
      </c>
      <c r="K19" s="13" t="s">
        <v>63</v>
      </c>
      <c r="L19" s="13" t="s">
        <v>78</v>
      </c>
      <c r="M19" s="13" t="s">
        <v>78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REPORT_E2025052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"E2025052"</v>
      </c>
      <c r="F3" s="45" t="str">
        <f t="shared" ref="F3:F16" si="0">""""&amp;B3&amp;"""" &amp; " : " &amp;C3&amp;","</f>
        <v>"name" : "E2025052",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"E052"</v>
      </c>
      <c r="F4" s="45" t="str">
        <f t="shared" si="0"/>
        <v>"cod" : "E052",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052</v>
      </c>
      <c r="F6" s="45" t="str">
        <f t="shared" si="0"/>
        <v>"number" : 052,</v>
      </c>
    </row>
    <row r="7" spans="2:6" x14ac:dyDescent="0.25">
      <c r="B7" s="43" t="s">
        <v>116</v>
      </c>
      <c r="C7" s="43" t="str">
        <f ca="1">""""&amp;TEXT('SCOUT &amp; LOGISTICS'!B3,"dd/mm/aaaa")&amp;""""</f>
        <v>"23/10/Thursday"</v>
      </c>
      <c r="F7" s="45" t="str">
        <f t="shared" ca="1" si="0"/>
        <v>"date" : "23/10/Thursday",</v>
      </c>
    </row>
    <row r="8" spans="2:6" x14ac:dyDescent="0.25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"BOJANA KRALJEVIC"</v>
      </c>
      <c r="F13" s="45" t="str">
        <f t="shared" si="0"/>
        <v>"Timerkeeper" : "BOJANA KRALJEVIC",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"MIROSLAVA DERIKONJIC"</v>
      </c>
      <c r="F14" s="45" t="str">
        <f t="shared" si="0"/>
        <v>"Shotclock" : "MIROSLAVA DERIKONJIC",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 KRSTIC"</v>
      </c>
      <c r="F15" s="45" t="str">
        <f t="shared" si="0"/>
        <v>"IRS" : "ANA KRSTIC",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643</v>
      </c>
      <c r="F25" s="45" t="str">
        <f t="shared" ref="F25:F48" si="1">""""&amp;C25&amp;"""" &amp; " : " &amp;D25&amp;","</f>
        <v>"total_actions" : 643,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did a very good job. Remember to let us know if there is a substitution issue or something else important, we are here to help. Keep it up!"</v>
      </c>
      <c r="F51" s="45" t="str">
        <f>""""&amp;B51&amp;"""" &amp; " : " &amp;C51&amp;","</f>
        <v>"comments" : "You did a very good job. Remember to let us know if there is a substitution issue or something else important, we are here to help. Keep it up!",</v>
      </c>
    </row>
    <row r="52" spans="2:6" x14ac:dyDescent="0.25">
      <c r="B52" s="43" t="s">
        <v>153</v>
      </c>
      <c r="C52" s="43" t="str">
        <f>TEXT('SCOUT &amp; LOGISTICS'!F1,"0,0")</f>
        <v>06_052_RED_BAS_E2025</v>
      </c>
      <c r="F52" s="45" t="str">
        <f>""""&amp;B52&amp;"""" &amp; " : " &amp;C52</f>
        <v>"result" : 06_052_RED_BAS_E2025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E052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Crvena Zvezda Meridianbet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IVAN MOSIC</v>
      </c>
      <c r="C8" s="206"/>
      <c r="D8" s="206"/>
      <c r="E8" s="206"/>
      <c r="F8" s="206"/>
      <c r="G8" s="206" t="str">
        <f>IF('SCOUT &amp; LOGISTICS'!D7="","",'SCOUT &amp; LOGISTICS'!D7)</f>
        <v>MIODRAG STOJANOVIC</v>
      </c>
      <c r="H8" s="206"/>
      <c r="I8" s="206"/>
      <c r="J8" s="206"/>
      <c r="K8" s="206"/>
      <c r="L8" s="206" t="str">
        <f>IF('SCOUT &amp; LOGISTICS'!D8="","",'SCOUT &amp; LOGISTICS'!D8)</f>
        <v>MILOS KREMIC</v>
      </c>
      <c r="M8" s="206"/>
      <c r="N8" s="206"/>
      <c r="O8" s="206"/>
      <c r="P8" s="206"/>
      <c r="Q8" s="206" t="str">
        <f>IF('SCOUT &amp; LOGISTICS'!D9="","",'SCOUT &amp; LOGISTICS'!D9)</f>
        <v>BOJANA KRALJEVIC</v>
      </c>
      <c r="R8" s="206"/>
      <c r="S8" s="206"/>
      <c r="T8" s="206"/>
      <c r="U8" s="206"/>
      <c r="V8" s="206" t="str">
        <f>IF('SCOUT &amp; LOGISTICS'!D10="","",'SCOUT &amp; LOGISTICS'!D10)</f>
        <v>MIROSLAVA DERIKONJIC</v>
      </c>
      <c r="W8" s="206"/>
      <c r="X8" s="206"/>
      <c r="Y8" s="206"/>
      <c r="Z8" s="206"/>
      <c r="AA8" s="206" t="str">
        <f>IF('SCOUT &amp; LOGISTICS'!D11="","",'SCOUT &amp; LOGISTICS'!D11)</f>
        <v>ANA KRSTIC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643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4.6656298600311046E-3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You did a very good job. Remember to let us know if there is a substitution issue or something else important, we are here to help.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6.9665629860031109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D67C7F7-711E-472F-A2C6-AAF259C4207D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2025-10-23T21:16:26Z</cp:lastPrinted>
  <dcterms:created xsi:type="dcterms:W3CDTF">2023-09-19T19:50:35Z</dcterms:created>
  <dcterms:modified xsi:type="dcterms:W3CDTF">2025-10-23T21:16:29Z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