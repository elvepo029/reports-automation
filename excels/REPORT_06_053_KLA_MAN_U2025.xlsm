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5" documentId="8_{D1F0D883-C2FE-4AD4-9FC4-B1A73C5B4771}" xr6:coauthVersionLast="47" xr6:coauthVersionMax="47" xr10:uidLastSave="{170C11FD-9FDC-4071-AE63-331FBC0883B1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<sst xmlns="http://schemas.openxmlformats.org/spreadsheetml/2006/main" count="3289" uniqueCount="767">
  <si>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</si>
  <si>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</si>
  <si>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</si>
  <si>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</si>
  <si>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</si>
  <si>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</si>
  <si>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</si>
  <si>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</si>
  <si>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</si>
  <si>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</si>
  <si>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</si>
  <si>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</si>
  <si>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</si>
  <si>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</si>
  <si>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</si>
  <si>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</si>
  <si>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</si>
  <si>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</si>
  <si>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</si>
  <si>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</si>
  <si>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</si>
  <si>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</si>
  <si>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</si>
  <si>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</si>
  <si>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</si>
  <si>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</si>
  <si>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</si>
  <si>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</si>
  <si>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</si>
  <si>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</si>
  <si>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</si>
  <si>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</si>
  <si>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</si>
  <si>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</si>
  <si>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</si>
  <si>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</si>
  <si>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</si>
  <si>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</si>
  <si>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</si>
  <si>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</si>
  <si>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</si>
  <si>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</si>
  <si>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</si>
  <si>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</si>
  <si>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</si>
  <si>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</si>
  <si>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</si>
  <si>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</si>
  <si>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</si>
  <si>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</si>
  <si>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</si>
  <si>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</si>
  <si>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</si>
  <si>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</si>
  <si>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</si>
  <si>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</si>
  <si>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</si>
  <si>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</si>
  <si>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</si>
  <si>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</si>
  <si>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</si>
  <si>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</si>
  <si>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</si>
  <si>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</si>
  <si>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</si>
  <si>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</si>
  <si>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</si>
  <si>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</si>
  <si>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</si>
  <si>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</si>
  <si>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</si>
  <si>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</si>
  <si>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</si>
  <si>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</si>
  <si>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</si>
  <si>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</si>
  <si>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</si>
  <si>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</si>
  <si>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</si>
  <si>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</si>
  <si>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</si>
  <si>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</si>
  <si>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</si>
  <si>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</si>
  <si>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</si>
  <si>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</si>
  <si>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</si>
  <si>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</si>
  <si>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</si>
  <si>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</si>
  <si>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</si>
  <si>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</si>
  <si>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</si>
  <si>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</si>
  <si>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</si>
  <si>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</si>
  <si>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</si>
  <si>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</si>
  <si>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</si>
  <si>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</si>
  <si>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</si>
  <si>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</si>
  <si>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</si>
  <si>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</si>
  <si>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</si>
  <si>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</si>
  <si>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</si>
  <si>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</si>
  <si>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</si>
  <si>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</si>
  <si>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</si>
  <si>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</si>
  <si>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</si>
  <si>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</si>
  <si>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</si>
  <si>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</si>
  <si>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</si>
  <si>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</si>
  <si>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</si>
  <si>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</si>
  <si>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</si>
  <si>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</si>
  <si>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</si>
  <si>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</si>
  <si>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</si>
  <si>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</si>
  <si>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</si>
  <si>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</si>
  <si>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</si>
  <si>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</si>
  <si>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</si>
  <si>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</si>
  <si>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</si>
  <si>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</si>
  <si>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</si>
  <si>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</si>
  <si>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</si>
  <si>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</si>
  <si>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</si>
  <si>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</si>
  <si>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</si>
  <si>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</si>
  <si>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</si>
  <si>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</si>
  <si>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</si>
  <si>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</si>
  <si>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</si>
  <si>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</si>
  <si>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</si>
  <si>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</si>
  <si>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</si>
  <si>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</si>
  <si>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</si>
  <si>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</si>
  <si>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</si>
  <si>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</si>
  <si>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</si>
  <si>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</si>
  <si>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</si>
  <si>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</si>
  <si>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</si>
  <si>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</si>
  <si>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</si>
  <si>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</si>
  <si>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</si>
  <si>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</si>
  <si>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</si>
  <si>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</si>
  <si>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</si>
  <si>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</si>
  <si>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</si>
  <si>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</si>
  <si>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</si>
  <si>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</si>
  <si>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</si>
  <si>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</si>
  <si>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</si>
  <si>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</si>
  <si>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</si>
  <si>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</si>
  <si>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</si>
  <si>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</si>
  <si>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</si>
  <si>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</si>
  <si>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</si>
  <si>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</si>
  <si>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</si>
  <si>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</si>
  <si>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</si>
  <si>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</si>
  <si>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</si>
  <si>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</si>
  <si>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</si>
  <si>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</si>
  <si>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</si>
  <si>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</si>
  <si>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</si>
  <si>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</si>
  <si>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</si>
  <si>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</si>
  <si>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</si>
  <si>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</si>
  <si>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</si>
  <si>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</si>
  <si>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</si>
  <si>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</si>
  <si>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</si>
  <si>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</si>
  <si>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</si>
  <si>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</si>
  <si>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</si>
  <si>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</si>
  <si>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</si>
  <si>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</si>
  <si>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</si>
  <si>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</si>
  <si>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</si>
  <si>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</si>
  <si>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</si>
  <si>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</si>
  <si>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</si>
  <si>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</si>
  <si>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</si>
  <si>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</si>
  <si>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</si>
  <si>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</si>
  <si>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</si>
  <si>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</si>
  <si>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</si>
  <si>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</si>
  <si>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</si>
  <si>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</si>
  <si>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</si>
  <si>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</si>
  <si>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</si>
  <si>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</si>
  <si>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</si>
  <si>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</si>
  <si>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</si>
  <si>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</si>
  <si>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</si>
  <si>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</si>
  <si>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</si>
  <si>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</si>
  <si>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</si>
  <si>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</si>
  <si>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</si>
  <si>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</si>
  <si>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</si>
  <si>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</si>
  <si>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</si>
  <si>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</si>
  <si>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</si>
  <si>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</si>
  <si>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</si>
  <si>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</si>
  <si>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</si>
  <si>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</si>
  <si>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</si>
  <si>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</si>
  <si>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</si>
  <si>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</si>
  <si>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</si>
  <si>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</si>
  <si>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</si>
  <si>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</si>
  <si>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</si>
  <si>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</si>
  <si>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</si>
  <si>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</si>
  <si>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</si>
  <si>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</si>
  <si>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</si>
  <si>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</si>
  <si>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</si>
  <si>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</si>
  <si>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</si>
  <si>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</si>
  <si>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</si>
  <si>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</si>
  <si>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</si>
  <si>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</si>
  <si>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</si>
  <si>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</si>
  <si>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</si>
  <si>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</si>
  <si>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</si>
  <si>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</si>
  <si>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</si>
  <si>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</si>
  <si>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</si>
  <si>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</si>
  <si>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</si>
  <si>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</si>
  <si>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</si>
  <si>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</si>
  <si>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</si>
  <si>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</si>
  <si>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</si>
  <si>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</si>
  <si>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</si>
  <si>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</si>
  <si>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</si>
  <si>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</si>
  <si>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</si>
  <si>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</si>
  <si>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</si>
  <si>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</si>
  <si>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</si>
  <si>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</si>
  <si>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</si>
  <si>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</si>
  <si>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</si>
  <si>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</si>
  <si>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</si>
  <si>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</si>
  <si>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</si>
  <si>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</si>
  <si>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</si>
  <si>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</si>
  <si>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</si>
  <si>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</si>
  <si>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</si>
  <si>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</si>
  <si>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</si>
  <si>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</si>
  <si>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</si>
  <si>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</si>
  <si>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</si>
  <si>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</si>
  <si>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</si>
  <si>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</si>
  <si>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</si>
  <si>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</si>
  <si>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</si>
  <si>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</si>
  <si>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</si>
  <si>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</si>
  <si>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</si>
  <si>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</si>
  <si>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</si>
  <si>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</si>
  <si>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</si>
  <si>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</si>
  <si>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</si>
  <si>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</si>
  <si>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</si>
  <si>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</si>
  <si>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</si>
  <si>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</si>
  <si>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</si>
  <si>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</si>
  <si>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</si>
  <si>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</si>
  <si>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</si>
  <si>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</si>
  <si>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</si>
  <si>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</si>
  <si>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</si>
  <si>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</si>
  <si>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</si>
  <si>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</si>
  <si>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</si>
  <si>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</si>
  <si>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</si>
  <si>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</si>
  <si>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</si>
  <si>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</si>
  <si>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</si>
  <si>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</si>
  <si>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</si>
  <si>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</si>
  <si>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</si>
  <si>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</si>
  <si>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</si>
  <si>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</si>
  <si>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</si>
  <si>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</si>
  <si>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</si>
  <si>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</si>
  <si>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</si>
  <si>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</si>
  <si>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</si>
  <si>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</si>
  <si>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</si>
  <si>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</si>
  <si>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</si>
  <si>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</si>
  <si>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</si>
  <si>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</si>
  <si>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</si>
  <si>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</si>
  <si>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</si>
  <si>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</si>
  <si>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</si>
  <si>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</si>
  <si>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</si>
  <si>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</si>
  <si>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</si>
  <si>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</si>
  <si>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</si>
  <si>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</si>
  <si>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</si>
  <si>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</si>
  <si>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</si>
  <si>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</si>
  <si>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</si>
  <si>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</si>
  <si>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</si>
  <si>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</si>
  <si>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</si>
  <si>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</si>
  <si>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</si>
  <si>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</si>
  <si>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</si>
  <si>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</si>
  <si>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</si>
  <si>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</si>
  <si>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</si>
  <si>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</si>
  <si>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</si>
  <si>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</si>
  <si>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</si>
  <si>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</si>
  <si>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</si>
  <si>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</si>
  <si>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</si>
  <si>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</si>
  <si>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</si>
  <si>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</si>
  <si>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</si>
  <si>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</si>
  <si>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</si>
  <si>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</si>
  <si>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</si>
  <si>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</si>
  <si>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</si>
  <si>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</si>
  <si>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</si>
  <si>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</si>
  <si>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</si>
  <si>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</si>
  <si>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</si>
  <si>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</si>
  <si>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</si>
  <si>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</si>
  <si>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</si>
  <si>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</si>
  <si>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</si>
  <si>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</si>
  <si>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</si>
  <si>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</si>
  <si>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</si>
  <si>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</si>
  <si>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</si>
  <si>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</si>
  <si>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</si>
  <si>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</si>
  <si>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</si>
  <si>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</si>
  <si>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</si>
  <si>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</si>
  <si>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</si>
  <si>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</si>
  <si>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</si>
  <si>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</si>
  <si>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</si>
  <si>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</si>
  <si>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</si>
  <si>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</si>
  <si>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</si>
  <si>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</si>
  <si>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</si>
  <si>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</si>
  <si>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</si>
  <si>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</si>
  <si>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</si>
  <si>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</si>
  <si>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</si>
  <si>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</si>
  <si>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</si>
  <si>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</si>
  <si>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</si>
  <si>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</si>
  <si>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</si>
  <si>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</si>
  <si>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</si>
  <si>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</si>
  <si>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</si>
  <si>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</si>
  <si>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</si>
  <si>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</si>
  <si>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</si>
  <si>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</si>
  <si>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</si>
  <si>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</si>
  <si>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</si>
  <si>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</si>
  <si>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</si>
  <si>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</si>
  <si>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</si>
  <si>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</si>
  <si>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</si>
  <si>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</si>
  <si>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</si>
  <si>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</si>
  <si>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</si>
  <si>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</si>
  <si>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</si>
  <si>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</si>
  <si>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</si>
  <si>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</si>
  <si>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</si>
  <si>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</si>
  <si>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</si>
  <si>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</si>
  <si>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</si>
  <si>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</si>
  <si>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</si>
  <si>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</si>
  <si>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</si>
  <si>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</si>
  <si>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</si>
  <si>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</si>
  <si>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</si>
  <si>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</si>
  <si>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</si>
  <si>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</si>
  <si>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</si>
  <si>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</si>
  <si>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</si>
  <si>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</si>
  <si>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</si>
  <si>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</si>
  <si>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</si>
  <si>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</si>
  <si>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</si>
  <si>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</si>
  <si>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</si>
  <si>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</si>
  <si>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</si>
  <si>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</si>
  <si>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</si>
  <si>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</si>
  <si>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</si>
  <si>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</si>
  <si>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</si>
  <si>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</si>
  <si>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</si>
  <si>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</si>
  <si>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</si>
  <si>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</si>
  <si>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</si>
  <si>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</si>
  <si>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</si>
  <si>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</si>
  <si>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</si>
  <si>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</si>
  <si>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</si>
  <si>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</si>
  <si>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</si>
  <si>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</si>
  <si>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</si>
  <si>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</si>
  <si>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</si>
  <si>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</si>
  <si>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</si>
  <si>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</si>
  <si>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</si>
  <si>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</si>
  <si>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</si>
  <si>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</si>
  <si>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</si>
  <si>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</si>
  <si>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</si>
  <si>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</si>
  <si>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</si>
  <si>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</si>
  <si>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</si>
  <si>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</si>
  <si>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</si>
  <si>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</si>
  <si>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</si>
  <si>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</si>
  <si>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</si>
  <si>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</si>
  <si>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</si>
  <si>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</si>
  <si>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</si>
  <si>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</si>
  <si>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</si>
  <si>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</si>
  <si>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</si>
  <si>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</si>
  <si>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</si>
  <si>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</si>
  <si>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</si>
  <si>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</si>
  <si>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</si>
  <si>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</si>
  <si>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</si>
  <si>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</si>
  <si>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</si>
  <si>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</si>
  <si>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</si>
  <si>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</si>
  <si>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</si>
  <si>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</si>
  <si>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</si>
  <si>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</si>
  <si>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</si>
  <si>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</si>
  <si>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</si>
  <si>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</si>
  <si>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</si>
  <si>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</si>
  <si>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</si>
  <si>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</si>
  <si>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</si>
  <si>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</si>
  <si>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</si>
  <si>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</si>
  <si>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</si>
  <si>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</si>
  <si>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</si>
  <si>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</si>
  <si>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</si>
  <si>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</si>
  <si>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</si>
  <si>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</si>
  <si>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</si>
  <si>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</si>
  <si>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</si>
  <si>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</si>
  <si>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</si>
  <si>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</si>
  <si>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</si>
  <si>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</si>
  <si>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</si>
  <si>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</si>
  <si>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</si>
  <si>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</si>
  <si>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</si>
  <si>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</si>
  <si>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</si>
  <si>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</si>
  <si>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</si>
  <si>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</si>
  <si>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</si>
  <si>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</si>
  <si>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</si>
  <si>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</si>
  <si>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</si>
  <si>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</si>
  <si>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</si>
  <si>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</si>
  <si>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</si>
  <si>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</si>
  <si>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</si>
  <si>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</si>
  <si>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</si>
  <si>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</si>
  <si>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</si>
  <si>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</si>
  <si>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</si>
  <si>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</si>
  <si>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</si>
  <si>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</si>
  <si>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</si>
  <si>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</si>
  <si>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</si>
  <si>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</si>
  <si>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</si>
  <si>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</si>
  <si>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</si>
  <si>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</si>
  <si>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</si>
  <si>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</si>
  <si>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</si>
  <si>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</si>
  <si>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</si>
  <si>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</si>
  <si>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</si>
  <si>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</si>
  <si>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</si>
  <si>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</si>
  <si>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</si>
  <si>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</si>
  <si>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</si>
  <si>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</si>
  <si>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</si>
  <si>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</si>
  <si>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</si>
  <si>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</si>
  <si>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</si>
  <si>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</si>
  <si>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</si>
  <si>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</si>
  <si>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</si>
  <si>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</si>
  <si>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</si>
  <si>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</si>
  <si>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</si>
  <si>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</si>
  <si>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</si>
  <si>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</si>
  <si>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</si>
  <si>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</si>
  <si>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</si>
  <si>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</si>
  <si>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</si>
  <si>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</si>
  <si>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</si>
  <si>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</si>
  <si>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</si>
  <si>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</si>
  <si>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</si>
  <si>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</si>
  <si>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</si>
  <si>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</si>
  <si>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</si>
  <si>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</si>
  <si>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</si>
  <si>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</si>
  <si>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</si>
  <si>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</si>
  <si>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</si>
  <si>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</si>
  <si>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</si>
  <si>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</si>
  <si>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</si>
  <si>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</si>
  <si>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</si>
  <si>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</si>
  <si>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</si>
  <si>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</si>
  <si>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</si>
  <si>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</si>
  <si>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</si>
  <si>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</si>
  <si>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</si>
  <si>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</si>
  <si>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</si>
  <si>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</si>
  <si>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</si>
  <si>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</si>
  <si>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</si>
  <si>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</si>
  <si>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</si>
  <si>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LORETA AIROSIENE</t>
  </si>
  <si>
    <t>INGA VAITEKUNIENE</t>
  </si>
  <si>
    <t>DOMANTAS TEVELIS</t>
  </si>
  <si>
    <t>OVIDIJUS SIDEIKIS</t>
  </si>
  <si>
    <t>GINTAUTAS PLATUKIS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</si>
  <si>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</si>
  <si>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</si>
  <si>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</si>
  <si>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5:17</t>
  </si>
  <si>
    <t>3:51</t>
  </si>
  <si>
    <t>3:33</t>
  </si>
  <si>
    <t>2:15</t>
  </si>
  <si>
    <t>7:14</t>
  </si>
  <si>
    <t>6:45</t>
  </si>
  <si>
    <t>0:54</t>
  </si>
  <si>
    <t>7:43</t>
  </si>
  <si>
    <t>4:44</t>
  </si>
  <si>
    <t>You did a good job, remember the criteria for steals (deflections) and assists.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</si>
</sst>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06_053_KLA_MAN_U2025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45966.791666666664</v>
      </c>
      <c r="C3" s="178"/>
      <c r="D3" s="39">
        <v>682</v>
      </c>
      <c r="E3" s="29"/>
      <c r="F3" s="26">
        <f>SUBTOTAL(3,I17:I106)</f>
        <v>9</v>
      </c>
      <c r="G3" s="27">
        <f>IF(OR(D3="",D3=0),"",F3/D3)</f>
        <v>1.3196480938416423E-2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Neptunas Klaipeda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742</v>
      </c>
      <c r="L4" s="5"/>
      <c r="M4" s="185" t="s">
        <v>766</v>
      </c>
      <c r="N4" s="186"/>
      <c r="O4" s="2"/>
      <c r="P4" s="2"/>
      <c r="Q4" s="84" t="s">
        <v>175</v>
      </c>
      <c r="R4" s="94">
        <f>(IF(G3="",0,G3))</f>
        <v>1.3196480938416423E-2</v>
      </c>
      <c r="S4" s="61">
        <f>SUM(I13:M13)</f>
        <v>0</v>
      </c>
      <c r="T4" s="78"/>
      <c r="U4" s="61">
        <f>AC18</f>
        <v>6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BAXI Manresa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1.3196480938416422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7.3196480938416419</v>
      </c>
      <c r="N7" s="58"/>
      <c r="O7" s="2"/>
      <c r="P7" s="2"/>
      <c r="Q7" s="86">
        <f>SUM(R5,S5,AC16)</f>
        <v>7.3196480938416419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7.3196480938416419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53</v>
      </c>
      <c r="D17" s="32" t="s">
        <v>757</v>
      </c>
      <c r="E17" s="33">
        <v>1</v>
      </c>
      <c r="F17" s="36">
        <v>13</v>
      </c>
      <c r="G17" s="36">
        <v>10</v>
      </c>
      <c r="H17" s="38" t="str">
        <f>IF(I17="","",$I$14)</f>
        <v>SCOUTING</v>
      </c>
      <c r="I17" s="34">
        <v>61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53</v>
      </c>
      <c r="D18" s="32" t="s">
        <v>758</v>
      </c>
      <c r="E18" s="33">
        <v>1</v>
      </c>
      <c r="F18" s="36">
        <v>19</v>
      </c>
      <c r="G18" s="36">
        <v>13</v>
      </c>
      <c r="H18" s="38" t="str">
        <f t="shared" ref="H18:H81" si="8">IF(I18="","",$I$14)</f>
        <v>SCOUTING</v>
      </c>
      <c r="I18" s="34">
        <v>100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53</v>
      </c>
      <c r="D19" s="32" t="s">
        <v>759</v>
      </c>
      <c r="E19" s="33">
        <v>1</v>
      </c>
      <c r="F19" s="36">
        <v>19</v>
      </c>
      <c r="G19" s="36">
        <v>15</v>
      </c>
      <c r="H19" s="38" t="str">
        <f t="shared" si="8"/>
        <v>SCOUTING</v>
      </c>
      <c r="I19" s="34">
        <v>101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53</v>
      </c>
      <c r="D20" s="32" t="s">
        <v>760</v>
      </c>
      <c r="E20" s="33">
        <v>1</v>
      </c>
      <c r="F20" s="36">
        <v>23</v>
      </c>
      <c r="G20" s="36">
        <v>15</v>
      </c>
      <c r="H20" s="38" t="str">
        <f t="shared" si="8"/>
        <v>SCOUTING</v>
      </c>
      <c r="I20" s="34">
        <v>121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53</v>
      </c>
      <c r="D21" s="32" t="s">
        <v>761</v>
      </c>
      <c r="E21" s="33">
        <v>2</v>
      </c>
      <c r="F21" s="36">
        <v>34</v>
      </c>
      <c r="G21" s="36">
        <v>27</v>
      </c>
      <c r="H21" s="38" t="str">
        <f t="shared" si="8"/>
        <v>SCOUTING</v>
      </c>
      <c r="I21" s="34">
        <v>212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53</v>
      </c>
      <c r="D22" s="32" t="s">
        <v>762</v>
      </c>
      <c r="E22" s="33">
        <v>2</v>
      </c>
      <c r="F22" s="36">
        <v>34</v>
      </c>
      <c r="G22" s="36">
        <v>27</v>
      </c>
      <c r="H22" s="38" t="str">
        <f t="shared" si="8"/>
        <v>SCOUTING</v>
      </c>
      <c r="I22" s="34">
        <v>220</v>
      </c>
      <c r="J22" s="13" t="s">
        <v>4</v>
      </c>
      <c r="K22" s="13" t="s">
        <v>63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53</v>
      </c>
      <c r="D23" s="32" t="s">
        <v>763</v>
      </c>
      <c r="E23" s="33">
        <v>2</v>
      </c>
      <c r="F23" s="36">
        <v>54</v>
      </c>
      <c r="G23" s="36">
        <v>41</v>
      </c>
      <c r="H23" s="38" t="str">
        <f t="shared" si="8"/>
        <v>SCOUTING</v>
      </c>
      <c r="I23" s="34">
        <v>317</v>
      </c>
      <c r="J23" s="13" t="s">
        <v>4</v>
      </c>
      <c r="K23" s="13" t="s">
        <v>63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53</v>
      </c>
      <c r="D24" s="32" t="s">
        <v>764</v>
      </c>
      <c r="E24" s="33">
        <v>3</v>
      </c>
      <c r="F24" s="36">
        <v>60</v>
      </c>
      <c r="G24" s="36">
        <v>44</v>
      </c>
      <c r="H24" s="38" t="str">
        <f t="shared" si="8"/>
        <v>SCOUTING</v>
      </c>
      <c r="I24" s="34">
        <v>378</v>
      </c>
      <c r="J24" s="13" t="s">
        <v>4</v>
      </c>
      <c r="K24" s="13" t="s">
        <v>62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53</v>
      </c>
      <c r="D25" s="32" t="s">
        <v>765</v>
      </c>
      <c r="E25" s="33">
        <v>3</v>
      </c>
      <c r="F25" s="36">
        <v>69</v>
      </c>
      <c r="G25" s="36">
        <v>50</v>
      </c>
      <c r="H25" s="38" t="str">
        <f t="shared" si="8"/>
        <v>SCOUTING</v>
      </c>
      <c r="I25" s="34">
        <v>432</v>
      </c>
      <c r="J25" s="13" t="s">
        <v>4</v>
      </c>
      <c r="K25" s="13" t="s">
        <v>62</v>
      </c>
      <c r="L25" s="13" t="s">
        <v>6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REPORT_U2025053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"U2025053"</v>
      </c>
      <c r="F3" s="45" t="str">
        <f t="shared" ref="F3:F16" si="0">""""&amp;B3&amp;"""" &amp; " : " &amp;C3&amp;","</f>
        <v>"name" : "U2025053",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"U053"</v>
      </c>
      <c r="F4" s="45" t="str">
        <f t="shared" si="0"/>
        <v>"cod" : "U053",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053</v>
      </c>
      <c r="F6" s="45" t="str">
        <f t="shared" si="0"/>
        <v>"number" : 053,</v>
      </c>
    </row>
    <row r="7" spans="2:6" x14ac:dyDescent="0.25">
      <c r="B7" s="43" t="s">
        <v>116</v>
      </c>
      <c r="C7" s="43" t="str">
        <f ca="1">""""&amp;TEXT('SCOUT &amp; LOGISTICS'!B3,"dd/mm/aaaa")&amp;""""</f>
        <v>"05/11/Wednesday"</v>
      </c>
      <c r="F7" s="45" t="str">
        <f t="shared" ca="1" si="0"/>
        <v>"date" : "05/11/Wednesday",</v>
      </c>
    </row>
    <row r="8" spans="2:6" x14ac:dyDescent="0.25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5">
      <c r="B9" s="43" t="s">
        <v>126</v>
      </c>
      <c r="C9" s="43" t="str">
        <f>""""&amp;'SCOUT &amp; LOGISTICS'!D5&amp;""""</f>
        <v>"BAXI Manresa"</v>
      </c>
      <c r="F9" s="45" t="str">
        <f t="shared" si="0"/>
        <v>"away_team" : "BAXI Manresa",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"LORETA AIROSIENE"</v>
      </c>
      <c r="F10" s="45" t="str">
        <f t="shared" si="0"/>
        <v>"Data_entry" : "LORETA AIROSIENE",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"INGA VAITEKUNIENE"</v>
      </c>
      <c r="F11" s="45" t="str">
        <f t="shared" si="0"/>
        <v>"Caller_1" : "INGA VAITEKUNIENE",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"OVIDIJUS SIDEIKIS"</v>
      </c>
      <c r="F13" s="45" t="str">
        <f t="shared" si="0"/>
        <v>"Timerkeeper" : "OVIDIJUS SIDEIKIS",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682</v>
      </c>
      <c r="F25" s="45" t="str">
        <f t="shared" ref="F25:F48" si="1">""""&amp;C25&amp;"""" &amp; " : " &amp;D25&amp;","</f>
        <v>"total_actions" : 682,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did a good job, remember the criteria for steals (deflections) and assists. Keep it up!"</v>
      </c>
      <c r="F51" s="45" t="str">
        <f>""""&amp;B51&amp;"""" &amp; " : " &amp;C51&amp;","</f>
        <v>"comments" : "You did a good job, remember the criteria for steals (deflections) and assists. Keep it up!",</v>
      </c>
    </row>
    <row r="52" spans="2:6" x14ac:dyDescent="0.25">
      <c r="B52" s="43" t="s">
        <v>153</v>
      </c>
      <c r="C52" s="43" t="str">
        <f>TEXT('SCOUT &amp; LOGISTICS'!F1,"0,0")</f>
        <v>06_053_KLA_MAN_U2025</v>
      </c>
      <c r="F52" s="45" t="str">
        <f>""""&amp;B52&amp;"""" &amp; " : " &amp;C52</f>
        <v>"result" : 06_053_KLA_MAN_U2025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U053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Neptunas Klaipeda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Baxi Manresa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LORETA AIROSIENE</v>
      </c>
      <c r="C8" s="201"/>
      <c r="D8" s="201"/>
      <c r="E8" s="201"/>
      <c r="F8" s="201"/>
      <c r="G8" s="201" t="str">
        <f>IF('SCOUT &amp; LOGISTICS'!D7="","",'SCOUT &amp; LOGISTICS'!D7)</f>
        <v>INGA VAITEKUNIENE</v>
      </c>
      <c r="H8" s="201"/>
      <c r="I8" s="201"/>
      <c r="J8" s="201"/>
      <c r="K8" s="201"/>
      <c r="L8" s="201" t="str">
        <f>IF('SCOUT &amp; LOGISTICS'!D8="","",'SCOUT &amp; LOGISTICS'!D8)</f>
        <v>DOMANTAS TEVELIS</v>
      </c>
      <c r="M8" s="201"/>
      <c r="N8" s="201"/>
      <c r="O8" s="201"/>
      <c r="P8" s="201"/>
      <c r="Q8" s="201" t="str">
        <f>IF('SCOUT &amp; LOGISTICS'!D9="","",'SCOUT &amp; LOGISTICS'!D9)</f>
        <v>OVIDIJUS SIDEIKIS</v>
      </c>
      <c r="R8" s="201"/>
      <c r="S8" s="201"/>
      <c r="T8" s="201"/>
      <c r="U8" s="201"/>
      <c r="V8" s="201" t="str">
        <f>IF('SCOUT &amp; LOGISTICS'!D10="","",'SCOUT &amp; LOGISTICS'!D10)</f>
        <v>GINTAUTAS PLATUKIS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682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1.3196480938416423E-2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5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6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You did a good job, remember the criteria for steals (deflections) and assists.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7.3196480938416419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955D7F2-0150-4EAD-A0C6-BE0821B1EFF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2025-11-05T20:44:24Z</cp:lastPrinted>
  <dcterms:created xsi:type="dcterms:W3CDTF">2023-09-19T19:50:35Z</dcterms:created>
  <dcterms:modified xsi:type="dcterms:W3CDTF">2025-11-05T20:44:28Z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