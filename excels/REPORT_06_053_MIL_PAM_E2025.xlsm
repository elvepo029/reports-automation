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86" documentId="8_{29CF4199-5D07-42AA-9ECD-4A1E0360EB20}" xr6:coauthVersionLast="47" xr6:coauthVersionMax="47" xr10:uidLastSave="{A60A029D-718C-492C-B294-AB00869A7B70}"/>
  <bookViews>
    <workbookView xWindow="0" yWindow="-16200" windowWidth="28860" windowHeight="159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<sst xmlns="http://schemas.openxmlformats.org/spreadsheetml/2006/main" count="3280" uniqueCount="766">
  <si>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</si>
  <si>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</si>
  <si>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</si>
  <si>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</si>
  <si>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</si>
  <si>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</si>
  <si>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</si>
  <si>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</si>
  <si>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</si>
  <si>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</si>
  <si>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</si>
  <si>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</si>
  <si>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</si>
  <si>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</si>
  <si>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</si>
  <si>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</si>
  <si>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</si>
  <si>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</si>
  <si>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</si>
  <si>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</si>
  <si>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</si>
  <si>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</si>
  <si>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</si>
  <si>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</si>
  <si>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</si>
  <si>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</si>
  <si>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</si>
  <si>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</si>
  <si>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</si>
  <si>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</si>
  <si>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</si>
  <si>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</si>
  <si>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</si>
  <si>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</si>
  <si>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</si>
  <si>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</si>
  <si>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</si>
  <si>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</si>
  <si>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</si>
  <si>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</si>
  <si>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</si>
  <si>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</si>
  <si>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</si>
  <si>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</si>
  <si>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</si>
  <si>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</si>
  <si>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</si>
  <si>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</si>
  <si>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</si>
  <si>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</si>
  <si>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</si>
  <si>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</si>
  <si>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</si>
  <si>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</si>
  <si>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</si>
  <si>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</si>
  <si>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</si>
  <si>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</si>
  <si>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</si>
  <si>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</si>
  <si>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</si>
  <si>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</si>
  <si>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</si>
  <si>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</si>
  <si>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</si>
  <si>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</si>
  <si>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</si>
  <si>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</si>
  <si>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</si>
  <si>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</si>
  <si>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</si>
  <si>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</si>
  <si>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</si>
  <si>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</si>
  <si>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</si>
  <si>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</si>
  <si>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</si>
  <si>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</si>
  <si>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</si>
  <si>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</si>
  <si>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</si>
  <si>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</si>
  <si>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</si>
  <si>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</si>
  <si>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</si>
  <si>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</si>
  <si>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</si>
  <si>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</si>
  <si>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</si>
  <si>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</si>
  <si>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</si>
  <si>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</si>
  <si>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</si>
  <si>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</si>
  <si>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</si>
  <si>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</si>
  <si>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</si>
  <si>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</si>
  <si>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</si>
  <si>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</si>
  <si>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</si>
  <si>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</si>
  <si>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</si>
  <si>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</si>
  <si>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</si>
  <si>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</si>
  <si>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</si>
  <si>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</si>
  <si>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</si>
  <si>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</si>
  <si>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</si>
  <si>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</si>
  <si>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</si>
  <si>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</si>
  <si>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</si>
  <si>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</si>
  <si>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</si>
  <si>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</si>
  <si>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</si>
  <si>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</si>
  <si>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</si>
  <si>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</si>
  <si>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</si>
  <si>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</si>
  <si>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</si>
  <si>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</si>
  <si>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</si>
  <si>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</si>
  <si>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</si>
  <si>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</si>
  <si>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</si>
  <si>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</si>
  <si>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</si>
  <si>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</si>
  <si>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</si>
  <si>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</si>
  <si>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</si>
  <si>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</si>
  <si>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</si>
  <si>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</si>
  <si>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</si>
  <si>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</si>
  <si>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</si>
  <si>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</si>
  <si>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</si>
  <si>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</si>
  <si>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</si>
  <si>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</si>
  <si>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</si>
  <si>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</si>
  <si>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</si>
  <si>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</si>
  <si>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</si>
  <si>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</si>
  <si>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</si>
  <si>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</si>
  <si>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</si>
  <si>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</si>
  <si>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</si>
  <si>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</si>
  <si>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</si>
  <si>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</si>
  <si>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</si>
  <si>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</si>
  <si>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</si>
  <si>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</si>
  <si>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</si>
  <si>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</si>
  <si>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</si>
  <si>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</si>
  <si>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</si>
  <si>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</si>
  <si>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</si>
  <si>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</si>
  <si>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</si>
  <si>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</si>
  <si>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</si>
  <si>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</si>
  <si>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</si>
  <si>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</si>
  <si>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</si>
  <si>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</si>
  <si>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</si>
  <si>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</si>
  <si>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</si>
  <si>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</si>
  <si>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</si>
  <si>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</si>
  <si>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</si>
  <si>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</si>
  <si>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</si>
  <si>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</si>
  <si>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</si>
  <si>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</si>
  <si>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</si>
  <si>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</si>
  <si>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</si>
  <si>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</si>
  <si>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</si>
  <si>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</si>
  <si>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</si>
  <si>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</si>
  <si>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</si>
  <si>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</si>
  <si>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</si>
  <si>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</si>
  <si>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</si>
  <si>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</si>
  <si>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</si>
  <si>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</si>
  <si>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</si>
  <si>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</si>
  <si>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</si>
  <si>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</si>
  <si>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</si>
  <si>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</si>
  <si>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</si>
  <si>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</si>
  <si>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</si>
  <si>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</si>
  <si>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</si>
  <si>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</si>
  <si>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</si>
  <si>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</si>
  <si>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</si>
  <si>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</si>
  <si>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</si>
  <si>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</si>
  <si>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</si>
  <si>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</si>
  <si>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</si>
  <si>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</si>
  <si>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</si>
  <si>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</si>
  <si>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</si>
  <si>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</si>
  <si>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</si>
  <si>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</si>
  <si>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</si>
  <si>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</si>
  <si>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</si>
  <si>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</si>
  <si>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</si>
  <si>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</si>
  <si>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</si>
  <si>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</si>
  <si>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</si>
  <si>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</si>
  <si>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</si>
  <si>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</si>
  <si>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</si>
  <si>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</si>
  <si>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</si>
  <si>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</si>
  <si>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</si>
  <si>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</si>
  <si>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</si>
  <si>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</si>
  <si>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</si>
  <si>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</si>
  <si>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</si>
  <si>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</si>
  <si>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</si>
  <si>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</si>
  <si>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</si>
  <si>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</si>
  <si>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</si>
  <si>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</si>
  <si>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</si>
  <si>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</si>
  <si>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</si>
  <si>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</si>
  <si>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</si>
  <si>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</si>
  <si>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</si>
  <si>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</si>
  <si>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</si>
  <si>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</si>
  <si>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</si>
  <si>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</si>
  <si>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</si>
  <si>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</si>
  <si>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</si>
  <si>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</si>
  <si>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</si>
  <si>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</si>
  <si>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</si>
  <si>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</si>
  <si>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</si>
  <si>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</si>
  <si>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</si>
  <si>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</si>
  <si>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</si>
  <si>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</si>
  <si>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</si>
  <si>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</si>
  <si>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</si>
  <si>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</si>
  <si>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</si>
  <si>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</si>
  <si>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</si>
  <si>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</si>
  <si>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</si>
  <si>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</si>
  <si>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</si>
  <si>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</si>
  <si>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</si>
  <si>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</si>
  <si>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</si>
  <si>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</si>
  <si>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</si>
  <si>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</si>
  <si>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</si>
  <si>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</si>
  <si>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</si>
  <si>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</si>
  <si>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</si>
  <si>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</si>
  <si>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</si>
  <si>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</si>
  <si>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</si>
  <si>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</si>
  <si>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</si>
  <si>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</si>
  <si>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</si>
  <si>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</si>
  <si>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</si>
  <si>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</si>
  <si>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</si>
  <si>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</si>
  <si>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</si>
  <si>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</si>
  <si>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</si>
  <si>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</si>
  <si>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</si>
  <si>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</si>
  <si>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</si>
  <si>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</si>
  <si>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</si>
  <si>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</si>
  <si>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</si>
  <si>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</si>
  <si>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</si>
  <si>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</si>
  <si>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</si>
  <si>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</si>
  <si>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</si>
  <si>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</si>
  <si>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</si>
  <si>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</si>
  <si>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</si>
  <si>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</si>
  <si>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</si>
  <si>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</si>
  <si>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</si>
  <si>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</si>
  <si>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</si>
  <si>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</si>
  <si>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</si>
  <si>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</si>
  <si>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</si>
  <si>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</si>
  <si>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</si>
  <si>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</si>
  <si>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</si>
  <si>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</si>
  <si>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</si>
  <si>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</si>
  <si>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</si>
  <si>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</si>
  <si>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</si>
  <si>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</si>
  <si>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</si>
  <si>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</si>
  <si>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</si>
  <si>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</si>
  <si>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</si>
  <si>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</si>
  <si>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</si>
  <si>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</si>
  <si>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</si>
  <si>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</si>
  <si>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</si>
  <si>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</si>
  <si>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</si>
  <si>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</si>
  <si>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</si>
  <si>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</si>
  <si>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</si>
  <si>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</si>
  <si>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</si>
  <si>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</si>
  <si>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</si>
  <si>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</si>
  <si>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</si>
  <si>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</si>
  <si>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</si>
  <si>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</si>
  <si>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</si>
  <si>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</si>
  <si>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</si>
  <si>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</si>
  <si>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</si>
  <si>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</si>
  <si>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</si>
  <si>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</si>
  <si>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</si>
  <si>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</si>
  <si>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</si>
  <si>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</si>
  <si>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</si>
  <si>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</si>
  <si>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</si>
  <si>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</si>
  <si>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</si>
  <si>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</si>
  <si>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</si>
  <si>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</si>
  <si>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</si>
  <si>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</si>
  <si>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</si>
  <si>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</si>
  <si>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</si>
  <si>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</si>
  <si>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</si>
  <si>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</si>
  <si>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</si>
  <si>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</si>
  <si>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</si>
  <si>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</si>
  <si>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</si>
  <si>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</si>
  <si>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</si>
  <si>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</si>
  <si>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</si>
  <si>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</si>
  <si>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</si>
  <si>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</si>
  <si>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</si>
  <si>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</si>
  <si>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</si>
  <si>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</si>
  <si>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</si>
  <si>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</si>
  <si>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</si>
  <si>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</si>
  <si>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</si>
  <si>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</si>
  <si>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</si>
  <si>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</si>
  <si>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</si>
  <si>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</si>
  <si>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</si>
  <si>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</si>
  <si>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</si>
  <si>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</si>
  <si>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</si>
  <si>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</si>
  <si>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</si>
  <si>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</si>
  <si>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</si>
  <si>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</si>
  <si>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</si>
  <si>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</si>
  <si>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</si>
  <si>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</si>
  <si>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</si>
  <si>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</si>
  <si>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</si>
  <si>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</si>
  <si>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</si>
  <si>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</si>
  <si>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</si>
  <si>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</si>
  <si>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</si>
  <si>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</si>
  <si>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</si>
  <si>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</si>
  <si>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</si>
  <si>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</si>
  <si>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</si>
  <si>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</si>
  <si>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</si>
  <si>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</si>
  <si>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</si>
  <si>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</si>
  <si>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</si>
  <si>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</si>
  <si>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</si>
  <si>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</si>
  <si>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</si>
  <si>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</si>
  <si>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</si>
  <si>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</si>
  <si>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</si>
  <si>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</si>
  <si>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</si>
  <si>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</si>
  <si>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</si>
  <si>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</si>
  <si>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</si>
  <si>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</si>
  <si>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</si>
  <si>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</si>
  <si>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</si>
  <si>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</si>
  <si>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</si>
  <si>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</si>
  <si>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</si>
  <si>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</si>
  <si>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</si>
  <si>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</si>
  <si>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</si>
  <si>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</si>
  <si>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</si>
  <si>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</si>
  <si>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</si>
  <si>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</si>
  <si>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</si>
  <si>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</si>
  <si>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</si>
  <si>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</si>
  <si>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</si>
  <si>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</si>
  <si>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</si>
  <si>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</si>
  <si>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</si>
  <si>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</si>
  <si>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</si>
  <si>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</si>
  <si>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</si>
  <si>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</si>
  <si>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</si>
  <si>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</si>
  <si>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</si>
  <si>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</si>
  <si>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</si>
  <si>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</si>
  <si>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</si>
  <si>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</si>
  <si>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</si>
  <si>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</si>
  <si>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</si>
  <si>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</si>
  <si>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</si>
  <si>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</si>
  <si>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</si>
  <si>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</si>
  <si>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</si>
  <si>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</si>
  <si>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</si>
  <si>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</si>
  <si>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</si>
  <si>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</si>
  <si>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</si>
  <si>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</si>
  <si>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</si>
  <si>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</si>
  <si>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</si>
  <si>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</si>
  <si>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</si>
  <si>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</si>
  <si>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</si>
  <si>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</si>
  <si>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</si>
  <si>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</si>
  <si>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</si>
  <si>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</si>
  <si>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</si>
  <si>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</si>
  <si>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</si>
  <si>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</si>
  <si>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</si>
  <si>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</si>
  <si>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</si>
  <si>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</si>
  <si>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</si>
  <si>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</si>
  <si>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</si>
  <si>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</si>
  <si>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</si>
  <si>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</si>
  <si>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</si>
  <si>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</si>
  <si>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</si>
  <si>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</si>
  <si>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</si>
  <si>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</si>
  <si>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</si>
  <si>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</si>
  <si>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</si>
  <si>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</si>
  <si>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</si>
  <si>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</si>
  <si>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</si>
  <si>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</si>
  <si>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</si>
  <si>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</si>
  <si>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</si>
  <si>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</si>
  <si>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</si>
  <si>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</si>
  <si>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</si>
  <si>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</si>
  <si>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</si>
  <si>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</si>
  <si>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</si>
  <si>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</si>
  <si>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</si>
  <si>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</si>
  <si>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</si>
  <si>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</si>
  <si>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</si>
  <si>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</si>
  <si>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</si>
  <si>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</si>
  <si>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</si>
  <si>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</si>
  <si>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</si>
  <si>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</si>
  <si>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</si>
  <si>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</si>
  <si>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</si>
  <si>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</si>
  <si>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</si>
  <si>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</si>
  <si>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</si>
  <si>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</si>
  <si>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</si>
  <si>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</si>
  <si>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</si>
  <si>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</si>
  <si>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</si>
  <si>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</si>
  <si>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</si>
  <si>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</si>
  <si>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</si>
  <si>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</si>
  <si>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</si>
  <si>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</si>
  <si>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</si>
  <si>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</si>
  <si>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</si>
  <si>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</si>
  <si>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</si>
  <si>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</si>
  <si>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</si>
  <si>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</si>
  <si>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</si>
  <si>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</si>
  <si>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</si>
  <si>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</si>
  <si>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</si>
  <si>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</si>
  <si>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</si>
  <si>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</si>
  <si>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</si>
  <si>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</si>
  <si>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</si>
  <si>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</si>
  <si>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</si>
  <si>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</si>
  <si>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</si>
  <si>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</si>
  <si>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</si>
  <si>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</si>
  <si>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</si>
  <si>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</si>
  <si>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</si>
  <si>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</si>
  <si>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</si>
  <si>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</si>
  <si>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</si>
  <si>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</si>
  <si>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</si>
  <si>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</si>
  <si>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</si>
  <si>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</si>
  <si>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</si>
  <si>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</si>
  <si>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</si>
  <si>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</si>
  <si>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</si>
  <si>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</si>
  <si>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</si>
  <si>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</si>
  <si>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</si>
  <si>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</si>
  <si>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</si>
  <si>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</si>
  <si>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</si>
  <si>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</si>
  <si>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</si>
  <si>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</si>
  <si>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</si>
  <si>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</si>
  <si>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</si>
  <si>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</si>
  <si>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</si>
  <si>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</si>
  <si>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</si>
  <si>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</si>
  <si>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</si>
  <si>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</si>
  <si>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</si>
  <si>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</si>
  <si>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</si>
  <si>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</si>
  <si>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</si>
  <si>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</si>
  <si>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</si>
  <si>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</si>
  <si>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</si>
  <si>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</si>
  <si>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</si>
  <si>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</si>
  <si>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</si>
  <si>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</si>
  <si>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</si>
  <si>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</si>
  <si>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</si>
  <si>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</si>
  <si>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</si>
  <si>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</si>
  <si>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</si>
  <si>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</si>
  <si>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</si>
  <si>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</si>
  <si>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</si>
  <si>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</si>
  <si>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</si>
  <si>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</si>
  <si>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</si>
  <si>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</si>
  <si>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</si>
  <si>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</si>
  <si>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</si>
  <si>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</si>
  <si>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</si>
  <si>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</si>
  <si>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</si>
  <si>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</si>
  <si>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</si>
  <si>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</si>
  <si>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</si>
  <si>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</si>
  <si>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</si>
  <si>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</si>
  <si>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</si>
  <si>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NEREA FRAILE</t>
  </si>
  <si>
    <t>SAMUELE CATALLO</t>
  </si>
  <si>
    <t>PAOLO NORBERTO ZANDALINI</t>
  </si>
  <si>
    <t>EMANUELA DALLA COSTA</t>
  </si>
  <si>
    <t>THEA MORELLO</t>
  </si>
  <si>
    <t>SIMONE VLACHOS</t>
  </si>
  <si>
    <t>ENRICO ROSTI</t>
  </si>
  <si>
    <t>C:\Users\nerea.fraile\EUROLEAGUE\EB STATS - Documents\General\SEASON 2025-26\Reports\Euroleague\PDF</t>
  </si>
  <si>
    <t>C:\Users\nerea.fraile\EUROLEAGUE\EB STATS - Documents\General\SEASON 2025-26\Reports\Euroleague</t>
  </si>
  <si>
    <t>02:05</t>
  </si>
  <si>
    <t>01:55</t>
  </si>
  <si>
    <t>00:01</t>
  </si>
  <si>
    <t>07:29</t>
  </si>
  <si>
    <t>03:00</t>
  </si>
  <si>
    <t>00:02</t>
  </si>
  <si>
    <t>07:03</t>
  </si>
  <si>
    <t xml:space="preserve">You have do a good job. Even though you have had some mistakes at the beginning, at the second part you have made very good decisions with the match very competitive.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</si>
</sst>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K1" sqref="K1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06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06_053_MIL_PAM_E2025</v>
      </c>
      <c r="G1" s="5"/>
      <c r="H1" s="5"/>
      <c r="I1" s="5"/>
      <c r="J1" s="8" t="s">
        <v>707</v>
      </c>
      <c r="K1" s="121" t="s">
        <v>757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53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45953.854166666664</v>
      </c>
      <c r="C3" s="157"/>
      <c r="D3" s="39">
        <v>648</v>
      </c>
      <c r="E3" s="29"/>
      <c r="F3" s="26">
        <f>SUBTOTAL(3,I17:I106)</f>
        <v>7</v>
      </c>
      <c r="G3" s="27">
        <f>IF(OR(D3="",D3=0),"",F3/D3)</f>
        <v>1.0802469135802469E-2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EA7 Emporio Armani Milan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MIL</v>
      </c>
      <c r="I4" s="5"/>
      <c r="J4" s="119" t="s">
        <v>714</v>
      </c>
      <c r="K4" s="54" t="s">
        <v>742</v>
      </c>
      <c r="L4" s="5"/>
      <c r="M4" s="167" t="s">
        <v>765</v>
      </c>
      <c r="N4" s="168"/>
      <c r="O4" s="2"/>
      <c r="P4" s="2"/>
      <c r="Q4" s="84" t="s">
        <v>175</v>
      </c>
      <c r="R4" s="94">
        <f>(IF(G3="",0,G3))</f>
        <v>1.0802469135802469E-2</v>
      </c>
      <c r="S4" s="61">
        <f>SUM(I13:M13)</f>
        <v>0</v>
      </c>
      <c r="T4" s="78"/>
      <c r="U4" s="61">
        <f>AC18</f>
        <v>1</v>
      </c>
      <c r="V4" s="61">
        <f>+AC22</f>
        <v>5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Valencia Basket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PAM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1.0802469135802468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5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9.0802469135802468</v>
      </c>
      <c r="N7" s="58"/>
      <c r="O7" s="2"/>
      <c r="P7" s="2"/>
      <c r="Q7" s="86">
        <f>SUM(R5,S5,AC16)</f>
        <v>9.0802469135802468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9.0802469135802468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53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7</v>
      </c>
      <c r="J15" s="24">
        <f>SUBTOTAL(3,J17:J106)</f>
        <v>7</v>
      </c>
      <c r="K15" s="24">
        <f>SUBTOTAL(3,K17:K106)</f>
        <v>7</v>
      </c>
      <c r="L15" s="24">
        <f>SUBTOTAL(3,L17:L106)</f>
        <v>7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7</v>
      </c>
      <c r="Z16" s="90" t="s">
        <v>110</v>
      </c>
      <c r="AA16" s="75">
        <f>SUM(AA17:AA24)</f>
        <v>7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8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7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53</v>
      </c>
      <c r="D17" s="32" t="s">
        <v>758</v>
      </c>
      <c r="E17" s="33">
        <v>1</v>
      </c>
      <c r="F17" s="36">
        <v>14</v>
      </c>
      <c r="G17" s="36">
        <v>16</v>
      </c>
      <c r="H17" s="38" t="str">
        <f>IF(I17="","",$I$14)</f>
        <v>SCOUTING</v>
      </c>
      <c r="I17" s="34">
        <v>112</v>
      </c>
      <c r="J17" s="13" t="s">
        <v>4</v>
      </c>
      <c r="K17" s="13" t="s">
        <v>62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7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53</v>
      </c>
      <c r="D18" s="32" t="s">
        <v>759</v>
      </c>
      <c r="E18" s="33">
        <v>1</v>
      </c>
      <c r="F18" s="36">
        <v>14</v>
      </c>
      <c r="G18" s="36">
        <v>16</v>
      </c>
      <c r="H18" s="38" t="str">
        <f t="shared" ref="H18:H81" si="8">IF(I18="","",$I$14)</f>
        <v>SCOUTING</v>
      </c>
      <c r="I18" s="34">
        <v>119</v>
      </c>
      <c r="J18" s="13" t="s">
        <v>4</v>
      </c>
      <c r="K18" s="13" t="s">
        <v>63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3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53</v>
      </c>
      <c r="D19" s="32" t="s">
        <v>760</v>
      </c>
      <c r="E19" s="33">
        <v>1</v>
      </c>
      <c r="F19" s="36">
        <v>18</v>
      </c>
      <c r="G19" s="36">
        <v>24</v>
      </c>
      <c r="H19" s="38" t="str">
        <f t="shared" si="8"/>
        <v>SCOUTING</v>
      </c>
      <c r="I19" s="34">
        <v>155</v>
      </c>
      <c r="J19" s="13" t="s">
        <v>4</v>
      </c>
      <c r="K19" s="13" t="s">
        <v>63</v>
      </c>
      <c r="L19" s="13" t="s">
        <v>5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53</v>
      </c>
      <c r="D20" s="32" t="s">
        <v>761</v>
      </c>
      <c r="E20" s="33">
        <v>2</v>
      </c>
      <c r="F20" s="36">
        <v>20</v>
      </c>
      <c r="G20" s="36">
        <v>35</v>
      </c>
      <c r="H20" s="38" t="str">
        <f t="shared" si="8"/>
        <v>SCOUTING</v>
      </c>
      <c r="I20" s="34">
        <v>200</v>
      </c>
      <c r="J20" s="13" t="s">
        <v>4</v>
      </c>
      <c r="K20" s="13" t="s">
        <v>63</v>
      </c>
      <c r="L20" s="13" t="s">
        <v>7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53</v>
      </c>
      <c r="D21" s="32" t="s">
        <v>762</v>
      </c>
      <c r="E21" s="33">
        <v>2</v>
      </c>
      <c r="F21" s="36">
        <v>38</v>
      </c>
      <c r="G21" s="36">
        <v>50</v>
      </c>
      <c r="H21" s="38" t="str">
        <f t="shared" si="8"/>
        <v>SCOUTING</v>
      </c>
      <c r="I21" s="34">
        <v>276</v>
      </c>
      <c r="J21" s="13" t="s">
        <v>4</v>
      </c>
      <c r="K21" s="13" t="s">
        <v>62</v>
      </c>
      <c r="L21" s="13" t="s">
        <v>6</v>
      </c>
      <c r="M21" s="13" t="s">
        <v>10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53</v>
      </c>
      <c r="D22" s="32" t="s">
        <v>763</v>
      </c>
      <c r="E22" s="33">
        <v>2</v>
      </c>
      <c r="F22" s="36">
        <v>48</v>
      </c>
      <c r="G22" s="36">
        <v>54</v>
      </c>
      <c r="H22" s="38" t="str">
        <f t="shared" si="8"/>
        <v>SCOUTING</v>
      </c>
      <c r="I22" s="34">
        <v>325</v>
      </c>
      <c r="J22" s="13" t="s">
        <v>4</v>
      </c>
      <c r="K22" s="13" t="s">
        <v>62</v>
      </c>
      <c r="L22" s="13" t="s">
        <v>6</v>
      </c>
      <c r="M22" s="13" t="s">
        <v>10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5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53</v>
      </c>
      <c r="D23" s="32" t="s">
        <v>764</v>
      </c>
      <c r="E23" s="33">
        <v>4</v>
      </c>
      <c r="F23" s="36">
        <v>81</v>
      </c>
      <c r="G23" s="36">
        <v>87</v>
      </c>
      <c r="H23" s="38" t="str">
        <f t="shared" si="8"/>
        <v>SCOUTING</v>
      </c>
      <c r="I23" s="34">
        <v>526</v>
      </c>
      <c r="J23" s="13" t="s">
        <v>4</v>
      </c>
      <c r="K23" s="13" t="s">
        <v>63</v>
      </c>
      <c r="L23" s="13" t="s">
        <v>6</v>
      </c>
      <c r="M23" s="13" t="s">
        <v>22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3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REPORT_E2025053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"E2025053"</v>
      </c>
      <c r="F3" s="45" t="str">
        <f t="shared" ref="F3:F16" si="0">""""&amp;B3&amp;"""" &amp; " : " &amp;C3&amp;","</f>
        <v>"name" : "E2025053",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"E053"</v>
      </c>
      <c r="F4" s="45" t="str">
        <f t="shared" si="0"/>
        <v>"cod" : "E053",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053</v>
      </c>
      <c r="F6" s="45" t="str">
        <f t="shared" si="0"/>
        <v>"number" : 053,</v>
      </c>
    </row>
    <row r="7" spans="2:6" x14ac:dyDescent="0.25">
      <c r="B7" s="43" t="s">
        <v>116</v>
      </c>
      <c r="C7" s="43" t="str">
        <f ca="1">""""&amp;TEXT('SCOUT &amp; LOGISTICS'!B3,"dd/mm/aaaa")&amp;""""</f>
        <v>"23/10/Thursday"</v>
      </c>
      <c r="F7" s="45" t="str">
        <f t="shared" ca="1" si="0"/>
        <v>"date" : "23/10/Thursday",</v>
      </c>
    </row>
    <row r="8" spans="2:6" x14ac:dyDescent="0.25">
      <c r="B8" s="43" t="s">
        <v>125</v>
      </c>
      <c r="C8" s="43" t="str">
        <f>""""&amp;'SCOUT &amp; LOGISTICS'!D4 &amp;""""</f>
        <v>"EA7 Emporio Armani Milan"</v>
      </c>
      <c r="F8" s="45" t="str">
        <f t="shared" si="0"/>
        <v>"home_team" : "EA7 Emporio Armani Milan",</v>
      </c>
    </row>
    <row r="9" spans="2:6" x14ac:dyDescent="0.25">
      <c r="B9" s="43" t="s">
        <v>126</v>
      </c>
      <c r="C9" s="43" t="str">
        <f>""""&amp;'SCOUT &amp; LOGISTICS'!D5&amp;""""</f>
        <v>"Valencia Basket"</v>
      </c>
      <c r="F9" s="45" t="str">
        <f t="shared" si="0"/>
        <v>"away_team" : "Valencia Basket",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"SAMUELE CATALLO"</v>
      </c>
      <c r="F10" s="45" t="str">
        <f t="shared" si="0"/>
        <v>"Data_entry" : "SAMUELE CATALLO",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"PAOLO NORBERTO ZANDALINI"</v>
      </c>
      <c r="F11" s="45" t="str">
        <f t="shared" si="0"/>
        <v>"Caller_1" : "PAOLO NORBERTO ZANDALINI",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"EMANUELA DALLA COSTA"</v>
      </c>
      <c r="F12" s="45" t="str">
        <f t="shared" si="0"/>
        <v>"Caller_2" : "EMANUELA DALLA COSTA",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"THEA MORELLO"</v>
      </c>
      <c r="F13" s="45" t="str">
        <f t="shared" si="0"/>
        <v>"Timerkeeper" : "THEA MORELLO",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"SIMONE VLACHOS"</v>
      </c>
      <c r="F14" s="45" t="str">
        <f t="shared" si="0"/>
        <v>"Shotclock" : "SIMONE VLACHOS",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"ENRICO ROSTI"</v>
      </c>
      <c r="F15" s="45" t="str">
        <f t="shared" si="0"/>
        <v>"IRS" : "ENRICO ROSTI",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648</v>
      </c>
      <c r="F25" s="45" t="str">
        <f t="shared" ref="F25:F48" si="1">""""&amp;C25&amp;"""" &amp; " : " &amp;D25&amp;","</f>
        <v>"total_actions" : 648,</v>
      </c>
    </row>
    <row r="26" spans="2:6" x14ac:dyDescent="0.25">
      <c r="C26" s="43" t="s">
        <v>132</v>
      </c>
      <c r="D26" s="43">
        <f>'SCOUT &amp; LOGISTICS'!F3</f>
        <v>7</v>
      </c>
      <c r="F26" s="45" t="str">
        <f t="shared" si="1"/>
        <v>"total_correcions" : 7,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3</v>
      </c>
      <c r="F32" s="45" t="str">
        <f t="shared" si="1"/>
        <v>"q2" : 3,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7</v>
      </c>
      <c r="F37" s="45" t="str">
        <f t="shared" si="1"/>
        <v>"scoresheet_corrections" : 7,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"You have do a good job. Even though you have had some mistakes at the beginning, at the second part you have made very good decisions with the match very competitive. "</v>
      </c>
      <c r="F51" s="45" t="str">
        <f>""""&amp;B51&amp;"""" &amp; " : " &amp;C51&amp;","</f>
        <v>"comments" : "You have do a good job. Even though you have had some mistakes at the beginning, at the second part you have made very good decisions with the match very competitive. ",</v>
      </c>
    </row>
    <row r="52" spans="2:6" x14ac:dyDescent="0.25">
      <c r="B52" s="43" t="s">
        <v>153</v>
      </c>
      <c r="C52" s="43" t="str">
        <f>TEXT('SCOUT &amp; LOGISTICS'!F1,"0,0")</f>
        <v>06_053_MIL_PAM_E2025</v>
      </c>
      <c r="F52" s="45" t="str">
        <f>""""&amp;B52&amp;"""" &amp; " : " &amp;C52</f>
        <v>"result" : 06_053_MIL_PAM_E2025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E053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23/10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Ea7 Emporio Armani Milan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Valencia Basket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SAMUELE CATALLO</v>
      </c>
      <c r="C8" s="206"/>
      <c r="D8" s="206"/>
      <c r="E8" s="206"/>
      <c r="F8" s="206"/>
      <c r="G8" s="206" t="str">
        <f>IF('SCOUT &amp; LOGISTICS'!D7="","",'SCOUT &amp; LOGISTICS'!D7)</f>
        <v>PAOLO NORBERTO ZANDALINI</v>
      </c>
      <c r="H8" s="206"/>
      <c r="I8" s="206"/>
      <c r="J8" s="206"/>
      <c r="K8" s="206"/>
      <c r="L8" s="206" t="str">
        <f>IF('SCOUT &amp; LOGISTICS'!D8="","",'SCOUT &amp; LOGISTICS'!D8)</f>
        <v>EMANUELA DALLA COSTA</v>
      </c>
      <c r="M8" s="206"/>
      <c r="N8" s="206"/>
      <c r="O8" s="206"/>
      <c r="P8" s="206"/>
      <c r="Q8" s="206" t="str">
        <f>IF('SCOUT &amp; LOGISTICS'!D9="","",'SCOUT &amp; LOGISTICS'!D9)</f>
        <v>THEA MORELLO</v>
      </c>
      <c r="R8" s="206"/>
      <c r="S8" s="206"/>
      <c r="T8" s="206"/>
      <c r="U8" s="206"/>
      <c r="V8" s="206" t="str">
        <f>IF('SCOUT &amp; LOGISTICS'!D10="","",'SCOUT &amp; LOGISTICS'!D10)</f>
        <v>SIMONE VLACHOS</v>
      </c>
      <c r="W8" s="206"/>
      <c r="X8" s="206"/>
      <c r="Y8" s="206"/>
      <c r="Z8" s="206"/>
      <c r="AA8" s="206" t="str">
        <f>IF('SCOUT &amp; LOGISTICS'!D11="","",'SCOUT &amp; LOGISTICS'!D11)</f>
        <v>ENRICO ROSTI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648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7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1.0802469135802469E-2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4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3</v>
      </c>
      <c r="C22" s="197"/>
      <c r="D22" s="197"/>
      <c r="E22" s="197"/>
      <c r="F22" s="197"/>
      <c r="G22" s="197"/>
      <c r="H22" s="197">
        <f>'SCOUT &amp; LOGISTICS'!AG18</f>
        <v>3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7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5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 xml:space="preserve">You have do a good job. Even though you have had some mistakes at the beginning, at the second part you have made very good decisions with the match very competitive.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9.0802469135802468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28D7B6D-4F4C-4B79-B524-010AFD095C4E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2025-10-23T20:58:22Z</cp:lastPrinted>
  <dcterms:created xsi:type="dcterms:W3CDTF">2023-09-19T19:50:35Z</dcterms:created>
  <dcterms:modified xsi:type="dcterms:W3CDTF">2025-10-23T21:06:00Z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