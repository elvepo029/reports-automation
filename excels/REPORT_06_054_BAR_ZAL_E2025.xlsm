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A0D38AB9-ACD4-4050-9B2F-FF2D02754F40}" xr6:coauthVersionLast="47" xr6:coauthVersionMax="47" xr10:uidLastSave="{B7FA5BE6-CD26-4C66-9D58-C7DD283615B5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<sst xmlns="http://schemas.openxmlformats.org/spreadsheetml/2006/main" count="3275" uniqueCount="765">
  <si>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</si>
  <si>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</si>
  <si>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</si>
  <si>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</si>
  <si>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</si>
  <si>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</si>
  <si>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</si>
  <si>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</si>
  <si>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</si>
  <si>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</si>
  <si>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</si>
  <si>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</si>
  <si>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</si>
  <si>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</si>
  <si>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</si>
  <si>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</si>
  <si>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</si>
  <si>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</si>
  <si>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</si>
  <si>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</si>
  <si>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</si>
  <si>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</si>
  <si>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</si>
  <si>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</si>
  <si>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</si>
  <si>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</si>
  <si>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</si>
  <si>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</si>
  <si>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</si>
  <si>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</si>
  <si>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</si>
  <si>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</si>
  <si>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</si>
  <si>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</si>
  <si>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</si>
  <si>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</si>
  <si>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</si>
  <si>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</si>
  <si>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</si>
  <si>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</si>
  <si>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</si>
  <si>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</si>
  <si>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</si>
  <si>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</si>
  <si>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</si>
  <si>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</si>
  <si>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</si>
  <si>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</si>
  <si>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</si>
  <si>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</si>
  <si>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</si>
  <si>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</si>
  <si>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</si>
  <si>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</si>
  <si>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</si>
  <si>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</si>
  <si>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</si>
  <si>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</si>
  <si>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</si>
  <si>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</si>
  <si>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</si>
  <si>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</si>
  <si>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</si>
  <si>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</si>
  <si>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</si>
  <si>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</si>
  <si>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</si>
  <si>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</si>
  <si>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</si>
  <si>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</si>
  <si>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</si>
  <si>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</si>
  <si>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</si>
  <si>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</si>
  <si>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</si>
  <si>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</si>
  <si>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</si>
  <si>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</si>
  <si>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</si>
  <si>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</si>
  <si>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</si>
  <si>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</si>
  <si>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</si>
  <si>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</si>
  <si>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</si>
  <si>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</si>
  <si>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</si>
  <si>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</si>
  <si>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</si>
  <si>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</si>
  <si>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</si>
  <si>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</si>
  <si>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</si>
  <si>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</si>
  <si>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</si>
  <si>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</si>
  <si>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</si>
  <si>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</si>
  <si>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</si>
  <si>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</si>
  <si>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</si>
  <si>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</si>
  <si>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</si>
  <si>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</si>
  <si>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</si>
  <si>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</si>
  <si>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</si>
  <si>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</si>
  <si>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</si>
  <si>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</si>
  <si>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</si>
  <si>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</si>
  <si>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</si>
  <si>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</si>
  <si>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</si>
  <si>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</si>
  <si>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</si>
  <si>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</si>
  <si>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</si>
  <si>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</si>
  <si>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</si>
  <si>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</si>
  <si>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</si>
  <si>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</si>
  <si>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</si>
  <si>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</si>
  <si>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</si>
  <si>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</si>
  <si>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</si>
  <si>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</si>
  <si>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</si>
  <si>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</si>
  <si>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</si>
  <si>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</si>
  <si>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</si>
  <si>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</si>
  <si>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</si>
  <si>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</si>
  <si>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</si>
  <si>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</si>
  <si>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</si>
  <si>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</si>
  <si>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</si>
  <si>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</si>
  <si>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</si>
  <si>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</si>
  <si>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</si>
  <si>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</si>
  <si>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</si>
  <si>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</si>
  <si>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</si>
  <si>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</si>
  <si>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</si>
  <si>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</si>
  <si>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</si>
  <si>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</si>
  <si>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</si>
  <si>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</si>
  <si>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</si>
  <si>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</si>
  <si>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</si>
  <si>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</si>
  <si>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</si>
  <si>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</si>
  <si>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</si>
  <si>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</si>
  <si>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</si>
  <si>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</si>
  <si>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</si>
  <si>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</si>
  <si>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</si>
  <si>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</si>
  <si>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</si>
  <si>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</si>
  <si>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</si>
  <si>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</si>
  <si>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</si>
  <si>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</si>
  <si>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</si>
  <si>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</si>
  <si>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</si>
  <si>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</si>
  <si>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</si>
  <si>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</si>
  <si>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</si>
  <si>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</si>
  <si>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</si>
  <si>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</si>
  <si>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</si>
  <si>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</si>
  <si>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</si>
  <si>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</si>
  <si>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</si>
  <si>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</si>
  <si>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</si>
  <si>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</si>
  <si>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</si>
  <si>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</si>
  <si>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</si>
  <si>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</si>
  <si>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</si>
  <si>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</si>
  <si>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</si>
  <si>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</si>
  <si>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</si>
  <si>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</si>
  <si>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</si>
  <si>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</si>
  <si>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</si>
  <si>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</si>
  <si>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</si>
  <si>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</si>
  <si>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</si>
  <si>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</si>
  <si>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</si>
  <si>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</si>
  <si>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</si>
  <si>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</si>
  <si>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</si>
  <si>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</si>
  <si>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</si>
  <si>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</si>
  <si>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</si>
  <si>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</si>
  <si>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</si>
  <si>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</si>
  <si>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</si>
  <si>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</si>
  <si>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</si>
  <si>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</si>
  <si>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</si>
  <si>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</si>
  <si>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</si>
  <si>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</si>
  <si>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</si>
  <si>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</si>
  <si>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</si>
  <si>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</si>
  <si>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</si>
  <si>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</si>
  <si>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</si>
  <si>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</si>
  <si>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</si>
  <si>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</si>
  <si>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</si>
  <si>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</si>
  <si>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</si>
  <si>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</si>
  <si>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</si>
  <si>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</si>
  <si>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</si>
  <si>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</si>
  <si>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</si>
  <si>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</si>
  <si>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</si>
  <si>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</si>
  <si>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</si>
  <si>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</si>
  <si>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</si>
  <si>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</si>
  <si>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</si>
  <si>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</si>
  <si>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</si>
  <si>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</si>
  <si>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</si>
  <si>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</si>
  <si>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</si>
  <si>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</si>
  <si>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</si>
  <si>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</si>
  <si>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</si>
  <si>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</si>
  <si>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</si>
  <si>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</si>
  <si>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</si>
  <si>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</si>
  <si>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</si>
  <si>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</si>
  <si>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</si>
  <si>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</si>
  <si>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</si>
  <si>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</si>
  <si>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</si>
  <si>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</si>
  <si>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</si>
  <si>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</si>
  <si>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</si>
  <si>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</si>
  <si>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</si>
  <si>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</si>
  <si>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</si>
  <si>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</si>
  <si>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</si>
  <si>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</si>
  <si>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</si>
  <si>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</si>
  <si>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</si>
  <si>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</si>
  <si>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</si>
  <si>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</si>
  <si>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</si>
  <si>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</si>
  <si>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</si>
  <si>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</si>
  <si>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</si>
  <si>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</si>
  <si>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</si>
  <si>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</si>
  <si>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</si>
  <si>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</si>
  <si>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</si>
  <si>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</si>
  <si>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</si>
  <si>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</si>
  <si>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</si>
  <si>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</si>
  <si>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</si>
  <si>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</si>
  <si>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</si>
  <si>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</si>
  <si>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</si>
  <si>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</si>
  <si>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</si>
  <si>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</si>
  <si>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</si>
  <si>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</si>
  <si>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</si>
  <si>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</si>
  <si>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</si>
  <si>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</si>
  <si>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</si>
  <si>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</si>
  <si>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</si>
  <si>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</si>
  <si>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</si>
  <si>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</si>
  <si>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</si>
  <si>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</si>
  <si>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</si>
  <si>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</si>
  <si>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</si>
  <si>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</si>
  <si>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</si>
  <si>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</si>
  <si>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</si>
  <si>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</si>
  <si>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</si>
  <si>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</si>
  <si>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</si>
  <si>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</si>
  <si>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</si>
  <si>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</si>
  <si>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</si>
  <si>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</si>
  <si>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</si>
  <si>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</si>
  <si>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</si>
  <si>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</si>
  <si>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</si>
  <si>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</si>
  <si>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</si>
  <si>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</si>
  <si>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</si>
  <si>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</si>
  <si>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</si>
  <si>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</si>
  <si>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</si>
  <si>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</si>
  <si>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</si>
  <si>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</si>
  <si>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</si>
  <si>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</si>
  <si>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</si>
  <si>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</si>
  <si>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</si>
  <si>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</si>
  <si>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</si>
  <si>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</si>
  <si>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</si>
  <si>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</si>
  <si>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</si>
  <si>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</si>
  <si>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</si>
  <si>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</si>
  <si>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</si>
  <si>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</si>
  <si>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</si>
  <si>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</si>
  <si>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</si>
  <si>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</si>
  <si>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</si>
  <si>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</si>
  <si>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</si>
  <si>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</si>
  <si>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</si>
  <si>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</si>
  <si>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</si>
  <si>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</si>
  <si>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</si>
  <si>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</si>
  <si>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</si>
  <si>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</si>
  <si>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</si>
  <si>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</si>
  <si>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</si>
  <si>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</si>
  <si>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</si>
  <si>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</si>
  <si>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</si>
  <si>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</si>
  <si>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</si>
  <si>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</si>
  <si>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</si>
  <si>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</si>
  <si>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</si>
  <si>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</si>
  <si>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</si>
  <si>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</si>
  <si>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</si>
  <si>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</si>
  <si>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</si>
  <si>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</si>
  <si>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</si>
  <si>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</si>
  <si>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</si>
  <si>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</si>
  <si>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</si>
  <si>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</si>
  <si>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</si>
  <si>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</si>
  <si>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</si>
  <si>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</si>
  <si>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</si>
  <si>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</si>
  <si>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</si>
  <si>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</si>
  <si>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</si>
  <si>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</si>
  <si>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</si>
  <si>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</si>
  <si>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</si>
  <si>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</si>
  <si>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</si>
  <si>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</si>
  <si>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</si>
  <si>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</si>
  <si>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</si>
  <si>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</si>
  <si>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</si>
  <si>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</si>
  <si>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</si>
  <si>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</si>
  <si>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</si>
  <si>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</si>
  <si>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</si>
  <si>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</si>
  <si>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</si>
  <si>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</si>
  <si>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</si>
  <si>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</si>
  <si>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</si>
  <si>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</si>
  <si>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</si>
  <si>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</si>
  <si>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</si>
  <si>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</si>
  <si>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</si>
  <si>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</si>
  <si>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</si>
  <si>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</si>
  <si>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</si>
  <si>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</si>
  <si>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</si>
  <si>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</si>
  <si>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</si>
  <si>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</si>
  <si>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</si>
  <si>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</si>
  <si>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</si>
  <si>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</si>
  <si>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</si>
  <si>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</si>
  <si>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</si>
  <si>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</si>
  <si>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</si>
  <si>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</si>
  <si>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</si>
  <si>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</si>
  <si>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</si>
  <si>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</si>
  <si>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</si>
  <si>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</si>
  <si>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</si>
  <si>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</si>
  <si>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</si>
  <si>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</si>
  <si>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</si>
  <si>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</si>
  <si>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</si>
  <si>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</si>
  <si>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</si>
  <si>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</si>
  <si>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</si>
  <si>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</si>
  <si>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</si>
  <si>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</si>
  <si>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</si>
  <si>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</si>
  <si>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</si>
  <si>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</si>
  <si>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</si>
  <si>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</si>
  <si>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</si>
  <si>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</si>
  <si>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</si>
  <si>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</si>
  <si>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</si>
  <si>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</si>
  <si>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</si>
  <si>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</si>
  <si>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</si>
  <si>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</si>
  <si>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</si>
  <si>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</si>
  <si>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</si>
  <si>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</si>
  <si>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</si>
  <si>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</si>
  <si>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</si>
  <si>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</si>
  <si>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</si>
  <si>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</si>
  <si>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</si>
  <si>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</si>
  <si>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</si>
  <si>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</si>
  <si>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</si>
  <si>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</si>
  <si>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</si>
  <si>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</si>
  <si>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</si>
  <si>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</si>
  <si>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</si>
  <si>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</si>
  <si>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</si>
  <si>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</si>
  <si>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</si>
  <si>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</si>
  <si>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</si>
  <si>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</si>
  <si>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</si>
  <si>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</si>
  <si>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</si>
  <si>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</si>
  <si>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</si>
  <si>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</si>
  <si>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</si>
  <si>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</si>
  <si>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</si>
  <si>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</si>
  <si>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</si>
  <si>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</si>
  <si>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</si>
  <si>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</si>
  <si>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</si>
  <si>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</si>
  <si>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</si>
  <si>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</si>
  <si>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</si>
  <si>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</si>
  <si>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</si>
  <si>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</si>
  <si>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</si>
  <si>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</si>
  <si>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</si>
  <si>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</si>
  <si>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</si>
  <si>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</si>
  <si>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</si>
  <si>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</si>
  <si>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</si>
  <si>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</si>
  <si>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</si>
  <si>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</si>
  <si>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</si>
  <si>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</si>
  <si>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</si>
  <si>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</si>
  <si>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</si>
  <si>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</si>
  <si>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</si>
  <si>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</si>
  <si>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</si>
  <si>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</si>
  <si>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</si>
  <si>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</si>
  <si>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</si>
  <si>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</si>
  <si>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</si>
  <si>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</si>
  <si>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</si>
  <si>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</si>
  <si>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</si>
  <si>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</si>
  <si>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</si>
  <si>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</si>
  <si>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</si>
  <si>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</si>
  <si>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</si>
  <si>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</si>
  <si>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</si>
  <si>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</si>
  <si>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</si>
  <si>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</si>
  <si>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</si>
  <si>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</si>
  <si>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</si>
  <si>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</si>
  <si>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</si>
  <si>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</si>
  <si>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</si>
  <si>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</si>
  <si>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</si>
  <si>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</si>
  <si>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</si>
  <si>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</si>
  <si>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</si>
  <si>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</si>
  <si>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</si>
  <si>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</si>
  <si>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</si>
  <si>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</si>
  <si>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</si>
  <si>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</si>
  <si>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</si>
  <si>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</si>
  <si>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</si>
  <si>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</si>
  <si>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</si>
  <si>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</si>
  <si>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</si>
  <si>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</si>
  <si>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</si>
  <si>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</si>
  <si>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</si>
  <si>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</si>
  <si>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</si>
  <si>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</si>
  <si>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</si>
  <si>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</si>
  <si>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</si>
  <si>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</si>
  <si>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</si>
  <si>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</si>
  <si>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</si>
  <si>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</si>
  <si>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</si>
  <si>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</si>
  <si>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</si>
  <si>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</si>
  <si>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</si>
  <si>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</si>
  <si>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</si>
  <si>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</si>
  <si>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</si>
  <si>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</si>
  <si>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</si>
  <si>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</si>
  <si>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</si>
  <si>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</si>
  <si>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</si>
  <si>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</si>
  <si>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</si>
  <si>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</si>
  <si>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</si>
  <si>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</si>
  <si>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</si>
  <si>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</si>
  <si>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</si>
  <si>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</si>
  <si>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</si>
  <si>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</si>
  <si>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</si>
  <si>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</si>
  <si>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</si>
  <si>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</si>
  <si>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</si>
  <si>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</si>
  <si>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</si>
  <si>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</si>
  <si>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</si>
  <si>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</si>
  <si>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</si>
  <si>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</si>
  <si>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</si>
  <si>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</si>
  <si>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</si>
  <si>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</si>
  <si>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</si>
  <si>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</si>
  <si>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</si>
  <si>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</si>
  <si>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</si>
  <si>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</si>
  <si>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</si>
  <si>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</si>
  <si>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</si>
  <si>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</si>
  <si>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</si>
  <si>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</si>
  <si>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</si>
  <si>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</si>
  <si>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</si>
  <si>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</si>
  <si>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</si>
  <si>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</si>
  <si>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</si>
  <si>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</si>
  <si>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</si>
  <si>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</si>
  <si>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</si>
  <si>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</si>
  <si>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</si>
  <si>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</si>
  <si>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</si>
  <si>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</si>
  <si>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</si>
  <si>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</si>
  <si>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</si>
  <si>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</si>
  <si>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</si>
  <si>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</si>
  <si>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</si>
  <si>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</si>
  <si>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</si>
  <si>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</si>
  <si>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</si>
  <si>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</si>
  <si>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</si>
  <si>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</si>
  <si>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</si>
  <si>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</si>
  <si>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</si>
  <si>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</si>
  <si>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</si>
  <si>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</si>
  <si>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</si>
  <si>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</si>
  <si>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</si>
  <si>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</si>
  <si>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ADRIA RUBIROLA</t>
  </si>
  <si>
    <t>RICARD MONGE</t>
  </si>
  <si>
    <t>MARC BAYO</t>
  </si>
  <si>
    <t>FRANCIS RUIZ</t>
  </si>
  <si>
    <t>LLUIS ESPINOSA</t>
  </si>
  <si>
    <t>JESUS LOPEZ</t>
  </si>
  <si>
    <t>XAVI MATEU</t>
  </si>
  <si>
    <t>08:43</t>
  </si>
  <si>
    <t>02:41</t>
  </si>
  <si>
    <t>07:42</t>
  </si>
  <si>
    <t>09:06</t>
  </si>
  <si>
    <t>03:39</t>
  </si>
  <si>
    <t>05:00</t>
  </si>
  <si>
    <t>Excellent job. The work has been very good, and if you missed anything, you were aware of it. Just to clarify: if a player receives the ball without a defender and the defender doesn’t manage to establish a defensive position and there’s a fake followed by a lateral dribble or a penetration, we give the assist. On the other hand, if a player receives the ball while being defended and doesn’t take an immediate shot, we don’t give the assist.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</si>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</sst>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06_054_BAR_ZAL_E2025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54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45953.854166666664</v>
      </c>
      <c r="C3" s="157"/>
      <c r="D3" s="39">
        <v>561</v>
      </c>
      <c r="E3" s="29"/>
      <c r="F3" s="26">
        <f>SUBTOTAL(3,I17:I106)</f>
        <v>6</v>
      </c>
      <c r="G3" s="27">
        <f>IF(OR(D3="",D3=0),"",F3/D3)</f>
        <v>1.06951871657754E-2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1.06951871657754E-2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1.0695187165775399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9.0695187165775408</v>
      </c>
      <c r="N7" s="58"/>
      <c r="O7" s="2"/>
      <c r="P7" s="2"/>
      <c r="Q7" s="86">
        <f>SUM(R5,S5,AC16)</f>
        <v>9.0695187165775408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9.0695187165775408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54</v>
      </c>
      <c r="D17" s="32" t="s">
        <v>757</v>
      </c>
      <c r="E17" s="33">
        <v>1</v>
      </c>
      <c r="F17" s="36">
        <v>0</v>
      </c>
      <c r="G17" s="36">
        <v>4</v>
      </c>
      <c r="H17" s="38" t="str">
        <f>IF(I17="","",$I$14)</f>
        <v>SCOUTING</v>
      </c>
      <c r="I17" s="34">
        <v>14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54</v>
      </c>
      <c r="D18" s="32" t="s">
        <v>758</v>
      </c>
      <c r="E18" s="33">
        <v>1</v>
      </c>
      <c r="F18" s="36">
        <v>8</v>
      </c>
      <c r="G18" s="36">
        <v>19</v>
      </c>
      <c r="H18" s="38" t="str">
        <f t="shared" ref="H18:H81" si="8">IF(I18="","",$I$14)</f>
        <v>SCOUTING</v>
      </c>
      <c r="I18" s="34">
        <v>109</v>
      </c>
      <c r="J18" s="13" t="s">
        <v>4</v>
      </c>
      <c r="K18" s="13" t="s">
        <v>62</v>
      </c>
      <c r="L18" s="13" t="s">
        <v>48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54</v>
      </c>
      <c r="D19" s="32" t="s">
        <v>759</v>
      </c>
      <c r="E19" s="33">
        <v>2</v>
      </c>
      <c r="F19" s="36">
        <v>18</v>
      </c>
      <c r="G19" s="36">
        <v>34</v>
      </c>
      <c r="H19" s="38" t="str">
        <f t="shared" si="8"/>
        <v>SCOUTING</v>
      </c>
      <c r="I19" s="34">
        <v>177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54</v>
      </c>
      <c r="D20" s="32" t="s">
        <v>760</v>
      </c>
      <c r="E20" s="33">
        <v>3</v>
      </c>
      <c r="F20" s="36">
        <v>39</v>
      </c>
      <c r="G20" s="36">
        <v>54</v>
      </c>
      <c r="H20" s="38" t="str">
        <f t="shared" si="8"/>
        <v>SCOUTING</v>
      </c>
      <c r="I20" s="34">
        <v>321</v>
      </c>
      <c r="J20" s="13" t="s">
        <v>4</v>
      </c>
      <c r="K20" s="13" t="s">
        <v>63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54</v>
      </c>
      <c r="D21" s="32" t="s">
        <v>761</v>
      </c>
      <c r="E21" s="33">
        <v>2</v>
      </c>
      <c r="F21" s="36">
        <v>46</v>
      </c>
      <c r="G21" s="36">
        <v>70</v>
      </c>
      <c r="H21" s="38" t="str">
        <f t="shared" si="8"/>
        <v>SCOUTING</v>
      </c>
      <c r="I21" s="34">
        <v>396</v>
      </c>
      <c r="J21" s="13" t="s">
        <v>4</v>
      </c>
      <c r="K21" s="13" t="s">
        <v>62</v>
      </c>
      <c r="L21" s="13" t="s">
        <v>7</v>
      </c>
      <c r="M21" s="13" t="s">
        <v>12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54</v>
      </c>
      <c r="D22" s="32" t="s">
        <v>762</v>
      </c>
      <c r="E22" s="33">
        <v>2</v>
      </c>
      <c r="F22" s="36">
        <v>29</v>
      </c>
      <c r="G22" s="36">
        <v>40</v>
      </c>
      <c r="H22" s="38" t="str">
        <f t="shared" si="8"/>
        <v>SCOUTING</v>
      </c>
      <c r="I22" s="34">
        <v>223</v>
      </c>
      <c r="J22" s="13" t="s">
        <v>4</v>
      </c>
      <c r="K22" s="13" t="s">
        <v>63</v>
      </c>
      <c r="L22" s="13" t="s">
        <v>48</v>
      </c>
      <c r="M22" s="13" t="s">
        <v>26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REPORT_E2025054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"E2025054"</v>
      </c>
      <c r="F3" s="45" t="str">
        <f t="shared" ref="F3:F16" si="0">""""&amp;B3&amp;"""" &amp; " : " &amp;C3&amp;","</f>
        <v>"name" : "E2025054",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"E054"</v>
      </c>
      <c r="F4" s="45" t="str">
        <f t="shared" si="0"/>
        <v>"cod" : "E054",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054</v>
      </c>
      <c r="F6" s="45" t="str">
        <f t="shared" si="0"/>
        <v>"number" : 054,</v>
      </c>
    </row>
    <row r="7" spans="2:6" x14ac:dyDescent="0.25">
      <c r="B7" s="43" t="s">
        <v>116</v>
      </c>
      <c r="C7" s="43" t="str">
        <f ca="1">""""&amp;TEXT('SCOUT &amp; LOGISTICS'!B3,"dd/mm/aaaa")&amp;""""</f>
        <v>"23/10/Thursday"</v>
      </c>
      <c r="F7" s="45" t="str">
        <f t="shared" ca="1" si="0"/>
        <v>"date" : "23/10/Thursday",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"ADRIA RUBIROLA"</v>
      </c>
      <c r="F10" s="45" t="str">
        <f t="shared" si="0"/>
        <v>"Data_entry" : "ADRIA RUBIROLA",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"MARC BAYO"</v>
      </c>
      <c r="F12" s="45" t="str">
        <f t="shared" si="0"/>
        <v>"Caller_2" : "MARC BAYO",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"FRANCIS RUIZ"</v>
      </c>
      <c r="F13" s="45" t="str">
        <f t="shared" si="0"/>
        <v>"Timerkeeper" : "FRANCIS RUIZ",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"LLUIS ESPINOSA"</v>
      </c>
      <c r="F14" s="45" t="str">
        <f t="shared" si="0"/>
        <v>"Shotclock" : "LLUIS ESPINOSA",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561</v>
      </c>
      <c r="F25" s="45" t="str">
        <f t="shared" ref="F25:F48" si="1">""""&amp;C25&amp;"""" &amp; " : " &amp;D25&amp;","</f>
        <v>"total_actions" : 561,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job. The work has been very good, and if you missed anything, you were aware of it. Just to clarify: if a player receives the ball without a defender and the defender doesn’t manage to establish a defensive position and there’s a fake followed by a lateral dribble or a penetration, we give the assist. On the other hand, if a player receives the ball while being defended and doesn’t take an immediate shot, we don’t give the assist."</v>
      </c>
      <c r="F51" s="45" t="str">
        <f>""""&amp;B51&amp;"""" &amp; " : " &amp;C51&amp;","</f>
        <v>"comments" : "Excellent job. The work has been very good, and if you missed anything, you were aware of it. Just to clarify: if a player receives the ball without a defender and the defender doesn’t manage to establish a defensive position and there’s a fake followed by a lateral dribble or a penetration, we give the assist. On the other hand, if a player receives the ball while being defended and doesn’t take an immediate shot, we don’t give the assist.",</v>
      </c>
    </row>
    <row r="52" spans="2:6" x14ac:dyDescent="0.25">
      <c r="B52" s="43" t="s">
        <v>153</v>
      </c>
      <c r="C52" s="43" t="str">
        <f>TEXT('SCOUT &amp; LOGISTICS'!F1,"0,0")</f>
        <v>06_054_BAR_ZAL_E2025</v>
      </c>
      <c r="F52" s="45" t="str">
        <f>""""&amp;B52&amp;"""" &amp; " : " &amp;C52</f>
        <v>"result" : 06_054_BAR_ZAL_E2025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E054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ADRIA RUBIROLA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MARC BAYO</v>
      </c>
      <c r="M8" s="206"/>
      <c r="N8" s="206"/>
      <c r="O8" s="206"/>
      <c r="P8" s="206"/>
      <c r="Q8" s="206" t="str">
        <f>IF('SCOUT &amp; LOGISTICS'!D9="","",'SCOUT &amp; LOGISTICS'!D9)</f>
        <v>FRANCIS RUIZ</v>
      </c>
      <c r="R8" s="206"/>
      <c r="S8" s="206"/>
      <c r="T8" s="206"/>
      <c r="U8" s="206"/>
      <c r="V8" s="206" t="str">
        <f>IF('SCOUT &amp; LOGISTICS'!D10="","",'SCOUT &amp; LOGISTICS'!D10)</f>
        <v>LLUIS ESPINOSA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1.06951871657754E-2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job. The work has been very good, and if you missed anything, you were aware of it. Just to clarify: if a player receives the ball without a defender and the defender doesn’t manage to establish a defensive position and there’s a fake followed by a lateral dribble or a penetration, we give the assist. On the other hand, if a player receives the ball while being defended and doesn’t take an immediate shot, we don’t give the assist.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9.0695187165775408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55192BD-564B-4E0C-8CDD-2C564BBF4A9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2025-10-24T14:22:40Z</cp:lastPrinted>
  <dcterms:created xsi:type="dcterms:W3CDTF">2023-09-19T19:50:35Z</dcterms:created>
  <dcterms:modified xsi:type="dcterms:W3CDTF">2025-10-24T14:23:38Z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