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" documentId="8_{2B4027CD-BB77-40DA-A484-A8A602B31C34}" xr6:coauthVersionLast="47" xr6:coauthVersionMax="47" xr10:uidLastSave="{4E027B62-E8E6-4936-AB4A-36E03EF52B53}"/>
  <bookViews>
    <workbookView xWindow="-1755" yWindow="-1245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<sst xmlns="http://schemas.openxmlformats.org/spreadsheetml/2006/main" count="3245" uniqueCount="757">
  <si>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</si>
  <si>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</si>
  <si>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</si>
  <si>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</si>
  <si>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</si>
  <si>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</si>
  <si>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</si>
  <si>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</si>
  <si>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</si>
  <si>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</si>
  <si>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</si>
  <si>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</si>
  <si>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</si>
  <si>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</si>
  <si>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</si>
  <si>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</si>
  <si>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</si>
  <si>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</si>
  <si>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</si>
  <si>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</si>
  <si>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</si>
  <si>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</si>
  <si>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</si>
  <si>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</si>
  <si>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</si>
  <si>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</si>
  <si>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</si>
  <si>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</si>
  <si>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</si>
  <si>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</si>
  <si>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</si>
  <si>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</si>
  <si>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</si>
  <si>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</si>
  <si>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</si>
  <si>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</si>
  <si>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</si>
  <si>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</si>
  <si>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</si>
  <si>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</si>
  <si>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</si>
  <si>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</si>
  <si>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</si>
  <si>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</si>
  <si>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</si>
  <si>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</si>
  <si>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</si>
  <si>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</si>
  <si>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</si>
  <si>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</si>
  <si>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</si>
  <si>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</si>
  <si>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</si>
  <si>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</si>
  <si>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</si>
  <si>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</si>
  <si>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</si>
  <si>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</si>
  <si>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</si>
  <si>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</si>
  <si>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</si>
  <si>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</si>
  <si>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</si>
  <si>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</si>
  <si>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</si>
  <si>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</si>
  <si>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</si>
  <si>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</si>
  <si>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</si>
  <si>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</si>
  <si>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</si>
  <si>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</si>
  <si>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</si>
  <si>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</si>
  <si>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</si>
  <si>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</si>
  <si>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</si>
  <si>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</si>
  <si>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</si>
  <si>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</si>
  <si>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</si>
  <si>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</si>
  <si>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</si>
  <si>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</si>
  <si>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</si>
  <si>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</si>
  <si>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</si>
  <si>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</si>
  <si>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</si>
  <si>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</si>
  <si>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</si>
  <si>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</si>
  <si>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</si>
  <si>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</si>
  <si>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</si>
  <si>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</si>
  <si>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</si>
  <si>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</si>
  <si>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</si>
  <si>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</si>
  <si>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</si>
  <si>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</si>
  <si>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</si>
  <si>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</si>
  <si>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</si>
  <si>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</si>
  <si>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</si>
  <si>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</si>
  <si>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</si>
  <si>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</si>
  <si>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</si>
  <si>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</si>
  <si>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</si>
  <si>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</si>
  <si>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</si>
  <si>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</si>
  <si>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</si>
  <si>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</si>
  <si>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</si>
  <si>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</si>
  <si>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</si>
  <si>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</si>
  <si>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</si>
  <si>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</si>
  <si>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</si>
  <si>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</si>
  <si>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</si>
  <si>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</si>
  <si>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</si>
  <si>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</si>
  <si>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</si>
  <si>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</si>
  <si>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</si>
  <si>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</si>
  <si>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</si>
  <si>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</si>
  <si>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</si>
  <si>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</si>
  <si>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</si>
  <si>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</si>
  <si>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</si>
  <si>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</si>
  <si>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</si>
  <si>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</si>
  <si>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</si>
  <si>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</si>
  <si>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</si>
  <si>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</si>
  <si>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</si>
  <si>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</si>
  <si>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</si>
  <si>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</si>
  <si>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</si>
  <si>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</si>
  <si>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</si>
  <si>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</si>
  <si>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</si>
  <si>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</si>
  <si>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</si>
  <si>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</si>
  <si>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</si>
  <si>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</si>
  <si>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</si>
  <si>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</si>
  <si>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</si>
  <si>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</si>
  <si>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</si>
  <si>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</si>
  <si>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</si>
  <si>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</si>
  <si>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</si>
  <si>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</si>
  <si>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</si>
  <si>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</si>
  <si>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</si>
  <si>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</si>
  <si>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</si>
  <si>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</si>
  <si>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</si>
  <si>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</si>
  <si>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</si>
  <si>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</si>
  <si>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</si>
  <si>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</si>
  <si>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</si>
  <si>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</si>
  <si>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</si>
  <si>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</si>
  <si>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</si>
  <si>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</si>
  <si>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</si>
  <si>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</si>
  <si>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</si>
  <si>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</si>
  <si>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</si>
  <si>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</si>
  <si>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</si>
  <si>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</si>
  <si>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</si>
  <si>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</si>
  <si>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</si>
  <si>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</si>
  <si>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</si>
  <si>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</si>
  <si>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</si>
  <si>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</si>
  <si>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</si>
  <si>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</si>
  <si>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</si>
  <si>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</si>
  <si>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</si>
  <si>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</si>
  <si>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</si>
  <si>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</si>
  <si>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</si>
  <si>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</si>
  <si>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</si>
  <si>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</si>
  <si>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</si>
  <si>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</si>
  <si>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</si>
  <si>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</si>
  <si>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</si>
  <si>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</si>
  <si>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</si>
  <si>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</si>
  <si>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</si>
  <si>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</si>
  <si>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</si>
  <si>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</si>
  <si>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</si>
  <si>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</si>
  <si>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</si>
  <si>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</si>
  <si>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</si>
  <si>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</si>
  <si>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</si>
  <si>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</si>
  <si>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</si>
  <si>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</si>
  <si>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</si>
  <si>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</si>
  <si>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</si>
  <si>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</si>
  <si>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</si>
  <si>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</si>
  <si>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</si>
  <si>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</si>
  <si>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</si>
  <si>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</si>
  <si>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</si>
  <si>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</si>
  <si>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</si>
  <si>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</si>
  <si>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</si>
  <si>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</si>
  <si>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</si>
  <si>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</si>
  <si>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</si>
  <si>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</si>
  <si>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</si>
  <si>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</si>
  <si>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</si>
  <si>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</si>
  <si>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</si>
  <si>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</si>
  <si>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</si>
  <si>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</si>
  <si>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</si>
  <si>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</si>
  <si>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</si>
  <si>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</si>
  <si>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</si>
  <si>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</si>
  <si>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</si>
  <si>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</si>
  <si>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</si>
  <si>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</si>
  <si>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</si>
  <si>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</si>
  <si>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</si>
  <si>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</si>
  <si>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</si>
  <si>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</si>
  <si>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</si>
  <si>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</si>
  <si>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</si>
  <si>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</si>
  <si>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</si>
  <si>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</si>
  <si>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</si>
  <si>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</si>
  <si>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</si>
  <si>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</si>
  <si>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</si>
  <si>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</si>
  <si>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</si>
  <si>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</si>
  <si>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</si>
  <si>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</si>
  <si>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</si>
  <si>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</si>
  <si>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</si>
  <si>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</si>
  <si>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</si>
  <si>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</si>
  <si>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</si>
  <si>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</si>
  <si>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</si>
  <si>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</si>
  <si>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</si>
  <si>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</si>
  <si>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</si>
  <si>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</si>
  <si>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</si>
  <si>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</si>
  <si>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</si>
  <si>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</si>
  <si>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</si>
  <si>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</si>
  <si>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</si>
  <si>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</si>
  <si>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</si>
  <si>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</si>
  <si>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</si>
  <si>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</si>
  <si>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</si>
  <si>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</si>
  <si>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</si>
  <si>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</si>
  <si>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</si>
  <si>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</si>
  <si>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</si>
  <si>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</si>
  <si>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</si>
  <si>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</si>
  <si>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</si>
  <si>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</si>
  <si>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</si>
  <si>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</si>
  <si>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</si>
  <si>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</si>
  <si>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</si>
  <si>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</si>
  <si>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</si>
  <si>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</si>
  <si>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</si>
  <si>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</si>
  <si>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</si>
  <si>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</si>
  <si>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</si>
  <si>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</si>
  <si>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</si>
  <si>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</si>
  <si>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</si>
  <si>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</si>
  <si>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</si>
  <si>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</si>
  <si>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</si>
  <si>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</si>
  <si>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</si>
  <si>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</si>
  <si>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</si>
  <si>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</si>
  <si>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</si>
  <si>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</si>
  <si>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</si>
  <si>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</si>
  <si>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</si>
  <si>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</si>
  <si>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</si>
  <si>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</si>
  <si>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</si>
  <si>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</si>
  <si>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</si>
  <si>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</si>
  <si>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</si>
  <si>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</si>
  <si>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</si>
  <si>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</si>
  <si>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</si>
  <si>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</si>
  <si>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</si>
  <si>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</si>
  <si>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</si>
  <si>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</si>
  <si>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</si>
  <si>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</si>
  <si>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</si>
  <si>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</si>
  <si>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</si>
  <si>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</si>
  <si>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</si>
  <si>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</si>
  <si>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</si>
  <si>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</si>
  <si>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</si>
  <si>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</si>
  <si>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</si>
  <si>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</si>
  <si>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</si>
  <si>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</si>
  <si>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</si>
  <si>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</si>
  <si>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</si>
  <si>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</si>
  <si>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</si>
  <si>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</si>
  <si>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</si>
  <si>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</si>
  <si>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</si>
  <si>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</si>
  <si>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</si>
  <si>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</si>
  <si>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</si>
  <si>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</si>
  <si>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</si>
  <si>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</si>
  <si>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</si>
  <si>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</si>
  <si>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</si>
  <si>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</si>
  <si>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</si>
  <si>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</si>
  <si>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</si>
  <si>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</si>
  <si>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</si>
  <si>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</si>
  <si>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</si>
  <si>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</si>
  <si>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</si>
  <si>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</si>
  <si>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</si>
  <si>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</si>
  <si>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</si>
  <si>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</si>
  <si>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</si>
  <si>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</si>
  <si>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</si>
  <si>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</si>
  <si>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</si>
  <si>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</si>
  <si>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</si>
  <si>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</si>
  <si>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</si>
  <si>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</si>
  <si>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</si>
  <si>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</si>
  <si>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</si>
  <si>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</si>
  <si>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</si>
  <si>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</si>
  <si>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</si>
  <si>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</si>
  <si>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</si>
  <si>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</si>
  <si>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</si>
  <si>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</si>
  <si>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</si>
  <si>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</si>
  <si>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</si>
  <si>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</si>
  <si>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</si>
  <si>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</si>
  <si>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</si>
  <si>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</si>
  <si>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</si>
  <si>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</si>
  <si>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</si>
  <si>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</si>
  <si>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</si>
  <si>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</si>
  <si>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</si>
  <si>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</si>
  <si>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</si>
  <si>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</si>
  <si>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</si>
  <si>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</si>
  <si>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</si>
  <si>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</si>
  <si>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</si>
  <si>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</si>
  <si>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</si>
  <si>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</si>
  <si>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</si>
  <si>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</si>
  <si>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</si>
  <si>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</si>
  <si>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</si>
  <si>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</si>
  <si>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</si>
  <si>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</si>
  <si>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</si>
  <si>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</si>
  <si>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</si>
  <si>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</si>
  <si>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</si>
  <si>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</si>
  <si>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</si>
  <si>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</si>
  <si>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</si>
  <si>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</si>
  <si>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</si>
  <si>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</si>
  <si>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</si>
  <si>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</si>
  <si>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</si>
  <si>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</si>
  <si>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</si>
  <si>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</si>
  <si>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</si>
  <si>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</si>
  <si>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</si>
  <si>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</si>
  <si>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</si>
  <si>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</si>
  <si>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</si>
  <si>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</si>
  <si>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</si>
  <si>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</si>
  <si>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</si>
  <si>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</si>
  <si>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</si>
  <si>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</si>
  <si>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</si>
  <si>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</si>
  <si>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</si>
  <si>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</si>
  <si>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</si>
  <si>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</si>
  <si>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</si>
  <si>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</si>
  <si>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</si>
  <si>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</si>
  <si>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</si>
  <si>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</si>
  <si>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</si>
  <si>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</si>
  <si>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</si>
  <si>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</si>
  <si>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</si>
  <si>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</si>
  <si>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</si>
  <si>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</si>
  <si>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</si>
  <si>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</si>
  <si>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</si>
  <si>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</si>
  <si>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</si>
  <si>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</si>
  <si>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</si>
  <si>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</si>
  <si>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</si>
  <si>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</si>
  <si>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</si>
  <si>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</si>
  <si>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</si>
  <si>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</si>
  <si>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</si>
  <si>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</si>
  <si>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</si>
  <si>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</si>
  <si>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</si>
  <si>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</si>
  <si>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</si>
  <si>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</si>
  <si>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</si>
  <si>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</si>
  <si>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</si>
  <si>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</si>
  <si>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</si>
  <si>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</si>
  <si>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</si>
  <si>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</si>
  <si>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</si>
  <si>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</si>
  <si>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</si>
  <si>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</si>
  <si>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</si>
  <si>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</si>
  <si>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</si>
  <si>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</si>
  <si>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</si>
  <si>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</si>
  <si>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</si>
  <si>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</si>
  <si>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</si>
  <si>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</si>
  <si>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</si>
  <si>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</si>
  <si>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</si>
  <si>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</si>
  <si>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</si>
  <si>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</si>
  <si>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</si>
  <si>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</si>
  <si>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</si>
  <si>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</si>
  <si>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</si>
  <si>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</si>
  <si>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</si>
  <si>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</si>
  <si>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</si>
  <si>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</si>
  <si>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</si>
  <si>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</si>
  <si>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</si>
  <si>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</si>
  <si>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</si>
  <si>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</si>
  <si>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</si>
  <si>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</si>
  <si>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</si>
  <si>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</si>
  <si>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</si>
  <si>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</si>
  <si>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</si>
  <si>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</si>
  <si>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</si>
  <si>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</si>
  <si>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</si>
  <si>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</si>
  <si>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</si>
  <si>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</si>
  <si>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</si>
  <si>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</si>
  <si>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</si>
  <si>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</si>
  <si>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</si>
  <si>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</si>
  <si>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</si>
  <si>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</si>
  <si>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</si>
  <si>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</si>
  <si>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</si>
  <si>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</si>
  <si>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</si>
  <si>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</si>
  <si>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</si>
  <si>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</si>
  <si>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</si>
  <si>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</si>
  <si>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</si>
  <si>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</si>
  <si>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</si>
  <si>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</si>
  <si>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</si>
  <si>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</si>
  <si>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</si>
  <si>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</si>
  <si>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</si>
  <si>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</si>
  <si>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</si>
  <si>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</si>
  <si>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</si>
  <si>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</si>
  <si>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</si>
  <si>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</si>
  <si>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</si>
  <si>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</si>
  <si>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</si>
  <si>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</si>
  <si>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</si>
  <si>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</si>
  <si>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</si>
  <si>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</si>
  <si>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</si>
  <si>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</si>
  <si>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</si>
  <si>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</si>
  <si>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</si>
  <si>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</si>
  <si>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</si>
  <si>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</si>
  <si>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</si>
  <si>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</si>
  <si>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</si>
  <si>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</si>
  <si>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</si>
  <si>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</si>
  <si>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</si>
  <si>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</si>
  <si>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</si>
  <si>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</si>
  <si>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</si>
  <si>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</si>
  <si>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</si>
  <si>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</si>
  <si>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</si>
  <si>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</si>
  <si>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</si>
  <si>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</si>
  <si>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</si>
  <si>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</si>
  <si>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</si>
  <si>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</si>
  <si>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</si>
  <si>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</si>
  <si>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</si>
  <si>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</si>
  <si>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</si>
  <si>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</si>
  <si>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</si>
  <si>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</si>
  <si>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</si>
  <si>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</si>
  <si>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</si>
  <si>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</si>
  <si>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</si>
  <si>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</si>
  <si>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</si>
  <si>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</si>
  <si>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</si>
  <si>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</si>
  <si>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</si>
  <si>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</si>
  <si>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</si>
  <si>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</si>
  <si>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</si>
  <si>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</si>
  <si>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</si>
  <si>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</si>
  <si>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</si>
  <si>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</si>
  <si>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</si>
  <si>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</si>
  <si>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</si>
  <si>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</si>
  <si>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</si>
  <si>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</si>
  <si>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</si>
  <si>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</si>
  <si>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</si>
  <si>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</si>
  <si>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</si>
  <si>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</si>
  <si>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</si>
  <si>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</si>
  <si>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</si>
  <si>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</si>
  <si>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</si>
  <si>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</si>
  <si>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</si>
  <si>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</si>
  <si>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</si>
  <si>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</si>
  <si>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</si>
  <si>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</si>
  <si>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</si>
  <si>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</si>
  <si>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 xml:space="preserve">On two plays with stopped time (2 seconds) and fixed quickly </t>
  </si>
  <si>
    <t>KONSTANTINOS KRANIOTIS</t>
  </si>
  <si>
    <t>MONIKA NEDYALKOVA</t>
  </si>
  <si>
    <t>EVGENIA MALLOUCHOU</t>
  </si>
  <si>
    <t>VASILEIOS KARAGKIOULES</t>
  </si>
  <si>
    <t>C:\Users\mario.enjuanes\EUROLEAGUE\EB STATS - General\SEASON 2025-26\Reports\Euroleague</t>
  </si>
  <si>
    <t>C:\Users\mario.enjuanes\EUROLEAGUE\EB STATS - General\SEASON 2025-26\Reports\Euroleague\PDF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</si>
</sst>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76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06_055_HTA_MCO_E2025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45953.878472222219</v>
      </c>
      <c r="C3" s="157"/>
      <c r="D3" s="39">
        <v>548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742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729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REPORT_E2025055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"E2025055"</v>
      </c>
      <c r="F3" s="45" t="str">
        <f t="shared" ref="F3:F16" si="0">""""&amp;B3&amp;"""" &amp; " : " &amp;C3&amp;","</f>
        <v>"name" : "E2025055",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"E055"</v>
      </c>
      <c r="F4" s="45" t="str">
        <f t="shared" si="0"/>
        <v>"cod" : "E055",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055</v>
      </c>
      <c r="F6" s="45" t="str">
        <f t="shared" si="0"/>
        <v>"number" : 055,</v>
      </c>
    </row>
    <row r="7" spans="2:6" x14ac:dyDescent="0.2">
      <c r="B7" s="43" t="s">
        <v>116</v>
      </c>
      <c r="C7" s="43" t="str">
        <f ca="1">""""&amp;TEXT('SCOUT &amp; LOGISTICS'!B3,"dd/mm/aaaa")&amp;""""</f>
        <v>"23/10/Thursday"</v>
      </c>
      <c r="F7" s="45" t="str">
        <f t="shared" ca="1" si="0"/>
        <v>"date" : "23/10/Thursday",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"MONIKA NEDYALKOVA"</v>
      </c>
      <c r="F11" s="45" t="str">
        <f t="shared" si="0"/>
        <v>"Caller_1" : "MONIKA NEDYALKOVA",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"EMMANOUIL SMPOKOS"</v>
      </c>
      <c r="F12" s="45" t="str">
        <f t="shared" si="0"/>
        <v>"Caller_2" : "EMMANOUIL SMPOKOS",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548</v>
      </c>
      <c r="F25" s="45" t="str">
        <f t="shared" ref="F25:F48" si="1">""""&amp;C25&amp;"""" &amp; " : " &amp;D25&amp;","</f>
        <v>"total_actions" : 548,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"On two plays with stopped time (2 seconds) and fixed quickly "</v>
      </c>
      <c r="F51" s="45" t="str">
        <f>""""&amp;B51&amp;"""" &amp; " : " &amp;C51&amp;","</f>
        <v>"comments" : "On two plays with stopped time (2 seconds) and fixed quickly ",</v>
      </c>
    </row>
    <row r="52" spans="2:6" x14ac:dyDescent="0.2">
      <c r="B52" s="43" t="s">
        <v>153</v>
      </c>
      <c r="C52" s="43" t="str">
        <f>TEXT('SCOUT &amp; LOGISTICS'!F1,"0,0")</f>
        <v>06_055_HTA_MCO_E2025</v>
      </c>
      <c r="F52" s="45" t="str">
        <f>""""&amp;B52&amp;"""" &amp; " : " &amp;C52</f>
        <v>"result" : 06_055_HTA_MCO_E2025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E055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23/10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MONIKA NEDYALKOVA</v>
      </c>
      <c r="H8" s="206"/>
      <c r="I8" s="206"/>
      <c r="J8" s="206"/>
      <c r="K8" s="206"/>
      <c r="L8" s="206" t="str">
        <f>IF('SCOUT &amp; LOGISTICS'!D8="","",'SCOUT &amp; LOGISTICS'!D8)</f>
        <v>EMMANOUIL SMPOKOS</v>
      </c>
      <c r="M8" s="206"/>
      <c r="N8" s="206"/>
      <c r="O8" s="206"/>
      <c r="P8" s="206"/>
      <c r="Q8" s="206" t="str">
        <f>IF('SCOUT &amp; LOGISTICS'!D9="","",'SCOUT &amp; LOGISTICS'!D9)</f>
        <v>EVGENIA MALLOUCHOU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548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 xml:space="preserve">On two plays with stopped time (2 seconds) and fixed quickly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0720D9-4BA1-4C71-A7BA-7C46281F64FC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2025-10-23T20:37:22Z</cp:lastPrinted>
  <dcterms:created xsi:type="dcterms:W3CDTF">2023-09-19T19:50:35Z</dcterms:created>
  <dcterms:modified xsi:type="dcterms:W3CDTF">2025-10-23T20:37:26Z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