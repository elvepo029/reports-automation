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59" documentId="8_{114A2FE1-84D6-4A2C-A6EA-0343306ECAF5}" xr6:coauthVersionLast="47" xr6:coauthVersionMax="47" xr10:uidLastSave="{4C460C47-3A02-4EB2-833C-7AE3B7C80613}"/>
  <bookViews>
    <workbookView xWindow="28680" yWindow="-120" windowWidth="23280" windowHeight="1248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<sst xmlns="http://schemas.openxmlformats.org/spreadsheetml/2006/main" count="3271" uniqueCount="764">
  <si>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</si>
  <si>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</si>
  <si>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</si>
  <si>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</si>
  <si>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</si>
  <si>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</si>
  <si>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</si>
  <si>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</si>
  <si>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</si>
  <si>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</si>
  <si>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</si>
  <si>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</si>
  <si>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</si>
  <si>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</si>
  <si>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</si>
  <si>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</si>
  <si>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</si>
  <si>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</si>
  <si>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</si>
  <si>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</si>
  <si>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</si>
  <si>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</si>
  <si>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</si>
  <si>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</si>
  <si>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</si>
  <si>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</si>
  <si>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</si>
  <si>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</si>
  <si>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</si>
  <si>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</si>
  <si>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</si>
  <si>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</si>
  <si>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</si>
  <si>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</si>
  <si>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</si>
  <si>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</si>
  <si>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</si>
  <si>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</si>
  <si>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</si>
  <si>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</si>
  <si>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</si>
  <si>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</si>
  <si>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</si>
  <si>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</si>
  <si>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</si>
  <si>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</si>
  <si>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</si>
  <si>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</si>
  <si>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</si>
  <si>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</si>
  <si>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</si>
  <si>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</si>
  <si>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</si>
  <si>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</si>
  <si>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</si>
  <si>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</si>
  <si>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</si>
  <si>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</si>
  <si>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</si>
  <si>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</si>
  <si>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</si>
  <si>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</si>
  <si>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</si>
  <si>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</si>
  <si>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</si>
  <si>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</si>
  <si>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</si>
  <si>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</si>
  <si>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</si>
  <si>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</si>
  <si>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</si>
  <si>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</si>
  <si>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</si>
  <si>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</si>
  <si>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</si>
  <si>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</si>
  <si>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</si>
  <si>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</si>
  <si>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</si>
  <si>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</si>
  <si>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</si>
  <si>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</si>
  <si>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</si>
  <si>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</si>
  <si>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</si>
  <si>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</si>
  <si>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</si>
  <si>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</si>
  <si>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</si>
  <si>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</si>
  <si>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</si>
  <si>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</si>
  <si>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</si>
  <si>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</si>
  <si>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</si>
  <si>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</si>
  <si>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</si>
  <si>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</si>
  <si>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</si>
  <si>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</si>
  <si>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</si>
  <si>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</si>
  <si>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</si>
  <si>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</si>
  <si>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</si>
  <si>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</si>
  <si>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</si>
  <si>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</si>
  <si>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</si>
  <si>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</si>
  <si>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</si>
  <si>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</si>
  <si>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</si>
  <si>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</si>
  <si>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</si>
  <si>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</si>
  <si>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</si>
  <si>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</si>
  <si>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</si>
  <si>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</si>
  <si>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</si>
  <si>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</si>
  <si>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</si>
  <si>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</si>
  <si>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</si>
  <si>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</si>
  <si>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</si>
  <si>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</si>
  <si>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</si>
  <si>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</si>
  <si>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</si>
  <si>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</si>
  <si>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</si>
  <si>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</si>
  <si>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</si>
  <si>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</si>
  <si>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</si>
  <si>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</si>
  <si>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</si>
  <si>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</si>
  <si>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</si>
  <si>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</si>
  <si>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</si>
  <si>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</si>
  <si>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</si>
  <si>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</si>
  <si>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</si>
  <si>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</si>
  <si>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</si>
  <si>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</si>
  <si>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</si>
  <si>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</si>
  <si>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</si>
  <si>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</si>
  <si>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</si>
  <si>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</si>
  <si>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</si>
  <si>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</si>
  <si>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</si>
  <si>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</si>
  <si>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</si>
  <si>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</si>
  <si>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</si>
  <si>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</si>
  <si>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</si>
  <si>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</si>
  <si>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</si>
  <si>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</si>
  <si>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</si>
  <si>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</si>
  <si>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</si>
  <si>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</si>
  <si>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</si>
  <si>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</si>
  <si>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</si>
  <si>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</si>
  <si>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</si>
  <si>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</si>
  <si>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</si>
  <si>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</si>
  <si>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</si>
  <si>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</si>
  <si>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</si>
  <si>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</si>
  <si>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</si>
  <si>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</si>
  <si>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</si>
  <si>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</si>
  <si>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</si>
  <si>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</si>
  <si>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</si>
  <si>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</si>
  <si>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</si>
  <si>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</si>
  <si>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</si>
  <si>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</si>
  <si>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</si>
  <si>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</si>
  <si>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</si>
  <si>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</si>
  <si>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</si>
  <si>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</si>
  <si>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</si>
  <si>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</si>
  <si>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</si>
  <si>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</si>
  <si>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</si>
  <si>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</si>
  <si>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</si>
  <si>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</si>
  <si>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</si>
  <si>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</si>
  <si>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</si>
  <si>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</si>
  <si>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</si>
  <si>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</si>
  <si>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</si>
  <si>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</si>
  <si>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</si>
  <si>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</si>
  <si>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</si>
  <si>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</si>
  <si>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</si>
  <si>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</si>
  <si>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</si>
  <si>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</si>
  <si>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</si>
  <si>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</si>
  <si>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</si>
  <si>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</si>
  <si>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</si>
  <si>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</si>
  <si>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</si>
  <si>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</si>
  <si>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</si>
  <si>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</si>
  <si>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</si>
  <si>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</si>
  <si>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</si>
  <si>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</si>
  <si>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</si>
  <si>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</si>
  <si>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</si>
  <si>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</si>
  <si>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</si>
  <si>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</si>
  <si>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</si>
  <si>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</si>
  <si>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</si>
  <si>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</si>
  <si>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</si>
  <si>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</si>
  <si>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</si>
  <si>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</si>
  <si>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</si>
  <si>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</si>
  <si>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</si>
  <si>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</si>
  <si>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</si>
  <si>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</si>
  <si>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</si>
  <si>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</si>
  <si>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</si>
  <si>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</si>
  <si>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</si>
  <si>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</si>
  <si>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</si>
  <si>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</si>
  <si>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</si>
  <si>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</si>
  <si>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</si>
  <si>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</si>
  <si>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</si>
  <si>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</si>
  <si>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</si>
  <si>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</si>
  <si>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</si>
  <si>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</si>
  <si>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</si>
  <si>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</si>
  <si>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</si>
  <si>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</si>
  <si>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</si>
  <si>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</si>
  <si>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</si>
  <si>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</si>
  <si>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</si>
  <si>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</si>
  <si>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</si>
  <si>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</si>
  <si>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</si>
  <si>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</si>
  <si>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</si>
  <si>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</si>
  <si>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</si>
  <si>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</si>
  <si>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</si>
  <si>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</si>
  <si>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</si>
  <si>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</si>
  <si>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</si>
  <si>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</si>
  <si>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</si>
  <si>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</si>
  <si>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</si>
  <si>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</si>
  <si>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</si>
  <si>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</si>
  <si>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</si>
  <si>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</si>
  <si>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</si>
  <si>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</si>
  <si>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</si>
  <si>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</si>
  <si>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</si>
  <si>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</si>
  <si>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</si>
  <si>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</si>
  <si>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</si>
  <si>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</si>
  <si>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</si>
  <si>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</si>
  <si>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</si>
  <si>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</si>
  <si>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</si>
  <si>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</si>
  <si>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</si>
  <si>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</si>
  <si>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</si>
  <si>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</si>
  <si>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</si>
  <si>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</si>
  <si>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</si>
  <si>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</si>
  <si>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</si>
  <si>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</si>
  <si>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</si>
  <si>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</si>
  <si>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</si>
  <si>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</si>
  <si>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</si>
  <si>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</si>
  <si>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</si>
  <si>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</si>
  <si>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</si>
  <si>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</si>
  <si>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</si>
  <si>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</si>
  <si>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</si>
  <si>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</si>
  <si>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</si>
  <si>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</si>
  <si>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</si>
  <si>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</si>
  <si>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</si>
  <si>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</si>
  <si>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</si>
  <si>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</si>
  <si>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</si>
  <si>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</si>
  <si>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</si>
  <si>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</si>
  <si>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</si>
  <si>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</si>
  <si>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</si>
  <si>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</si>
  <si>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</si>
  <si>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</si>
  <si>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</si>
  <si>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</si>
  <si>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</si>
  <si>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</si>
  <si>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</si>
  <si>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</si>
  <si>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</si>
  <si>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</si>
  <si>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</si>
  <si>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</si>
  <si>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</si>
  <si>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</si>
  <si>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</si>
  <si>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</si>
  <si>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</si>
  <si>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</si>
  <si>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</si>
  <si>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</si>
  <si>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</si>
  <si>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</si>
  <si>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</si>
  <si>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</si>
  <si>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</si>
  <si>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</si>
  <si>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</si>
  <si>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</si>
  <si>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</si>
  <si>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</si>
  <si>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</si>
  <si>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</si>
  <si>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</si>
  <si>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</si>
  <si>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</si>
  <si>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</si>
  <si>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</si>
  <si>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</si>
  <si>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</si>
  <si>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</si>
  <si>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</si>
  <si>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</si>
  <si>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</si>
  <si>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</si>
  <si>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</si>
  <si>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</si>
  <si>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</si>
  <si>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</si>
  <si>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</si>
  <si>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</si>
  <si>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</si>
  <si>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</si>
  <si>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</si>
  <si>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</si>
  <si>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</si>
  <si>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</si>
  <si>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</si>
  <si>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</si>
  <si>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</si>
  <si>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</si>
  <si>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</si>
  <si>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</si>
  <si>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</si>
  <si>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</si>
  <si>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</si>
  <si>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</si>
  <si>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</si>
  <si>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</si>
  <si>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</si>
  <si>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</si>
  <si>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</si>
  <si>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</si>
  <si>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</si>
  <si>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</si>
  <si>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</si>
  <si>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</si>
  <si>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</si>
  <si>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</si>
  <si>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</si>
  <si>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</si>
  <si>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</si>
  <si>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</si>
  <si>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</si>
  <si>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</si>
  <si>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</si>
  <si>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</si>
  <si>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</si>
  <si>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</si>
  <si>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</si>
  <si>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</si>
  <si>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</si>
  <si>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</si>
  <si>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</si>
  <si>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</si>
  <si>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</si>
  <si>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</si>
  <si>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</si>
  <si>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</si>
  <si>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</si>
  <si>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</si>
  <si>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</si>
  <si>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</si>
  <si>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</si>
  <si>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</si>
  <si>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</si>
  <si>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</si>
  <si>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</si>
  <si>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</si>
  <si>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</si>
  <si>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</si>
  <si>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</si>
  <si>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</si>
  <si>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</si>
  <si>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</si>
  <si>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</si>
  <si>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</si>
  <si>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</si>
  <si>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</si>
  <si>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</si>
  <si>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</si>
  <si>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</si>
  <si>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</si>
  <si>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</si>
  <si>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</si>
  <si>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</si>
  <si>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</si>
  <si>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</si>
  <si>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</si>
  <si>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</si>
  <si>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</si>
  <si>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</si>
  <si>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</si>
  <si>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</si>
  <si>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</si>
  <si>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</si>
  <si>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</si>
  <si>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</si>
  <si>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</si>
  <si>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</si>
  <si>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</si>
  <si>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</si>
  <si>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</si>
  <si>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</si>
  <si>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</si>
  <si>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</si>
  <si>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</si>
  <si>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</si>
  <si>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</si>
  <si>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</si>
  <si>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</si>
  <si>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</si>
  <si>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</si>
  <si>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</si>
  <si>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</si>
  <si>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</si>
  <si>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</si>
  <si>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</si>
  <si>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</si>
  <si>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</si>
  <si>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</si>
  <si>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</si>
  <si>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</si>
  <si>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</si>
  <si>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</si>
  <si>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</si>
  <si>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</si>
  <si>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</si>
  <si>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</si>
  <si>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</si>
  <si>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</si>
  <si>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</si>
  <si>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</si>
  <si>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</si>
  <si>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</si>
  <si>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</si>
  <si>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</si>
  <si>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</si>
  <si>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</si>
  <si>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</si>
  <si>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</si>
  <si>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</si>
  <si>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</si>
  <si>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</si>
  <si>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</si>
  <si>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</si>
  <si>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</si>
  <si>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</si>
  <si>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</si>
  <si>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</si>
  <si>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</si>
  <si>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</si>
  <si>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</si>
  <si>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</si>
  <si>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</si>
  <si>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</si>
  <si>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</si>
  <si>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</si>
  <si>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</si>
  <si>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</si>
  <si>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</si>
  <si>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</si>
  <si>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</si>
  <si>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</si>
  <si>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</si>
  <si>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</si>
  <si>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</si>
  <si>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</si>
  <si>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</si>
  <si>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</si>
  <si>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</si>
  <si>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</si>
  <si>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</si>
  <si>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</si>
  <si>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</si>
  <si>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</si>
  <si>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</si>
  <si>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</si>
  <si>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</si>
  <si>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</si>
  <si>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</si>
  <si>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</si>
  <si>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</si>
  <si>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</si>
  <si>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</si>
  <si>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</si>
  <si>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</si>
  <si>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</si>
  <si>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</si>
  <si>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</si>
  <si>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</si>
  <si>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</si>
  <si>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</si>
  <si>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</si>
  <si>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</si>
  <si>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</si>
  <si>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</si>
  <si>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</si>
  <si>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</si>
  <si>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</si>
  <si>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</si>
  <si>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</si>
  <si>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</si>
  <si>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</si>
  <si>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</si>
  <si>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</si>
  <si>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</si>
  <si>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</si>
  <si>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</si>
  <si>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</si>
  <si>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</si>
  <si>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</si>
  <si>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</si>
  <si>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</si>
  <si>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</si>
  <si>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</si>
  <si>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</si>
  <si>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</si>
  <si>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</si>
  <si>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</si>
  <si>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</si>
  <si>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</si>
  <si>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</si>
  <si>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</si>
  <si>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</si>
  <si>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</si>
  <si>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</si>
  <si>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</si>
  <si>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</si>
  <si>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</si>
  <si>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</si>
  <si>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</si>
  <si>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</si>
  <si>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</si>
  <si>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</si>
  <si>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</si>
  <si>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</si>
  <si>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</si>
  <si>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</si>
  <si>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</si>
  <si>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</si>
  <si>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</si>
  <si>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</si>
  <si>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</si>
  <si>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</si>
  <si>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</si>
  <si>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</si>
  <si>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</si>
  <si>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</si>
  <si>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</si>
  <si>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</si>
  <si>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</si>
  <si>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</si>
  <si>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</si>
  <si>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</si>
  <si>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</si>
  <si>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</si>
  <si>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</si>
  <si>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</si>
  <si>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</si>
  <si>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</si>
  <si>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</si>
  <si>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</si>
  <si>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</si>
  <si>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</si>
  <si>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</si>
  <si>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</si>
  <si>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</si>
  <si>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</si>
  <si>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</si>
  <si>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</si>
  <si>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</si>
  <si>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</si>
  <si>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</si>
  <si>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</si>
  <si>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</si>
  <si>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</si>
  <si>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</si>
  <si>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</si>
  <si>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</si>
  <si>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</si>
  <si>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</si>
  <si>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</si>
  <si>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</si>
  <si>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</si>
  <si>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</si>
  <si>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</si>
  <si>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</si>
  <si>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</si>
  <si>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</si>
  <si>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</si>
  <si>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</si>
  <si>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</si>
  <si>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</si>
  <si>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</si>
  <si>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</si>
  <si>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</si>
  <si>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</si>
  <si>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</si>
  <si>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</si>
  <si>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</si>
  <si>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</si>
  <si>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</si>
  <si>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</si>
  <si>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</si>
  <si>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</si>
  <si>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</si>
  <si>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</si>
  <si>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</si>
  <si>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</si>
  <si>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</si>
  <si>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</si>
  <si>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</si>
  <si>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</si>
  <si>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</si>
  <si>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</si>
  <si>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</si>
  <si>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</si>
  <si>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</si>
  <si>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</si>
  <si>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</si>
  <si>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</si>
  <si>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</si>
  <si>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</si>
  <si>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</si>
  <si>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</si>
  <si>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</si>
  <si>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</si>
  <si>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</si>
  <si>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</si>
  <si>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</si>
  <si>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</si>
  <si>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</si>
  <si>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</si>
  <si>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</si>
  <si>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</si>
  <si>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</si>
  <si>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</si>
  <si>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</si>
  <si>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</si>
  <si>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</si>
  <si>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</si>
  <si>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</si>
  <si>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</si>
  <si>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</si>
  <si>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MARC VENTURA</t>
  </si>
  <si>
    <t>GOOD JOB, ALL BY THE BOOK, EXCELLENT COMMUNICATION AND FILLING THE GAME LIST</t>
  </si>
  <si>
    <t>FLORIAN GLOECKLER</t>
  </si>
  <si>
    <t>ANDREAS PAUL LANGBEIN</t>
  </si>
  <si>
    <t>RALF WAGNER</t>
  </si>
  <si>
    <t>ANTONIO SIERRA LOIS</t>
  </si>
  <si>
    <t>CHRISTIAN GRUPP</t>
  </si>
  <si>
    <t>9:48</t>
  </si>
  <si>
    <t>6:34</t>
  </si>
  <si>
    <t>2:10</t>
  </si>
  <si>
    <t>and the attached Block Against insted Missed 2</t>
  </si>
  <si>
    <t>0:49</t>
  </si>
  <si>
    <t>2:31</t>
  </si>
  <si>
    <t>good job. Little editions or corrections. A couple of actions off the ball (Foul Drawn) difficult to see. Congrats!!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</si>
</sst>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06_056_ULM_LLI_U2025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56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45966.791666666664</v>
      </c>
      <c r="C3" s="178"/>
      <c r="D3" s="39">
        <v>639</v>
      </c>
      <c r="E3" s="29"/>
      <c r="F3" s="26">
        <f>SUBTOTAL(3,I17:I106)</f>
        <v>5</v>
      </c>
      <c r="G3" s="27">
        <f>IF(OR(D3="",D3=0),"",F3/D3)</f>
        <v>7.8247261345852897E-3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ratiopharm Ulm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ULM</v>
      </c>
      <c r="I4" s="5"/>
      <c r="J4" s="119" t="s">
        <v>714</v>
      </c>
      <c r="K4" s="54" t="s">
        <v>743</v>
      </c>
      <c r="L4" s="5"/>
      <c r="M4" s="185" t="s">
        <v>763</v>
      </c>
      <c r="N4" s="186"/>
      <c r="O4" s="2"/>
      <c r="P4" s="2"/>
      <c r="Q4" s="84" t="s">
        <v>175</v>
      </c>
      <c r="R4" s="94">
        <f>(IF(G3="",0,G3))</f>
        <v>7.8247261345852897E-3</v>
      </c>
      <c r="S4" s="61">
        <f>SUM(I13:M13)</f>
        <v>0</v>
      </c>
      <c r="T4" s="78"/>
      <c r="U4" s="61">
        <f>AC18</f>
        <v>1</v>
      </c>
      <c r="V4" s="61">
        <f>+AC22</f>
        <v>2</v>
      </c>
      <c r="W4" s="61">
        <f>AC24</f>
        <v>1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London Lions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LLI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0.78247261345852892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2</v>
      </c>
      <c r="W5" s="70">
        <f t="shared" si="1"/>
        <v>1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6.7824726134585287</v>
      </c>
      <c r="N7" s="58"/>
      <c r="O7" s="2"/>
      <c r="P7" s="2"/>
      <c r="Q7" s="86">
        <f>SUM(R5,S5,AC16)</f>
        <v>6.7824726134585287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754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6.7824726134585287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755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26.2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56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751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56</v>
      </c>
      <c r="D17" s="32" t="s">
        <v>757</v>
      </c>
      <c r="E17" s="33">
        <v>2</v>
      </c>
      <c r="F17" s="36">
        <v>23</v>
      </c>
      <c r="G17" s="36">
        <v>23</v>
      </c>
      <c r="H17" s="38" t="str">
        <f>IF(I17="","",$I$14)</f>
        <v>SCOUTING</v>
      </c>
      <c r="I17" s="34">
        <v>156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56</v>
      </c>
      <c r="D18" s="32" t="s">
        <v>758</v>
      </c>
      <c r="E18" s="33">
        <v>2</v>
      </c>
      <c r="F18" s="36">
        <v>27</v>
      </c>
      <c r="G18" s="36">
        <v>28</v>
      </c>
      <c r="H18" s="38" t="str">
        <f t="shared" ref="H18:H81" si="8">IF(I18="","",$I$14)</f>
        <v>SCOUTING</v>
      </c>
      <c r="I18" s="34">
        <v>199</v>
      </c>
      <c r="J18" s="13" t="s">
        <v>4</v>
      </c>
      <c r="K18" s="13" t="s">
        <v>63</v>
      </c>
      <c r="L18" s="13" t="s">
        <v>47</v>
      </c>
      <c r="M18" s="13" t="s">
        <v>78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56</v>
      </c>
      <c r="D19" s="32" t="s">
        <v>759</v>
      </c>
      <c r="E19" s="33">
        <v>3</v>
      </c>
      <c r="F19" s="36">
        <v>54</v>
      </c>
      <c r="G19" s="36">
        <v>52</v>
      </c>
      <c r="H19" s="38" t="str">
        <f t="shared" si="8"/>
        <v>SCOUTING</v>
      </c>
      <c r="I19" s="34">
        <v>425</v>
      </c>
      <c r="J19" s="13" t="s">
        <v>4</v>
      </c>
      <c r="K19" s="13" t="s">
        <v>63</v>
      </c>
      <c r="L19" s="13" t="s">
        <v>6</v>
      </c>
      <c r="M19" s="13" t="s">
        <v>22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U2025</v>
      </c>
      <c r="C20" s="31">
        <f t="shared" si="3"/>
        <v>56</v>
      </c>
      <c r="D20" s="32" t="s">
        <v>761</v>
      </c>
      <c r="E20" s="33"/>
      <c r="F20" s="36">
        <v>56</v>
      </c>
      <c r="G20" s="36">
        <v>54</v>
      </c>
      <c r="H20" s="38" t="str">
        <f t="shared" si="8"/>
        <v>SCOUTING</v>
      </c>
      <c r="I20" s="34">
        <v>450</v>
      </c>
      <c r="J20" s="13" t="s">
        <v>4</v>
      </c>
      <c r="K20" s="13" t="s">
        <v>62</v>
      </c>
      <c r="L20" s="13" t="s">
        <v>7</v>
      </c>
      <c r="M20" s="13" t="s">
        <v>12</v>
      </c>
      <c r="N20" s="35" t="s">
        <v>760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U2025</v>
      </c>
      <c r="C21" s="31">
        <f t="shared" si="3"/>
        <v>56</v>
      </c>
      <c r="D21" s="32" t="s">
        <v>762</v>
      </c>
      <c r="E21" s="33">
        <v>4</v>
      </c>
      <c r="F21" s="36">
        <v>78</v>
      </c>
      <c r="G21" s="36">
        <v>73</v>
      </c>
      <c r="H21" s="38" t="str">
        <f t="shared" si="8"/>
        <v>SCOUTING</v>
      </c>
      <c r="I21" s="34">
        <v>580</v>
      </c>
      <c r="J21" s="13" t="s">
        <v>4</v>
      </c>
      <c r="K21" s="13" t="s">
        <v>63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1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REPORT_U2025056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"U2025056"</v>
      </c>
      <c r="F3" s="45" t="str">
        <f t="shared" ref="F3:F16" si="0">""""&amp;B3&amp;"""" &amp; " : " &amp;C3&amp;","</f>
        <v>"name" : "U2025056",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"U056"</v>
      </c>
      <c r="F4" s="45" t="str">
        <f t="shared" si="0"/>
        <v>"cod" : "U056",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056</v>
      </c>
      <c r="F6" s="45" t="str">
        <f t="shared" si="0"/>
        <v>"number" : 056,</v>
      </c>
    </row>
    <row r="7" spans="2:6" x14ac:dyDescent="0.2">
      <c r="B7" s="43" t="s">
        <v>116</v>
      </c>
      <c r="C7" s="43" t="str">
        <f ca="1">""""&amp;TEXT('SCOUT &amp; LOGISTICS'!B3,"dd/mm/aaaa")&amp;""""</f>
        <v>"05/11/2025"</v>
      </c>
      <c r="F7" s="45" t="str">
        <f t="shared" ca="1" si="0"/>
        <v>"date" : "05/11/2025",</v>
      </c>
    </row>
    <row r="8" spans="2:6" x14ac:dyDescent="0.2">
      <c r="B8" s="43" t="s">
        <v>125</v>
      </c>
      <c r="C8" s="43" t="str">
        <f>""""&amp;'SCOUT &amp; LOGISTICS'!D4 &amp;""""</f>
        <v>"ratiopharm Ulm"</v>
      </c>
      <c r="F8" s="45" t="str">
        <f t="shared" si="0"/>
        <v>"home_team" : "ratiopharm Ulm",</v>
      </c>
    </row>
    <row r="9" spans="2:6" x14ac:dyDescent="0.2">
      <c r="B9" s="43" t="s">
        <v>126</v>
      </c>
      <c r="C9" s="43" t="str">
        <f>""""&amp;'SCOUT &amp; LOGISTICS'!D5&amp;""""</f>
        <v>"London Lions"</v>
      </c>
      <c r="F9" s="45" t="str">
        <f t="shared" si="0"/>
        <v>"away_team" : "London Lions",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"FLORIAN GLOECKLER"</v>
      </c>
      <c r="F10" s="45" t="str">
        <f t="shared" si="0"/>
        <v>"Data_entry" : "FLORIAN GLOECKLER",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"ANDREAS PAUL LANGBEIN"</v>
      </c>
      <c r="F11" s="45" t="str">
        <f t="shared" si="0"/>
        <v>"Caller_1" : "ANDREAS PAUL LANGBEIN",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"RALF WAGNER"</v>
      </c>
      <c r="F12" s="45" t="str">
        <f t="shared" si="0"/>
        <v>"Caller_2" : "RALF WAGNER",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"ANTONIO SIERRA LOIS"</v>
      </c>
      <c r="F13" s="45" t="str">
        <f t="shared" si="0"/>
        <v>"Timerkeeper" : "ANTONIO SIERRA LOIS",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"CHRISTIAN GRUPP"</v>
      </c>
      <c r="F14" s="45" t="str">
        <f t="shared" si="0"/>
        <v>"Shotclock" : "CHRISTIAN GRUPP",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639</v>
      </c>
      <c r="F25" s="45" t="str">
        <f t="shared" ref="F25:F48" si="1">""""&amp;C25&amp;"""" &amp; " : " &amp;D25&amp;","</f>
        <v>"total_actions" : 639,</v>
      </c>
    </row>
    <row r="26" spans="2:6" x14ac:dyDescent="0.2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">
      <c r="C27" s="43" t="s">
        <v>133</v>
      </c>
      <c r="D27" s="43" t="str">
        <f>""""&amp;IF(OR(D25="",D25=0),"",TEXT(D26/D25,"0,0%"))&amp;""""</f>
        <v>"0,8%"</v>
      </c>
      <c r="F27" s="45" t="str">
        <f t="shared" si="1"/>
        <v>"%_corrections" : "0,8%",</v>
      </c>
    </row>
    <row r="28" spans="2:6" x14ac:dyDescent="0.2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job. Little editions or corrections. A couple of actions off the ball (Foul Drawn) difficult to see. Congrats!!"</v>
      </c>
      <c r="F51" s="45" t="str">
        <f>""""&amp;B51&amp;"""" &amp; " : " &amp;C51&amp;","</f>
        <v>"comments" : "good job. Little editions or corrections. A couple of actions off the ball (Foul Drawn) difficult to see. Congrats!!",</v>
      </c>
    </row>
    <row r="52" spans="2:6" x14ac:dyDescent="0.2">
      <c r="B52" s="43" t="s">
        <v>153</v>
      </c>
      <c r="C52" s="43" t="str">
        <f>TEXT('SCOUT &amp; LOGISTICS'!F1,"0,0")</f>
        <v>06_056_ULM_LLI_U2025</v>
      </c>
      <c r="F52" s="45" t="str">
        <f>""""&amp;B52&amp;"""" &amp; " : " &amp;C52</f>
        <v>"result" : 06_056_ULM_LLI_U2025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U056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05/11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Ratiopharm Ulm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London Lions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FLORIAN GLOECKLER</v>
      </c>
      <c r="C8" s="201"/>
      <c r="D8" s="201"/>
      <c r="E8" s="201"/>
      <c r="F8" s="201"/>
      <c r="G8" s="201" t="str">
        <f>IF('SCOUT &amp; LOGISTICS'!D7="","",'SCOUT &amp; LOGISTICS'!D7)</f>
        <v>ANDREAS PAUL LANGBEIN</v>
      </c>
      <c r="H8" s="201"/>
      <c r="I8" s="201"/>
      <c r="J8" s="201"/>
      <c r="K8" s="201"/>
      <c r="L8" s="201" t="str">
        <f>IF('SCOUT &amp; LOGISTICS'!D8="","",'SCOUT &amp; LOGISTICS'!D8)</f>
        <v>RALF WAGNER</v>
      </c>
      <c r="M8" s="201"/>
      <c r="N8" s="201"/>
      <c r="O8" s="201"/>
      <c r="P8" s="201"/>
      <c r="Q8" s="201" t="str">
        <f>IF('SCOUT &amp; LOGISTICS'!D9="","",'SCOUT &amp; LOGISTICS'!D9)</f>
        <v>ANTONIO SIERRA LOIS</v>
      </c>
      <c r="R8" s="201"/>
      <c r="S8" s="201"/>
      <c r="T8" s="201"/>
      <c r="U8" s="201"/>
      <c r="V8" s="201" t="str">
        <f>IF('SCOUT &amp; LOGISTICS'!D10="","",'SCOUT &amp; LOGISTICS'!D10)</f>
        <v>CHRISTIAN GRUPP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639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5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7.8247261345852897E-3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4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5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1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good job. Little editions or corrections. A couple of actions off the ball (Foul Drawn) difficult to see. Congrats!!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6.7824726134585287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FBD5C6C-DC84-46AA-AF2B-12FA99E13FFA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2025-11-04T14:10:21Z</cp:lastPrinted>
  <dcterms:created xsi:type="dcterms:W3CDTF">2023-09-19T19:50:35Z</dcterms:created>
  <dcterms:modified xsi:type="dcterms:W3CDTF">2025-11-05T20:32:09Z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