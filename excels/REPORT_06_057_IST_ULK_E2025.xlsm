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0" documentId="8_{17EEDA39-C6CB-48E0-8424-D7FF1D7DA7B4}" xr6:coauthVersionLast="47" xr6:coauthVersionMax="47" xr10:uidLastSave="{68C23349-2249-4242-ABB1-D16B98FB1C3F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<sst xmlns="http://schemas.openxmlformats.org/spreadsheetml/2006/main" count="3250" uniqueCount="758">
  <si>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</si>
  <si>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</si>
  <si>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</si>
  <si>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</si>
  <si>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</si>
  <si>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</si>
  <si>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</si>
  <si>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</si>
  <si>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</si>
  <si>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</si>
  <si>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</si>
  <si>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</si>
  <si>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</si>
  <si>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</si>
  <si>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</si>
  <si>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</si>
  <si>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</si>
  <si>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</si>
  <si>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</si>
  <si>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</si>
  <si>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</si>
  <si>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</si>
  <si>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</si>
  <si>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</si>
  <si>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</si>
  <si>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</si>
  <si>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</si>
  <si>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</si>
  <si>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</si>
  <si>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</si>
  <si>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</si>
  <si>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</si>
  <si>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</si>
  <si>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</si>
  <si>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</si>
  <si>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</si>
  <si>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</si>
  <si>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</si>
  <si>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</si>
  <si>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</si>
  <si>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</si>
  <si>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</si>
  <si>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</si>
  <si>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</si>
  <si>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</si>
  <si>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</si>
  <si>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</si>
  <si>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</si>
  <si>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</si>
  <si>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</si>
  <si>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</si>
  <si>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</si>
  <si>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</si>
  <si>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</si>
  <si>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</si>
  <si>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</si>
  <si>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</si>
  <si>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</si>
  <si>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</si>
  <si>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</si>
  <si>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</si>
  <si>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</si>
  <si>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</si>
  <si>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</si>
  <si>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</si>
  <si>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</si>
  <si>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</si>
  <si>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</si>
  <si>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</si>
  <si>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</si>
  <si>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</si>
  <si>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</si>
  <si>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</si>
  <si>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</si>
  <si>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</si>
  <si>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</si>
  <si>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</si>
  <si>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</si>
  <si>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</si>
  <si>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</si>
  <si>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</si>
  <si>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</si>
  <si>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</si>
  <si>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</si>
  <si>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</si>
  <si>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</si>
  <si>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</si>
  <si>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</si>
  <si>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</si>
  <si>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</si>
  <si>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</si>
  <si>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</si>
  <si>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</si>
  <si>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</si>
  <si>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</si>
  <si>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</si>
  <si>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</si>
  <si>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</si>
  <si>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</si>
  <si>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</si>
  <si>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</si>
  <si>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</si>
  <si>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</si>
  <si>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</si>
  <si>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</si>
  <si>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</si>
  <si>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</si>
  <si>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</si>
  <si>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</si>
  <si>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</si>
  <si>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</si>
  <si>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</si>
  <si>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</si>
  <si>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</si>
  <si>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</si>
  <si>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</si>
  <si>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</si>
  <si>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</si>
  <si>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</si>
  <si>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</si>
  <si>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</si>
  <si>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</si>
  <si>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</si>
  <si>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</si>
  <si>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</si>
  <si>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</si>
  <si>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</si>
  <si>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</si>
  <si>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</si>
  <si>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</si>
  <si>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</si>
  <si>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</si>
  <si>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</si>
  <si>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</si>
  <si>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</si>
  <si>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</si>
  <si>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</si>
  <si>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</si>
  <si>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</si>
  <si>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</si>
  <si>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</si>
  <si>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</si>
  <si>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</si>
  <si>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</si>
  <si>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</si>
  <si>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</si>
  <si>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</si>
  <si>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</si>
  <si>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</si>
  <si>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</si>
  <si>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</si>
  <si>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</si>
  <si>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</si>
  <si>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</si>
  <si>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</si>
  <si>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</si>
  <si>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</si>
  <si>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</si>
  <si>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</si>
  <si>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</si>
  <si>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</si>
  <si>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</si>
  <si>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</si>
  <si>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</si>
  <si>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</si>
  <si>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</si>
  <si>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</si>
  <si>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</si>
  <si>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</si>
  <si>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</si>
  <si>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</si>
  <si>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</si>
  <si>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</si>
  <si>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</si>
  <si>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</si>
  <si>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</si>
  <si>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</si>
  <si>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</si>
  <si>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</si>
  <si>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</si>
  <si>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</si>
  <si>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</si>
  <si>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</si>
  <si>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</si>
  <si>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</si>
  <si>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</si>
  <si>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</si>
  <si>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</si>
  <si>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</si>
  <si>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</si>
  <si>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</si>
  <si>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</si>
  <si>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</si>
  <si>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</si>
  <si>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</si>
  <si>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</si>
  <si>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</si>
  <si>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</si>
  <si>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</si>
  <si>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</si>
  <si>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</si>
  <si>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</si>
  <si>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</si>
  <si>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</si>
  <si>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</si>
  <si>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</si>
  <si>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</si>
  <si>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</si>
  <si>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</si>
  <si>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</si>
  <si>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</si>
  <si>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</si>
  <si>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</si>
  <si>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</si>
  <si>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</si>
  <si>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</si>
  <si>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</si>
  <si>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</si>
  <si>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</si>
  <si>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</si>
  <si>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</si>
  <si>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</si>
  <si>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</si>
  <si>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</si>
  <si>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</si>
  <si>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</si>
  <si>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</si>
  <si>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</si>
  <si>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</si>
  <si>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</si>
  <si>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</si>
  <si>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</si>
  <si>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</si>
  <si>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</si>
  <si>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</si>
  <si>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</si>
  <si>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</si>
  <si>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</si>
  <si>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</si>
  <si>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</si>
  <si>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</si>
  <si>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</si>
  <si>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</si>
  <si>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</si>
  <si>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</si>
  <si>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</si>
  <si>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</si>
  <si>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</si>
  <si>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</si>
  <si>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</si>
  <si>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</si>
  <si>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</si>
  <si>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</si>
  <si>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</si>
  <si>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</si>
  <si>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</si>
  <si>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</si>
  <si>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</si>
  <si>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</si>
  <si>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</si>
  <si>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</si>
  <si>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</si>
  <si>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</si>
  <si>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</si>
  <si>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</si>
  <si>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</si>
  <si>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</si>
  <si>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</si>
  <si>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</si>
  <si>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</si>
  <si>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</si>
  <si>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</si>
  <si>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</si>
  <si>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</si>
  <si>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</si>
  <si>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</si>
  <si>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</si>
  <si>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</si>
  <si>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</si>
  <si>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</si>
  <si>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</si>
  <si>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</si>
  <si>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</si>
  <si>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</si>
  <si>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</si>
  <si>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</si>
  <si>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</si>
  <si>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</si>
  <si>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</si>
  <si>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</si>
  <si>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</si>
  <si>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</si>
  <si>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</si>
  <si>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</si>
  <si>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</si>
  <si>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</si>
  <si>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</si>
  <si>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</si>
  <si>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</si>
  <si>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</si>
  <si>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</si>
  <si>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</si>
  <si>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</si>
  <si>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</si>
  <si>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</si>
  <si>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</si>
  <si>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</si>
  <si>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</si>
  <si>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</si>
  <si>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</si>
  <si>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</si>
  <si>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</si>
  <si>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</si>
  <si>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</si>
  <si>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</si>
  <si>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</si>
  <si>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</si>
  <si>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</si>
  <si>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</si>
  <si>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</si>
  <si>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</si>
  <si>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</si>
  <si>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</si>
  <si>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</si>
  <si>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</si>
  <si>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</si>
  <si>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</si>
  <si>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</si>
  <si>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</si>
  <si>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</si>
  <si>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</si>
  <si>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</si>
  <si>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</si>
  <si>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</si>
  <si>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</si>
  <si>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</si>
  <si>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</si>
  <si>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</si>
  <si>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</si>
  <si>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</si>
  <si>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</si>
  <si>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</si>
  <si>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</si>
  <si>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</si>
  <si>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</si>
  <si>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</si>
  <si>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</si>
  <si>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</si>
  <si>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</si>
  <si>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</si>
  <si>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</si>
  <si>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</si>
  <si>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</si>
  <si>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</si>
  <si>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</si>
  <si>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</si>
  <si>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</si>
  <si>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</si>
  <si>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</si>
  <si>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</si>
  <si>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</si>
  <si>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</si>
  <si>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</si>
  <si>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</si>
  <si>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</si>
  <si>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</si>
  <si>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</si>
  <si>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</si>
  <si>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</si>
  <si>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</si>
  <si>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</si>
  <si>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</si>
  <si>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</si>
  <si>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</si>
  <si>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</si>
  <si>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</si>
  <si>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</si>
  <si>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</si>
  <si>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</si>
  <si>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</si>
  <si>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</si>
  <si>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</si>
  <si>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</si>
  <si>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</si>
  <si>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</si>
  <si>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</si>
  <si>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</si>
  <si>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</si>
  <si>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</si>
  <si>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</si>
  <si>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</si>
  <si>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</si>
  <si>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</si>
  <si>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</si>
  <si>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</si>
  <si>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</si>
  <si>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</si>
  <si>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</si>
  <si>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</si>
  <si>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</si>
  <si>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</si>
  <si>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</si>
  <si>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</si>
  <si>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</si>
  <si>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</si>
  <si>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</si>
  <si>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</si>
  <si>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</si>
  <si>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</si>
  <si>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</si>
  <si>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</si>
  <si>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</si>
  <si>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</si>
  <si>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</si>
  <si>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</si>
  <si>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</si>
  <si>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</si>
  <si>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</si>
  <si>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</si>
  <si>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</si>
  <si>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</si>
  <si>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</si>
  <si>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</si>
  <si>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</si>
  <si>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</si>
  <si>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</si>
  <si>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</si>
  <si>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</si>
  <si>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</si>
  <si>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</si>
  <si>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</si>
  <si>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</si>
  <si>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</si>
  <si>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</si>
  <si>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</si>
  <si>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</si>
  <si>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</si>
  <si>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</si>
  <si>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</si>
  <si>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</si>
  <si>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</si>
  <si>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</si>
  <si>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</si>
  <si>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</si>
  <si>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</si>
  <si>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</si>
  <si>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</si>
  <si>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</si>
  <si>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</si>
  <si>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</si>
  <si>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</si>
  <si>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</si>
  <si>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</si>
  <si>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</si>
  <si>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</si>
  <si>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</si>
  <si>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</si>
  <si>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</si>
  <si>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</si>
  <si>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</si>
  <si>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</si>
  <si>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</si>
  <si>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</si>
  <si>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</si>
  <si>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</si>
  <si>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</si>
  <si>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</si>
  <si>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</si>
  <si>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</si>
  <si>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</si>
  <si>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</si>
  <si>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</si>
  <si>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</si>
  <si>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</si>
  <si>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</si>
  <si>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</si>
  <si>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</si>
  <si>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</si>
  <si>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</si>
  <si>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</si>
  <si>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</si>
  <si>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</si>
  <si>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</si>
  <si>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</si>
  <si>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</si>
  <si>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</si>
  <si>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</si>
  <si>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</si>
  <si>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</si>
  <si>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</si>
  <si>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</si>
  <si>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</si>
  <si>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</si>
  <si>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</si>
  <si>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</si>
  <si>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</si>
  <si>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</si>
  <si>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</si>
  <si>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</si>
  <si>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</si>
  <si>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</si>
  <si>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</si>
  <si>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</si>
  <si>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</si>
  <si>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</si>
  <si>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</si>
  <si>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</si>
  <si>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</si>
  <si>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</si>
  <si>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</si>
  <si>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</si>
  <si>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</si>
  <si>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</si>
  <si>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</si>
  <si>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</si>
  <si>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</si>
  <si>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</si>
  <si>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</si>
  <si>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</si>
  <si>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</si>
  <si>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</si>
  <si>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</si>
  <si>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</si>
  <si>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</si>
  <si>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</si>
  <si>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</si>
  <si>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</si>
  <si>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</si>
  <si>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</si>
  <si>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</si>
  <si>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</si>
  <si>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</si>
  <si>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</si>
  <si>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</si>
  <si>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</si>
  <si>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</si>
  <si>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</si>
  <si>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</si>
  <si>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</si>
  <si>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</si>
  <si>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</si>
  <si>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</si>
  <si>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</si>
  <si>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</si>
  <si>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</si>
  <si>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</si>
  <si>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</si>
  <si>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</si>
  <si>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</si>
  <si>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</si>
  <si>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</si>
  <si>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</si>
  <si>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</si>
  <si>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</si>
  <si>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</si>
  <si>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</si>
  <si>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</si>
  <si>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</si>
  <si>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</si>
  <si>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</si>
  <si>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</si>
  <si>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</si>
  <si>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</si>
  <si>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</si>
  <si>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</si>
  <si>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</si>
  <si>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</si>
  <si>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</si>
  <si>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</si>
  <si>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</si>
  <si>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</si>
  <si>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</si>
  <si>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</si>
  <si>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</si>
  <si>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</si>
  <si>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</si>
  <si>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</si>
  <si>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</si>
  <si>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</si>
  <si>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</si>
  <si>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</si>
  <si>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</si>
  <si>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</si>
  <si>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</si>
  <si>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</si>
  <si>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</si>
  <si>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</si>
  <si>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</si>
  <si>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</si>
  <si>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</si>
  <si>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</si>
  <si>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</si>
  <si>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</si>
  <si>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</si>
  <si>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</si>
  <si>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</si>
  <si>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</si>
  <si>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</si>
  <si>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</si>
  <si>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</si>
  <si>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</si>
  <si>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</si>
  <si>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</si>
  <si>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</si>
  <si>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</si>
  <si>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</si>
  <si>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</si>
  <si>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</si>
  <si>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</si>
  <si>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</si>
  <si>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</si>
  <si>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</si>
  <si>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</si>
  <si>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</si>
  <si>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</si>
  <si>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</si>
  <si>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</si>
  <si>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</si>
  <si>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</si>
  <si>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</si>
  <si>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</si>
  <si>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</si>
  <si>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</si>
  <si>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</si>
  <si>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</si>
  <si>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</si>
  <si>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</si>
  <si>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</si>
  <si>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</si>
  <si>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</si>
  <si>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</si>
  <si>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</si>
  <si>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</si>
  <si>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</si>
  <si>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</si>
  <si>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</si>
  <si>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</si>
  <si>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</si>
  <si>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</si>
  <si>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</si>
  <si>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</si>
  <si>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</si>
  <si>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</si>
  <si>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</si>
  <si>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</si>
  <si>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</si>
  <si>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</si>
  <si>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</si>
  <si>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</si>
  <si>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</si>
  <si>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</si>
  <si>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</si>
  <si>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</si>
  <si>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</si>
  <si>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</si>
  <si>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</si>
  <si>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</si>
  <si>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</si>
  <si>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</si>
  <si>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</si>
  <si>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</si>
  <si>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</si>
  <si>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</si>
  <si>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</si>
  <si>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</si>
  <si>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</si>
  <si>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</si>
  <si>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</si>
  <si>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</si>
  <si>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</si>
  <si>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</si>
  <si>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</si>
  <si>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</si>
  <si>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</si>
  <si>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</si>
  <si>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</si>
  <si>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</si>
  <si>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</si>
  <si>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</si>
  <si>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</si>
  <si>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</si>
  <si>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</si>
  <si>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</si>
  <si>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</si>
  <si>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</si>
  <si>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</si>
  <si>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</si>
  <si>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</si>
  <si>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</si>
  <si>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</si>
  <si>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</si>
  <si>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</si>
  <si>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</si>
  <si>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</si>
  <si>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</si>
  <si>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</si>
  <si>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</si>
  <si>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</si>
  <si>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</si>
  <si>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</si>
  <si>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</si>
  <si>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</si>
  <si>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</si>
  <si>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</si>
  <si>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</si>
  <si>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</si>
  <si>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</si>
  <si>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</si>
  <si>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</si>
  <si>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</si>
  <si>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</si>
  <si>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</si>
  <si>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</si>
  <si>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</si>
  <si>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</si>
  <si>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</si>
  <si>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</si>
  <si>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</si>
  <si>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</si>
  <si>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</si>
  <si>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</si>
  <si>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</si>
  <si>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</si>
  <si>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</si>
  <si>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</si>
  <si>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</si>
  <si>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</si>
  <si>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</si>
  <si>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</si>
  <si>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</si>
  <si>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</si>
  <si>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</si>
  <si>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</si>
  <si>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</si>
  <si>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</si>
  <si>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</si>
  <si>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</si>
  <si>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</si>
  <si>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</si>
  <si>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</si>
  <si>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</si>
  <si>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</si>
  <si>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</si>
  <si>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</si>
  <si>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</si>
  <si>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</si>
  <si>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</si>
  <si>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</si>
  <si>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</si>
  <si>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ENDER OZBEK</t>
  </si>
  <si>
    <t>ORHAN YENIHAYAT</t>
  </si>
  <si>
    <t>DINCER ADILLER</t>
  </si>
  <si>
    <t>KEREM SIRMAGIL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</si>
  <si>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</si>
  <si>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</si>
  <si>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</si>
  <si>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7:39</t>
  </si>
  <si>
    <t>Very good job! Keep it up!!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</si>
</sst>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06_057_IST_ULK_E2025</v>
      </c>
      <c r="G1" s="5"/>
      <c r="H1" s="5"/>
      <c r="I1" s="5"/>
      <c r="J1" s="8" t="s">
        <v>707</v>
      </c>
      <c r="K1" s="121" t="s">
        <v>754</v>
      </c>
      <c r="L1" s="121"/>
      <c r="M1" s="122" t="s">
        <v>239</v>
      </c>
      <c r="N1" s="121" t="s">
        <v>755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57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45954.854166666664</v>
      </c>
      <c r="C3" s="157"/>
      <c r="D3" s="39">
        <v>589</v>
      </c>
      <c r="E3" s="29"/>
      <c r="F3" s="26">
        <f>SUBTOTAL(3,I17:I106)</f>
        <v>1</v>
      </c>
      <c r="G3" s="27">
        <f>IF(OR(D3="",D3=0),"",F3/D3)</f>
        <v>1.697792869269949E-3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742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1.697792869269949E-3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0.1697792869269949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749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0.66977928692699495</v>
      </c>
      <c r="N7" s="58"/>
      <c r="O7" s="2"/>
      <c r="P7" s="2"/>
      <c r="Q7" s="86">
        <f>SUM(R5,S5,AC16)</f>
        <v>0.66977928692699495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750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0.66977928692699495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751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57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57</v>
      </c>
      <c r="D17" s="32" t="s">
        <v>756</v>
      </c>
      <c r="E17" s="33">
        <v>3</v>
      </c>
      <c r="F17" s="36">
        <v>48</v>
      </c>
      <c r="G17" s="36">
        <v>49</v>
      </c>
      <c r="H17" s="38" t="str">
        <f>IF(I17="","",$I$14)</f>
        <v>SCOUTING</v>
      </c>
      <c r="I17" s="34">
        <v>341</v>
      </c>
      <c r="J17" s="13" t="s">
        <v>4</v>
      </c>
      <c r="K17" s="13" t="s">
        <v>62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REPORT_E2025057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"E2025057"</v>
      </c>
      <c r="F3" s="45" t="str">
        <f t="shared" ref="F3:F16" si="0">""""&amp;B3&amp;"""" &amp; " : " &amp;C3&amp;","</f>
        <v>"name" : "E2025057",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"E057"</v>
      </c>
      <c r="F4" s="45" t="str">
        <f t="shared" si="0"/>
        <v>"cod" : "E057",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057</v>
      </c>
      <c r="F6" s="45" t="str">
        <f t="shared" si="0"/>
        <v>"number" : 057,</v>
      </c>
    </row>
    <row r="7" spans="2:6" x14ac:dyDescent="0.25">
      <c r="B7" s="43" t="s">
        <v>116</v>
      </c>
      <c r="C7" s="43" t="str">
        <f ca="1">""""&amp;TEXT('SCOUT &amp; LOGISTICS'!B3,"dd/mm/aaaa")&amp;""""</f>
        <v>"24/10/Friday"</v>
      </c>
      <c r="F7" s="45" t="str">
        <f t="shared" ca="1" si="0"/>
        <v>"date" : "24/10/Friday",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"ENDER OZBEK"</v>
      </c>
      <c r="F11" s="45" t="str">
        <f t="shared" si="0"/>
        <v>"Caller_1" : "ENDER OZBEK",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"DINCER ADILLER"</v>
      </c>
      <c r="F13" s="45" t="str">
        <f t="shared" si="0"/>
        <v>"Timerkeeper" : "DINCER ADILLER",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"KEREM SIRMAGIL"</v>
      </c>
      <c r="F14" s="45" t="str">
        <f t="shared" si="0"/>
        <v>"Shotclock" : "KEREM SIRMAGIL",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589</v>
      </c>
      <c r="F25" s="45" t="str">
        <f t="shared" ref="F25:F48" si="1">""""&amp;C25&amp;"""" &amp; " : " &amp;D25&amp;","</f>
        <v>"total_actions" : 589,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up!!"</v>
      </c>
      <c r="F51" s="45" t="str">
        <f>""""&amp;B51&amp;"""" &amp; " : " &amp;C51&amp;","</f>
        <v>"comments" : "Very good job! Keep it up!!",</v>
      </c>
    </row>
    <row r="52" spans="2:6" x14ac:dyDescent="0.25">
      <c r="B52" s="43" t="s">
        <v>153</v>
      </c>
      <c r="C52" s="43" t="str">
        <f>TEXT('SCOUT &amp; LOGISTICS'!F1,"0,0")</f>
        <v>06_057_IST_ULK_E2025</v>
      </c>
      <c r="F52" s="45" t="str">
        <f>""""&amp;B52&amp;"""" &amp; " : " &amp;C52</f>
        <v>"result" : 06_057_IST_ULK_E2025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E057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24/10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ENDER OZBEK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DINCER ADILLER</v>
      </c>
      <c r="R8" s="206"/>
      <c r="S8" s="206"/>
      <c r="T8" s="206"/>
      <c r="U8" s="206"/>
      <c r="V8" s="206" t="str">
        <f>IF('SCOUT &amp; LOGISTICS'!D10="","",'SCOUT &amp; LOGISTICS'!D10)</f>
        <v>KEREM SIRMAGIL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589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1.697792869269949E-3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0.66977928692699495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7D616B6-C21F-4A61-9093-FD20B5948746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2025-10-24T20:12:00Z</cp:lastPrinted>
  <dcterms:created xsi:type="dcterms:W3CDTF">2023-09-19T19:50:35Z</dcterms:created>
  <dcterms:modified xsi:type="dcterms:W3CDTF">2025-10-24T20:12:04Z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