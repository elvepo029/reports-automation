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7" documentId="8_{83511EA8-D869-48C4-9FC6-A3D3F303EF9B}" xr6:coauthVersionLast="47" xr6:coauthVersionMax="47" xr10:uidLastSave="{816A5A12-9807-450F-A156-14F110B9B890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<sst xmlns="http://schemas.openxmlformats.org/spreadsheetml/2006/main" count="3259" uniqueCount="756">
  <si>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</si>
  <si>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</si>
  <si>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</si>
  <si>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</si>
  <si>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</si>
  <si>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</si>
  <si>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</si>
  <si>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</si>
  <si>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</si>
  <si>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</si>
  <si>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</si>
  <si>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</si>
  <si>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</si>
  <si>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</si>
  <si>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</si>
  <si>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</si>
  <si>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</si>
  <si>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</si>
  <si>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</si>
  <si>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</si>
  <si>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</si>
  <si>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</si>
  <si>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</si>
  <si>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</si>
  <si>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</si>
  <si>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</si>
  <si>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</si>
  <si>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</si>
  <si>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</si>
  <si>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</si>
  <si>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</si>
  <si>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</si>
  <si>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</si>
  <si>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</si>
  <si>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</si>
  <si>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</si>
  <si>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</si>
  <si>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</si>
  <si>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</si>
  <si>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</si>
  <si>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</si>
  <si>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</si>
  <si>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</si>
  <si>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</si>
  <si>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</si>
  <si>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</si>
  <si>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</si>
  <si>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</si>
  <si>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</si>
  <si>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</si>
  <si>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</si>
  <si>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</si>
  <si>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</si>
  <si>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</si>
  <si>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</si>
  <si>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</si>
  <si>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</si>
  <si>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</si>
  <si>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</si>
  <si>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</si>
  <si>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</si>
  <si>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</si>
  <si>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</si>
  <si>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</si>
  <si>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</si>
  <si>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</si>
  <si>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</si>
  <si>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</si>
  <si>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</si>
  <si>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</si>
  <si>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</si>
  <si>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</si>
  <si>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</si>
  <si>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</si>
  <si>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</si>
  <si>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</si>
  <si>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</si>
  <si>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</si>
  <si>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</si>
  <si>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</si>
  <si>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</si>
  <si>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</si>
  <si>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</si>
  <si>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</si>
  <si>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</si>
  <si>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</si>
  <si>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</si>
  <si>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</si>
  <si>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</si>
  <si>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</si>
  <si>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</si>
  <si>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</si>
  <si>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</si>
  <si>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</si>
  <si>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</si>
  <si>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</si>
  <si>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</si>
  <si>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</si>
  <si>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</si>
  <si>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</si>
  <si>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</si>
  <si>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</si>
  <si>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</si>
  <si>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</si>
  <si>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</si>
  <si>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</si>
  <si>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</si>
  <si>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</si>
  <si>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</si>
  <si>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</si>
  <si>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</si>
  <si>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</si>
  <si>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</si>
  <si>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</si>
  <si>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</si>
  <si>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</si>
  <si>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</si>
  <si>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</si>
  <si>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</si>
  <si>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</si>
  <si>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</si>
  <si>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</si>
  <si>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</si>
  <si>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</si>
  <si>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</si>
  <si>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</si>
  <si>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</si>
  <si>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</si>
  <si>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</si>
  <si>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</si>
  <si>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</si>
  <si>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</si>
  <si>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</si>
  <si>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</si>
  <si>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</si>
  <si>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</si>
  <si>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</si>
  <si>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</si>
  <si>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</si>
  <si>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</si>
  <si>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</si>
  <si>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</si>
  <si>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</si>
  <si>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</si>
  <si>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</si>
  <si>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</si>
  <si>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</si>
  <si>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</si>
  <si>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</si>
  <si>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</si>
  <si>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</si>
  <si>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</si>
  <si>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</si>
  <si>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</si>
  <si>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</si>
  <si>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</si>
  <si>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</si>
  <si>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</si>
  <si>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</si>
  <si>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</si>
  <si>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</si>
  <si>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</si>
  <si>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</si>
  <si>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</si>
  <si>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</si>
  <si>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</si>
  <si>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</si>
  <si>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</si>
  <si>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</si>
  <si>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</si>
  <si>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</si>
  <si>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</si>
  <si>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</si>
  <si>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</si>
  <si>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</si>
  <si>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</si>
  <si>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</si>
  <si>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</si>
  <si>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</si>
  <si>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</si>
  <si>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</si>
  <si>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</si>
  <si>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</si>
  <si>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</si>
  <si>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</si>
  <si>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</si>
  <si>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</si>
  <si>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</si>
  <si>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</si>
  <si>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</si>
  <si>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</si>
  <si>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</si>
  <si>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</si>
  <si>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</si>
  <si>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</si>
  <si>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</si>
  <si>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</si>
  <si>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</si>
  <si>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</si>
  <si>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</si>
  <si>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</si>
  <si>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</si>
  <si>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</si>
  <si>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</si>
  <si>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</si>
  <si>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</si>
  <si>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</si>
  <si>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</si>
  <si>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</si>
  <si>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</si>
  <si>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</si>
  <si>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</si>
  <si>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</si>
  <si>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</si>
  <si>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</si>
  <si>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</si>
  <si>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</si>
  <si>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</si>
  <si>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</si>
  <si>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</si>
  <si>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</si>
  <si>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</si>
  <si>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</si>
  <si>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</si>
  <si>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</si>
  <si>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</si>
  <si>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</si>
  <si>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</si>
  <si>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</si>
  <si>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</si>
  <si>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</si>
  <si>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</si>
  <si>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</si>
  <si>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</si>
  <si>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</si>
  <si>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</si>
  <si>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</si>
  <si>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</si>
  <si>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</si>
  <si>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</si>
  <si>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</si>
  <si>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</si>
  <si>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</si>
  <si>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</si>
  <si>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</si>
  <si>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</si>
  <si>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</si>
  <si>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</si>
  <si>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</si>
  <si>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</si>
  <si>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</si>
  <si>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</si>
  <si>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</si>
  <si>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</si>
  <si>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</si>
  <si>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</si>
  <si>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</si>
  <si>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</si>
  <si>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</si>
  <si>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</si>
  <si>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</si>
  <si>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</si>
  <si>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</si>
  <si>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</si>
  <si>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</si>
  <si>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</si>
  <si>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</si>
  <si>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</si>
  <si>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</si>
  <si>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</si>
  <si>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</si>
  <si>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</si>
  <si>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</si>
  <si>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</si>
  <si>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</si>
  <si>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</si>
  <si>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</si>
  <si>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</si>
  <si>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</si>
  <si>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</si>
  <si>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</si>
  <si>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</si>
  <si>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</si>
  <si>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</si>
  <si>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</si>
  <si>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</si>
  <si>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</si>
  <si>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</si>
  <si>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</si>
  <si>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</si>
  <si>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</si>
  <si>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</si>
  <si>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</si>
  <si>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</si>
  <si>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</si>
  <si>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</si>
  <si>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</si>
  <si>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</si>
  <si>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</si>
  <si>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</si>
  <si>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</si>
  <si>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</si>
  <si>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</si>
  <si>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</si>
  <si>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</si>
  <si>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</si>
  <si>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</si>
  <si>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</si>
  <si>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</si>
  <si>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</si>
  <si>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</si>
  <si>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</si>
  <si>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</si>
  <si>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</si>
  <si>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</si>
  <si>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</si>
  <si>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</si>
  <si>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</si>
  <si>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</si>
  <si>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</si>
  <si>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</si>
  <si>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</si>
  <si>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</si>
  <si>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</si>
  <si>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</si>
  <si>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</si>
  <si>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</si>
  <si>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</si>
  <si>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</si>
  <si>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</si>
  <si>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</si>
  <si>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</si>
  <si>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</si>
  <si>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</si>
  <si>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</si>
  <si>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</si>
  <si>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</si>
  <si>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</si>
  <si>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</si>
  <si>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</si>
  <si>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</si>
  <si>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</si>
  <si>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</si>
  <si>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</si>
  <si>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</si>
  <si>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</si>
  <si>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</si>
  <si>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</si>
  <si>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</si>
  <si>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</si>
  <si>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</si>
  <si>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</si>
  <si>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</si>
  <si>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</si>
  <si>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</si>
  <si>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</si>
  <si>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</si>
  <si>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</si>
  <si>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</si>
  <si>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</si>
  <si>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</si>
  <si>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</si>
  <si>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</si>
  <si>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</si>
  <si>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</si>
  <si>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</si>
  <si>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</si>
  <si>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</si>
  <si>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</si>
  <si>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</si>
  <si>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</si>
  <si>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</si>
  <si>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</si>
  <si>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</si>
  <si>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</si>
  <si>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</si>
  <si>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</si>
  <si>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</si>
  <si>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</si>
  <si>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</si>
  <si>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</si>
  <si>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</si>
  <si>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</si>
  <si>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</si>
  <si>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</si>
  <si>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</si>
  <si>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</si>
  <si>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</si>
  <si>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</si>
  <si>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</si>
  <si>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</si>
  <si>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</si>
  <si>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</si>
  <si>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</si>
  <si>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</si>
  <si>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</si>
  <si>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</si>
  <si>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</si>
  <si>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</si>
  <si>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</si>
  <si>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</si>
  <si>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</si>
  <si>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</si>
  <si>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</si>
  <si>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</si>
  <si>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</si>
  <si>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</si>
  <si>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</si>
  <si>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</si>
  <si>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</si>
  <si>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</si>
  <si>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</si>
  <si>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</si>
  <si>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</si>
  <si>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</si>
  <si>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</si>
  <si>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</si>
  <si>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</si>
  <si>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</si>
  <si>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</si>
  <si>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</si>
  <si>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</si>
  <si>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</si>
  <si>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</si>
  <si>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</si>
  <si>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</si>
  <si>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</si>
  <si>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</si>
  <si>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</si>
  <si>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</si>
  <si>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</si>
  <si>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</si>
  <si>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</si>
  <si>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</si>
  <si>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</si>
  <si>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</si>
  <si>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</si>
  <si>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</si>
  <si>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</si>
  <si>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</si>
  <si>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</si>
  <si>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</si>
  <si>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</si>
  <si>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</si>
  <si>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</si>
  <si>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</si>
  <si>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</si>
  <si>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</si>
  <si>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</si>
  <si>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</si>
  <si>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</si>
  <si>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</si>
  <si>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</si>
  <si>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</si>
  <si>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</si>
  <si>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</si>
  <si>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</si>
  <si>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</si>
  <si>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</si>
  <si>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</si>
  <si>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</si>
  <si>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</si>
  <si>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</si>
  <si>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</si>
  <si>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</si>
  <si>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</si>
  <si>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</si>
  <si>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</si>
  <si>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</si>
  <si>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</si>
  <si>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</si>
  <si>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</si>
  <si>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</si>
  <si>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</si>
  <si>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</si>
  <si>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</si>
  <si>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</si>
  <si>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</si>
  <si>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</si>
  <si>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</si>
  <si>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</si>
  <si>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</si>
  <si>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</si>
  <si>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</si>
  <si>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</si>
  <si>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</si>
  <si>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</si>
  <si>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</si>
  <si>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</si>
  <si>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</si>
  <si>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</si>
  <si>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</si>
  <si>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</si>
  <si>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</si>
  <si>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</si>
  <si>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</si>
  <si>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</si>
  <si>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</si>
  <si>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</si>
  <si>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</si>
  <si>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</si>
  <si>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</si>
  <si>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</si>
  <si>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</si>
  <si>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</si>
  <si>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</si>
  <si>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</si>
  <si>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</si>
  <si>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</si>
  <si>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</si>
  <si>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</si>
  <si>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</si>
  <si>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</si>
  <si>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</si>
  <si>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</si>
  <si>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</si>
  <si>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</si>
  <si>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</si>
  <si>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</si>
  <si>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</si>
  <si>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</si>
  <si>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</si>
  <si>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</si>
  <si>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</si>
  <si>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</si>
  <si>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</si>
  <si>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</si>
  <si>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</si>
  <si>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</si>
  <si>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</si>
  <si>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</si>
  <si>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</si>
  <si>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</si>
  <si>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</si>
  <si>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</si>
  <si>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</si>
  <si>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</si>
  <si>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</si>
  <si>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</si>
  <si>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</si>
  <si>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</si>
  <si>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</si>
  <si>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</si>
  <si>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</si>
  <si>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</si>
  <si>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</si>
  <si>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</si>
  <si>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</si>
  <si>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</si>
  <si>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</si>
  <si>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</si>
  <si>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</si>
  <si>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</si>
  <si>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</si>
  <si>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</si>
  <si>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</si>
  <si>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</si>
  <si>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</si>
  <si>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</si>
  <si>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</si>
  <si>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</si>
  <si>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</si>
  <si>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</si>
  <si>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</si>
  <si>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</si>
  <si>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</si>
  <si>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</si>
  <si>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</si>
  <si>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</si>
  <si>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</si>
  <si>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</si>
  <si>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</si>
  <si>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</si>
  <si>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</si>
  <si>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</si>
  <si>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</si>
  <si>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</si>
  <si>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</si>
  <si>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</si>
  <si>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</si>
  <si>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</si>
  <si>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</si>
  <si>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</si>
  <si>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</si>
  <si>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</si>
  <si>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</si>
  <si>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</si>
  <si>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</si>
  <si>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</si>
  <si>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</si>
  <si>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</si>
  <si>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</si>
  <si>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</si>
  <si>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</si>
  <si>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</si>
  <si>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</si>
  <si>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</si>
  <si>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</si>
  <si>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</si>
  <si>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</si>
  <si>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</si>
  <si>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</si>
  <si>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</si>
  <si>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</si>
  <si>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</si>
  <si>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</si>
  <si>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</si>
  <si>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</si>
  <si>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</si>
  <si>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</si>
  <si>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</si>
  <si>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</si>
  <si>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</si>
  <si>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</si>
  <si>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</si>
  <si>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</si>
  <si>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</si>
  <si>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</si>
  <si>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</si>
  <si>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</si>
  <si>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</si>
  <si>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</si>
  <si>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</si>
  <si>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</si>
  <si>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</si>
  <si>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</si>
  <si>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</si>
  <si>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</si>
  <si>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</si>
  <si>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</si>
  <si>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</si>
  <si>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</si>
  <si>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</si>
  <si>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</si>
  <si>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</si>
  <si>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</si>
  <si>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</si>
  <si>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</si>
  <si>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</si>
  <si>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</si>
  <si>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</si>
  <si>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</si>
  <si>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</si>
  <si>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</si>
  <si>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</si>
  <si>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</si>
  <si>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</si>
  <si>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</si>
  <si>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</si>
  <si>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</si>
  <si>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</si>
  <si>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</si>
  <si>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</si>
  <si>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</si>
  <si>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</si>
  <si>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</si>
  <si>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</si>
  <si>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</si>
  <si>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</si>
  <si>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</si>
  <si>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</si>
  <si>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</si>
  <si>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</si>
  <si>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</si>
  <si>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</si>
  <si>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</si>
  <si>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</si>
  <si>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</si>
  <si>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</si>
  <si>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</si>
  <si>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</si>
  <si>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</si>
  <si>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</si>
  <si>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</si>
  <si>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</si>
  <si>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</si>
  <si>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</si>
  <si>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</si>
  <si>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</si>
  <si>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</si>
  <si>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</si>
  <si>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</si>
  <si>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</si>
  <si>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</si>
  <si>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</si>
  <si>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</si>
  <si>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</si>
  <si>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</si>
  <si>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</si>
  <si>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</si>
  <si>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</si>
  <si>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</si>
  <si>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</si>
  <si>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</si>
  <si>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</si>
  <si>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</si>
  <si>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</si>
  <si>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</si>
  <si>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</si>
  <si>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</si>
  <si>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</si>
  <si>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</si>
  <si>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</si>
  <si>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</si>
  <si>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</si>
  <si>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</si>
  <si>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</si>
  <si>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</si>
  <si>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</si>
  <si>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</si>
  <si>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</si>
  <si>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</si>
  <si>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</si>
  <si>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</si>
  <si>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</si>
  <si>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</si>
  <si>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</si>
  <si>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</si>
  <si>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</si>
  <si>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</si>
  <si>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</si>
  <si>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</si>
  <si>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</si>
  <si>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</si>
  <si>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</si>
  <si>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</si>
  <si>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</si>
  <si>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</si>
  <si>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</si>
  <si>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</si>
  <si>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</si>
  <si>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</si>
  <si>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</si>
  <si>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</si>
  <si>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</si>
  <si>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</si>
  <si>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</si>
  <si>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</si>
  <si>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</si>
  <si>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</si>
  <si>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</si>
  <si>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</si>
  <si>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</si>
  <si>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</si>
  <si>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</si>
  <si>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</si>
  <si>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</si>
  <si>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</si>
  <si>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</si>
  <si>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</si>
  <si>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</si>
  <si>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</si>
  <si>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6:43</t>
  </si>
  <si>
    <t>2:12</t>
  </si>
  <si>
    <t>0:13</t>
  </si>
  <si>
    <t>Very good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</si>
</sst>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06_058_BUD_BES_U2025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58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45965.791666666664</v>
      </c>
      <c r="C3" s="178"/>
      <c r="D3" s="39">
        <v>567</v>
      </c>
      <c r="E3" s="29"/>
      <c r="F3" s="26">
        <f>SUBTOTAL(3,I17:I106)</f>
        <v>3</v>
      </c>
      <c r="G3" s="27">
        <f>IF(OR(D3="",D3=0),"",F3/D3)</f>
        <v>5.2910052910052907E-3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Buducnost VOLI Podgorica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BUD</v>
      </c>
      <c r="I4" s="5"/>
      <c r="J4" s="119" t="s">
        <v>714</v>
      </c>
      <c r="K4" s="54" t="s">
        <v>742</v>
      </c>
      <c r="L4" s="5"/>
      <c r="M4" s="185" t="s">
        <v>755</v>
      </c>
      <c r="N4" s="186"/>
      <c r="O4" s="2"/>
      <c r="P4" s="2"/>
      <c r="Q4" s="84" t="s">
        <v>175</v>
      </c>
      <c r="R4" s="94">
        <f>(IF(G3="",0,G3))</f>
        <v>5.2910052910052907E-3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Besiktas GAIN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BES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0.52910052910052907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718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3.5291005291005293</v>
      </c>
      <c r="N7" s="58"/>
      <c r="O7" s="2"/>
      <c r="P7" s="2"/>
      <c r="Q7" s="86">
        <f>SUM(R5,S5,AC16)</f>
        <v>3.5291005291005293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719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3.5291005291005293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720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721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58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58</v>
      </c>
      <c r="D17" s="32" t="s">
        <v>752</v>
      </c>
      <c r="E17" s="33">
        <v>2</v>
      </c>
      <c r="F17" s="36">
        <v>26</v>
      </c>
      <c r="G17" s="36">
        <v>34</v>
      </c>
      <c r="H17" s="38" t="str">
        <f>IF(I17="","",$I$14)</f>
        <v>SCOUTING</v>
      </c>
      <c r="I17" s="34">
        <v>177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58</v>
      </c>
      <c r="D18" s="32" t="s">
        <v>753</v>
      </c>
      <c r="E18" s="33">
        <v>2</v>
      </c>
      <c r="F18" s="36">
        <v>38</v>
      </c>
      <c r="G18" s="36">
        <v>38</v>
      </c>
      <c r="H18" s="38" t="str">
        <f t="shared" ref="H18:H81" si="8">IF(I18="","",$I$14)</f>
        <v>SCOUTING</v>
      </c>
      <c r="I18" s="34">
        <v>235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58</v>
      </c>
      <c r="D19" s="32" t="s">
        <v>754</v>
      </c>
      <c r="E19" s="33">
        <v>4</v>
      </c>
      <c r="F19" s="36">
        <v>82</v>
      </c>
      <c r="G19" s="36">
        <v>79</v>
      </c>
      <c r="H19" s="38" t="str">
        <f t="shared" si="8"/>
        <v>SCOUTING</v>
      </c>
      <c r="I19" s="34">
        <v>565</v>
      </c>
      <c r="J19" s="13" t="s">
        <v>4</v>
      </c>
      <c r="K19" s="13" t="s">
        <v>62</v>
      </c>
      <c r="L19" s="13" t="s">
        <v>48</v>
      </c>
      <c r="M19" s="13" t="s">
        <v>25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1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REPORT_U2025058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"U2025058"</v>
      </c>
      <c r="F3" s="45" t="str">
        <f t="shared" ref="F3:F16" si="0">""""&amp;B3&amp;"""" &amp; " : " &amp;C3&amp;","</f>
        <v>"name" : "U2025058",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"U058"</v>
      </c>
      <c r="F4" s="45" t="str">
        <f t="shared" si="0"/>
        <v>"cod" : "U058",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058</v>
      </c>
      <c r="F6" s="45" t="str">
        <f t="shared" si="0"/>
        <v>"number" : 058,</v>
      </c>
    </row>
    <row r="7" spans="2:6" x14ac:dyDescent="0.25">
      <c r="B7" s="43" t="s">
        <v>116</v>
      </c>
      <c r="C7" s="43" t="str">
        <f ca="1">""""&amp;TEXT('SCOUT &amp; LOGISTICS'!B3,"dd/mm/aaaa")&amp;""""</f>
        <v>"04/11/Tuesday"</v>
      </c>
      <c r="F7" s="45" t="str">
        <f t="shared" ca="1" si="0"/>
        <v>"date" : "04/11/Tuesday",</v>
      </c>
    </row>
    <row r="8" spans="2:6" x14ac:dyDescent="0.25">
      <c r="B8" s="43" t="s">
        <v>125</v>
      </c>
      <c r="C8" s="43" t="str">
        <f>""""&amp;'SCOUT &amp; LOGISTICS'!D4 &amp;""""</f>
        <v>"Buducnost VOLI Podgorica"</v>
      </c>
      <c r="F8" s="45" t="str">
        <f t="shared" si="0"/>
        <v>"home_team" : "Buducnost VOLI Podgorica",</v>
      </c>
    </row>
    <row r="9" spans="2:6" x14ac:dyDescent="0.25">
      <c r="B9" s="43" t="s">
        <v>126</v>
      </c>
      <c r="C9" s="43" t="str">
        <f>""""&amp;'SCOUT &amp; LOGISTICS'!D5&amp;""""</f>
        <v>"Besiktas GAIN Istanbul"</v>
      </c>
      <c r="F9" s="45" t="str">
        <f t="shared" si="0"/>
        <v>"away_team" : "Besiktas GAIN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"SINISA SEKULIC"</v>
      </c>
      <c r="F10" s="45" t="str">
        <f t="shared" si="0"/>
        <v>"Data_entry" : "SINISA SEKULIC",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"PETAR VUJACIC"</v>
      </c>
      <c r="F11" s="45" t="str">
        <f t="shared" si="0"/>
        <v>"Caller_1" : "PETAR VUJACIC",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"LAZAR VUJICIC"</v>
      </c>
      <c r="F12" s="45" t="str">
        <f t="shared" si="0"/>
        <v>"Caller_2" : "LAZAR VUJICIC",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"LAZAR KNEZEVIC"</v>
      </c>
      <c r="F13" s="45" t="str">
        <f t="shared" si="0"/>
        <v>"Timerkeeper" : "LAZAR KNEZEVIC",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567</v>
      </c>
      <c r="F25" s="45" t="str">
        <f t="shared" ref="F25:F48" si="1">""""&amp;C25&amp;"""" &amp; " : " &amp;D25&amp;","</f>
        <v>"total_actions" : 567,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game. Keep it up!"</v>
      </c>
      <c r="F51" s="45" t="str">
        <f>""""&amp;B51&amp;"""" &amp; " : " &amp;C51&amp;","</f>
        <v>"comments" : "Very good game. Keep it up!",</v>
      </c>
    </row>
    <row r="52" spans="2:6" x14ac:dyDescent="0.25">
      <c r="B52" s="43" t="s">
        <v>153</v>
      </c>
      <c r="C52" s="43" t="str">
        <f>TEXT('SCOUT &amp; LOGISTICS'!F1,"0,0")</f>
        <v>06_058_BUD_BES_U2025</v>
      </c>
      <c r="F52" s="45" t="str">
        <f>""""&amp;B52&amp;"""" &amp; " : " &amp;C52</f>
        <v>"result" : 06_058_BUD_BES_U2025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U058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04/11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Buducnost Voli Podgorica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Besiktas Gain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SINISA SEKULIC</v>
      </c>
      <c r="C8" s="201"/>
      <c r="D8" s="201"/>
      <c r="E8" s="201"/>
      <c r="F8" s="201"/>
      <c r="G8" s="201" t="str">
        <f>IF('SCOUT &amp; LOGISTICS'!D7="","",'SCOUT &amp; LOGISTICS'!D7)</f>
        <v>PETAR VUJACIC</v>
      </c>
      <c r="H8" s="201"/>
      <c r="I8" s="201"/>
      <c r="J8" s="201"/>
      <c r="K8" s="201"/>
      <c r="L8" s="201" t="str">
        <f>IF('SCOUT &amp; LOGISTICS'!D8="","",'SCOUT &amp; LOGISTICS'!D8)</f>
        <v>LAZAR VUJICIC</v>
      </c>
      <c r="M8" s="201"/>
      <c r="N8" s="201"/>
      <c r="O8" s="201"/>
      <c r="P8" s="201"/>
      <c r="Q8" s="201" t="str">
        <f>IF('SCOUT &amp; LOGISTICS'!D9="","",'SCOUT &amp; LOGISTICS'!D9)</f>
        <v>LAZAR KNEZEVIC</v>
      </c>
      <c r="R8" s="201"/>
      <c r="S8" s="201"/>
      <c r="T8" s="201"/>
      <c r="U8" s="201"/>
      <c r="V8" s="201" t="str">
        <f>IF('SCOUT &amp; LOGISTICS'!D10="","",'SCOUT &amp; LOGISTICS'!D10)</f>
        <v>KAROLINA RADINOVIC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567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5.2910052910052907E-3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game.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3.5291005291005293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2D23257-F705-4990-BB7F-71928C9DA6D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2025-11-04T21:01:10Z</cp:lastPrinted>
  <dcterms:created xsi:type="dcterms:W3CDTF">2023-09-19T19:50:35Z</dcterms:created>
  <dcterms:modified xsi:type="dcterms:W3CDTF">2025-11-04T21:01:13Z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