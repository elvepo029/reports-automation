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0" documentId="8_{17900B7F-E86A-4287-9E20-293B59A5CC5A}" xr6:coauthVersionLast="47" xr6:coauthVersionMax="47" xr10:uidLastSave="{93431EDB-05A2-4A66-9D0F-82F0D2A5EBF4}"/>
  <bookViews>
    <workbookView xWindow="-4980" yWindow="-14370" windowWidth="26490" windowHeight="126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<sst xmlns="http://schemas.openxmlformats.org/spreadsheetml/2006/main" count="3250" uniqueCount="759">
  <si>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</si>
  <si>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</si>
  <si>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</si>
  <si>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</si>
  <si>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</si>
  <si>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</si>
  <si>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</si>
  <si>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</si>
  <si>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</si>
  <si>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</si>
  <si>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</si>
  <si>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</si>
  <si>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</si>
  <si>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</si>
  <si>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</si>
  <si>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</si>
  <si>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</si>
  <si>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</si>
  <si>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</si>
  <si>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</si>
  <si>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</si>
  <si>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</si>
  <si>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</si>
  <si>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</si>
  <si>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</si>
  <si>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</si>
  <si>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</si>
  <si>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</si>
  <si>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</si>
  <si>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</si>
  <si>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</si>
  <si>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</si>
  <si>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</si>
  <si>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</si>
  <si>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</si>
  <si>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</si>
  <si>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</si>
  <si>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</si>
  <si>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</si>
  <si>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</si>
  <si>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</si>
  <si>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</si>
  <si>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</si>
  <si>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</si>
  <si>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</si>
  <si>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</si>
  <si>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</si>
  <si>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</si>
  <si>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</si>
  <si>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</si>
  <si>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</si>
  <si>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</si>
  <si>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</si>
  <si>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</si>
  <si>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</si>
  <si>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</si>
  <si>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</si>
  <si>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</si>
  <si>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</si>
  <si>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</si>
  <si>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</si>
  <si>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</si>
  <si>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</si>
  <si>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</si>
  <si>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</si>
  <si>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</si>
  <si>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</si>
  <si>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</si>
  <si>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</si>
  <si>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</si>
  <si>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</si>
  <si>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</si>
  <si>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</si>
  <si>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</si>
  <si>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</si>
  <si>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</si>
  <si>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</si>
  <si>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</si>
  <si>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</si>
  <si>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</si>
  <si>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</si>
  <si>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</si>
  <si>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</si>
  <si>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</si>
  <si>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</si>
  <si>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</si>
  <si>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</si>
  <si>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</si>
  <si>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</si>
  <si>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</si>
  <si>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</si>
  <si>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</si>
  <si>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</si>
  <si>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</si>
  <si>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</si>
  <si>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</si>
  <si>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</si>
  <si>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</si>
  <si>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</si>
  <si>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</si>
  <si>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</si>
  <si>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</si>
  <si>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</si>
  <si>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</si>
  <si>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</si>
  <si>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</si>
  <si>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</si>
  <si>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</si>
  <si>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</si>
  <si>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</si>
  <si>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</si>
  <si>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</si>
  <si>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</si>
  <si>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</si>
  <si>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</si>
  <si>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</si>
  <si>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</si>
  <si>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</si>
  <si>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</si>
  <si>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</si>
  <si>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</si>
  <si>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</si>
  <si>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</si>
  <si>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</si>
  <si>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</si>
  <si>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</si>
  <si>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</si>
  <si>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</si>
  <si>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</si>
  <si>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</si>
  <si>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</si>
  <si>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</si>
  <si>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</si>
  <si>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</si>
  <si>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</si>
  <si>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</si>
  <si>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</si>
  <si>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</si>
  <si>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</si>
  <si>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</si>
  <si>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</si>
  <si>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</si>
  <si>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</si>
  <si>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</si>
  <si>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</si>
  <si>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</si>
  <si>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</si>
  <si>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</si>
  <si>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</si>
  <si>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</si>
  <si>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</si>
  <si>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</si>
  <si>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</si>
  <si>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</si>
  <si>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</si>
  <si>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</si>
  <si>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</si>
  <si>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</si>
  <si>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</si>
  <si>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</si>
  <si>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</si>
  <si>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</si>
  <si>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</si>
  <si>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</si>
  <si>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</si>
  <si>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</si>
  <si>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</si>
  <si>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</si>
  <si>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</si>
  <si>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</si>
  <si>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</si>
  <si>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</si>
  <si>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</si>
  <si>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</si>
  <si>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</si>
  <si>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</si>
  <si>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</si>
  <si>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</si>
  <si>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</si>
  <si>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</si>
  <si>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</si>
  <si>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</si>
  <si>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</si>
  <si>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</si>
  <si>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</si>
  <si>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</si>
  <si>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</si>
  <si>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</si>
  <si>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</si>
  <si>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</si>
  <si>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</si>
  <si>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</si>
  <si>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</si>
  <si>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</si>
  <si>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</si>
  <si>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</si>
  <si>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</si>
  <si>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</si>
  <si>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</si>
  <si>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</si>
  <si>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</si>
  <si>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</si>
  <si>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</si>
  <si>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</si>
  <si>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</si>
  <si>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</si>
  <si>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</si>
  <si>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</si>
  <si>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</si>
  <si>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</si>
  <si>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</si>
  <si>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</si>
  <si>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</si>
  <si>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</si>
  <si>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</si>
  <si>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</si>
  <si>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</si>
  <si>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</si>
  <si>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</si>
  <si>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</si>
  <si>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</si>
  <si>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</si>
  <si>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</si>
  <si>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</si>
  <si>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</si>
  <si>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</si>
  <si>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</si>
  <si>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</si>
  <si>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</si>
  <si>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</si>
  <si>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</si>
  <si>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</si>
  <si>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</si>
  <si>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</si>
  <si>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</si>
  <si>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</si>
  <si>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</si>
  <si>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</si>
  <si>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</si>
  <si>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</si>
  <si>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</si>
  <si>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</si>
  <si>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</si>
  <si>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</si>
  <si>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</si>
  <si>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</si>
  <si>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</si>
  <si>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</si>
  <si>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</si>
  <si>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</si>
  <si>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</si>
  <si>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</si>
  <si>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</si>
  <si>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</si>
  <si>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</si>
  <si>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</si>
  <si>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</si>
  <si>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</si>
  <si>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</si>
  <si>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</si>
  <si>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</si>
  <si>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</si>
  <si>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</si>
  <si>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</si>
  <si>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</si>
  <si>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</si>
  <si>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</si>
  <si>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</si>
  <si>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</si>
  <si>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</si>
  <si>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</si>
  <si>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</si>
  <si>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</si>
  <si>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</si>
  <si>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</si>
  <si>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</si>
  <si>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</si>
  <si>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</si>
  <si>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</si>
  <si>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</si>
  <si>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</si>
  <si>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</si>
  <si>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</si>
  <si>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</si>
  <si>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</si>
  <si>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</si>
  <si>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</si>
  <si>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</si>
  <si>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</si>
  <si>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</si>
  <si>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</si>
  <si>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</si>
  <si>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</si>
  <si>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</si>
  <si>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</si>
  <si>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</si>
  <si>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</si>
  <si>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</si>
  <si>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</si>
  <si>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</si>
  <si>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</si>
  <si>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</si>
  <si>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</si>
  <si>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</si>
  <si>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</si>
  <si>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</si>
  <si>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</si>
  <si>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</si>
  <si>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</si>
  <si>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</si>
  <si>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</si>
  <si>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</si>
  <si>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</si>
  <si>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</si>
  <si>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</si>
  <si>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</si>
  <si>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</si>
  <si>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</si>
  <si>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</si>
  <si>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</si>
  <si>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</si>
  <si>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</si>
  <si>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</si>
  <si>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</si>
  <si>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</si>
  <si>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</si>
  <si>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</si>
  <si>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</si>
  <si>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</si>
  <si>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</si>
  <si>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</si>
  <si>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</si>
  <si>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</si>
  <si>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</si>
  <si>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</si>
  <si>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</si>
  <si>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</si>
  <si>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</si>
  <si>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</si>
  <si>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</si>
  <si>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</si>
  <si>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</si>
  <si>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</si>
  <si>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</si>
  <si>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</si>
  <si>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</si>
  <si>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</si>
  <si>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</si>
  <si>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</si>
  <si>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</si>
  <si>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</si>
  <si>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</si>
  <si>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</si>
  <si>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</si>
  <si>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</si>
  <si>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</si>
  <si>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</si>
  <si>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</si>
  <si>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</si>
  <si>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</si>
  <si>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</si>
  <si>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</si>
  <si>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</si>
  <si>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</si>
  <si>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</si>
  <si>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</si>
  <si>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</si>
  <si>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</si>
  <si>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</si>
  <si>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</si>
  <si>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</si>
  <si>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</si>
  <si>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</si>
  <si>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</si>
  <si>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</si>
  <si>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</si>
  <si>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</si>
  <si>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</si>
  <si>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</si>
  <si>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</si>
  <si>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</si>
  <si>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</si>
  <si>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</si>
  <si>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</si>
  <si>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</si>
  <si>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</si>
  <si>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</si>
  <si>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</si>
  <si>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</si>
  <si>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</si>
  <si>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</si>
  <si>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</si>
  <si>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</si>
  <si>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</si>
  <si>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</si>
  <si>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</si>
  <si>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</si>
  <si>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</si>
  <si>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</si>
  <si>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</si>
  <si>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</si>
  <si>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</si>
  <si>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</si>
  <si>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</si>
  <si>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</si>
  <si>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</si>
  <si>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</si>
  <si>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</si>
  <si>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</si>
  <si>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</si>
  <si>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</si>
  <si>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</si>
  <si>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</si>
  <si>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</si>
  <si>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</si>
  <si>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</si>
  <si>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</si>
  <si>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</si>
  <si>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</si>
  <si>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</si>
  <si>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</si>
  <si>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</si>
  <si>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</si>
  <si>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</si>
  <si>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</si>
  <si>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</si>
  <si>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</si>
  <si>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</si>
  <si>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</si>
  <si>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</si>
  <si>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</si>
  <si>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</si>
  <si>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</si>
  <si>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</si>
  <si>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</si>
  <si>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</si>
  <si>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</si>
  <si>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</si>
  <si>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</si>
  <si>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</si>
  <si>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</si>
  <si>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</si>
  <si>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</si>
  <si>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</si>
  <si>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</si>
  <si>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</si>
  <si>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</si>
  <si>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</si>
  <si>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</si>
  <si>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</si>
  <si>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</si>
  <si>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</si>
  <si>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</si>
  <si>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</si>
  <si>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</si>
  <si>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</si>
  <si>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</si>
  <si>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</si>
  <si>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</si>
  <si>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</si>
  <si>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</si>
  <si>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</si>
  <si>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</si>
  <si>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</si>
  <si>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</si>
  <si>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</si>
  <si>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</si>
  <si>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</si>
  <si>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</si>
  <si>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</si>
  <si>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</si>
  <si>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</si>
  <si>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</si>
  <si>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</si>
  <si>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</si>
  <si>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</si>
  <si>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</si>
  <si>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</si>
  <si>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</si>
  <si>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</si>
  <si>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</si>
  <si>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</si>
  <si>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</si>
  <si>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</si>
  <si>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</si>
  <si>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</si>
  <si>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</si>
  <si>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</si>
  <si>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</si>
  <si>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</si>
  <si>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</si>
  <si>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</si>
  <si>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</si>
  <si>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</si>
  <si>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</si>
  <si>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</si>
  <si>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</si>
  <si>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</si>
  <si>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</si>
  <si>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</si>
  <si>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</si>
  <si>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</si>
  <si>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</si>
  <si>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</si>
  <si>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</si>
  <si>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</si>
  <si>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</si>
  <si>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</si>
  <si>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</si>
  <si>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</si>
  <si>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</si>
  <si>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</si>
  <si>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</si>
  <si>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</si>
  <si>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</si>
  <si>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</si>
  <si>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</si>
  <si>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</si>
  <si>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</si>
  <si>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</si>
  <si>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</si>
  <si>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</si>
  <si>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</si>
  <si>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</si>
  <si>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</si>
  <si>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</si>
  <si>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</si>
  <si>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</si>
  <si>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</si>
  <si>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</si>
  <si>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</si>
  <si>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</si>
  <si>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</si>
  <si>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</si>
  <si>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</si>
  <si>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</si>
  <si>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</si>
  <si>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</si>
  <si>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</si>
  <si>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</si>
  <si>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</si>
  <si>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</si>
  <si>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</si>
  <si>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</si>
  <si>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</si>
  <si>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</si>
  <si>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</si>
  <si>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</si>
  <si>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</si>
  <si>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</si>
  <si>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</si>
  <si>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</si>
  <si>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</si>
  <si>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</si>
  <si>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</si>
  <si>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</si>
  <si>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</si>
  <si>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</si>
  <si>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</si>
  <si>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</si>
  <si>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</si>
  <si>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</si>
  <si>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</si>
  <si>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</si>
  <si>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</si>
  <si>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</si>
  <si>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</si>
  <si>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</si>
  <si>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</si>
  <si>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</si>
  <si>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</si>
  <si>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</si>
  <si>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</si>
  <si>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</si>
  <si>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</si>
  <si>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</si>
  <si>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</si>
  <si>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</si>
  <si>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</si>
  <si>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</si>
  <si>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</si>
  <si>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</si>
  <si>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</si>
  <si>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</si>
  <si>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</si>
  <si>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</si>
  <si>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</si>
  <si>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</si>
  <si>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</si>
  <si>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</si>
  <si>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</si>
  <si>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</si>
  <si>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</si>
  <si>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</si>
  <si>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</si>
  <si>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</si>
  <si>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</si>
  <si>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</si>
  <si>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</si>
  <si>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</si>
  <si>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</si>
  <si>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</si>
  <si>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</si>
  <si>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</si>
  <si>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</si>
  <si>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</si>
  <si>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</si>
  <si>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</si>
  <si>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</si>
  <si>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</si>
  <si>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</si>
  <si>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</si>
  <si>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</si>
  <si>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</si>
  <si>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</si>
  <si>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</si>
  <si>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</si>
  <si>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</si>
  <si>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</si>
  <si>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</si>
  <si>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</si>
  <si>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</si>
  <si>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</si>
  <si>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</si>
  <si>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</si>
  <si>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</si>
  <si>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</si>
  <si>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</si>
  <si>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</si>
  <si>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</si>
  <si>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</si>
  <si>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</si>
  <si>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</si>
  <si>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</si>
  <si>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</si>
  <si>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</si>
  <si>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</si>
  <si>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</si>
  <si>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</si>
  <si>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</si>
  <si>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</si>
  <si>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</si>
  <si>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</si>
  <si>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</si>
  <si>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</si>
  <si>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</si>
  <si>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</si>
  <si>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</si>
  <si>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</si>
  <si>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</si>
  <si>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</si>
  <si>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</si>
  <si>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</si>
  <si>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</si>
  <si>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</si>
  <si>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</si>
  <si>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</si>
  <si>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</si>
  <si>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</si>
  <si>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</si>
  <si>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</si>
  <si>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</si>
  <si>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</si>
  <si>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</si>
  <si>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</si>
  <si>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</si>
  <si>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</si>
  <si>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</si>
  <si>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</si>
  <si>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</si>
  <si>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</si>
  <si>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</si>
  <si>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</si>
  <si>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</si>
  <si>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</si>
  <si>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</si>
  <si>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</si>
  <si>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</si>
  <si>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</si>
  <si>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</si>
  <si>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</si>
  <si>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</si>
  <si>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</si>
  <si>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</si>
  <si>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</si>
  <si>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</si>
  <si>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</si>
  <si>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</si>
  <si>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</si>
  <si>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</si>
  <si>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</si>
  <si>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</si>
  <si>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</si>
  <si>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</si>
  <si>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</si>
  <si>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</si>
  <si>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</si>
  <si>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</si>
  <si>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</si>
  <si>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</si>
  <si>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</si>
  <si>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</si>
  <si>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</si>
  <si>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</si>
  <si>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</si>
  <si>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</si>
  <si>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</si>
  <si>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</si>
  <si>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</si>
  <si>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</si>
  <si>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</si>
  <si>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</si>
  <si>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</si>
  <si>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</si>
  <si>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</si>
  <si>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</si>
  <si>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</si>
  <si>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</si>
  <si>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</si>
  <si>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</si>
  <si>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</si>
  <si>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</si>
  <si>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</si>
  <si>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</si>
  <si>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</si>
  <si>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</si>
  <si>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</si>
  <si>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</si>
  <si>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</si>
  <si>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</si>
  <si>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</si>
  <si>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</si>
  <si>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</si>
  <si>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</si>
  <si>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</si>
  <si>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</si>
  <si>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</si>
  <si>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</si>
  <si>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</si>
  <si>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</si>
  <si>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</si>
  <si>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</si>
  <si>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</si>
  <si>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</si>
  <si>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</si>
  <si>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</si>
  <si>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</si>
  <si>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</si>
  <si>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</si>
  <si>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</si>
  <si>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Another perfect game, only one missidentity near the limit…</t>
  </si>
  <si>
    <t>MARKO KRSTIC</t>
  </si>
  <si>
    <t>OGNJEN MARINOVIC</t>
  </si>
  <si>
    <t>BILJANA KOSTRES</t>
  </si>
  <si>
    <t>JELENA RASINAC</t>
  </si>
  <si>
    <t>JOVANA KRIVOKUKA-MILOVANOVIC</t>
  </si>
  <si>
    <t>05:34</t>
  </si>
  <si>
    <t>C:\Users\mario.enjuanes\EUROLEAGUE\EB STATS - General\SEASON 2025-26\Reports\Euroleague</t>
  </si>
  <si>
    <t>C:\Users\mario.enjuanes\EUROLEAGUE\EB STATS - General\SEASON 2025-26\Reports\Euroleague\PDF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</si>
</sst>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I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06_059_PAR_PRS_E2025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59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45954.854166666664</v>
      </c>
      <c r="C3" s="157"/>
      <c r="D3" s="39">
        <v>684</v>
      </c>
      <c r="E3" s="29"/>
      <c r="F3" s="26">
        <f>SUBTOTAL(3,I17:I106)</f>
        <v>1</v>
      </c>
      <c r="G3" s="27">
        <f>IF(OR(D3="",D3=0),"",F3/D3)</f>
        <v>1.4619883040935672E-3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Partizan Mozzart 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742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1.4619883040935672E-3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Paris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0.14619883040935672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746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1.1461988304093567</v>
      </c>
      <c r="N7" s="58"/>
      <c r="O7" s="2"/>
      <c r="P7" s="2"/>
      <c r="Q7" s="86">
        <f>SUM(R5,S5,AC16)</f>
        <v>1.1461988304093567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1.1461988304093567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753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59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748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59</v>
      </c>
      <c r="D17" s="32" t="s">
        <v>756</v>
      </c>
      <c r="E17" s="33">
        <v>1</v>
      </c>
      <c r="F17" s="36">
        <v>10</v>
      </c>
      <c r="G17" s="36">
        <v>15</v>
      </c>
      <c r="H17" s="38" t="str">
        <f>IF(I17="","",$I$14)</f>
        <v>SCOUTING</v>
      </c>
      <c r="I17" s="34">
        <v>62</v>
      </c>
      <c r="J17" s="13" t="s">
        <v>4</v>
      </c>
      <c r="K17" s="13" t="s">
        <v>62</v>
      </c>
      <c r="L17" s="13" t="s">
        <v>6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REPORT_E2025059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"E2025059"</v>
      </c>
      <c r="F3" s="45" t="str">
        <f t="shared" ref="F3:F16" si="0">""""&amp;B3&amp;"""" &amp; " : " &amp;C3&amp;","</f>
        <v>"name" : "E2025059",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"E059"</v>
      </c>
      <c r="F4" s="45" t="str">
        <f t="shared" si="0"/>
        <v>"cod" : "E059",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059</v>
      </c>
      <c r="F6" s="45" t="str">
        <f t="shared" si="0"/>
        <v>"number" : 059,</v>
      </c>
    </row>
    <row r="7" spans="2:6" x14ac:dyDescent="0.2">
      <c r="B7" s="43" t="s">
        <v>116</v>
      </c>
      <c r="C7" s="43" t="str">
        <f ca="1">""""&amp;TEXT('SCOUT &amp; LOGISTICS'!B3,"dd/mm/aaaa")&amp;""""</f>
        <v>"24/10/Friday"</v>
      </c>
      <c r="F7" s="45" t="str">
        <f t="shared" ca="1" si="0"/>
        <v>"date" : "24/10/Friday",</v>
      </c>
    </row>
    <row r="8" spans="2:6" x14ac:dyDescent="0.2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"MARKO KRSTIC"</v>
      </c>
      <c r="F11" s="45" t="str">
        <f t="shared" si="0"/>
        <v>"Caller_1" : "MARKO KRSTIC",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"OGNJEN MARINOVIC"</v>
      </c>
      <c r="F12" s="45" t="str">
        <f t="shared" si="0"/>
        <v>"Caller_2" : "OGNJEN MARINOVIC",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"BILJANA KOSTRES"</v>
      </c>
      <c r="F13" s="45" t="str">
        <f t="shared" si="0"/>
        <v>"Timerkeeper" : "BILJANA KOSTRES",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"JELENA RASINAC"</v>
      </c>
      <c r="F14" s="45" t="str">
        <f t="shared" si="0"/>
        <v>"Shotclock" : "JELENA RASINAC",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"JOVANA KRIVOKUKA-MILOVANOVIC"</v>
      </c>
      <c r="F15" s="45" t="str">
        <f t="shared" si="0"/>
        <v>"IRS" : "JOVANA KRIVOKUKA-MILOVANOVIC",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684</v>
      </c>
      <c r="F25" s="45" t="str">
        <f t="shared" ref="F25:F48" si="1">""""&amp;C25&amp;"""" &amp; " : " &amp;D25&amp;","</f>
        <v>"total_actions" : 684,</v>
      </c>
    </row>
    <row r="26" spans="2:6" x14ac:dyDescent="0.2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"Another perfect game, only one missidentity near the limit…"</v>
      </c>
      <c r="F51" s="45" t="str">
        <f>""""&amp;B51&amp;"""" &amp; " : " &amp;C51&amp;","</f>
        <v>"comments" : "Another perfect game, only one missidentity near the limit…",</v>
      </c>
    </row>
    <row r="52" spans="2:6" x14ac:dyDescent="0.2">
      <c r="B52" s="43" t="s">
        <v>153</v>
      </c>
      <c r="C52" s="43" t="str">
        <f>TEXT('SCOUT &amp; LOGISTICS'!F1,"0,0")</f>
        <v>06_059_PAR_PRS_E2025</v>
      </c>
      <c r="F52" s="45" t="str">
        <f>""""&amp;B52&amp;"""" &amp; " : " &amp;C52</f>
        <v>"result" : 06_059_PAR_PRS_E2025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E059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24/10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Partizan Mozzart 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Paris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PETAR VASILJEVIC</v>
      </c>
      <c r="C8" s="206"/>
      <c r="D8" s="206"/>
      <c r="E8" s="206"/>
      <c r="F8" s="206"/>
      <c r="G8" s="206" t="str">
        <f>IF('SCOUT &amp; LOGISTICS'!D7="","",'SCOUT &amp; LOGISTICS'!D7)</f>
        <v>MARKO KRSTIC</v>
      </c>
      <c r="H8" s="206"/>
      <c r="I8" s="206"/>
      <c r="J8" s="206"/>
      <c r="K8" s="206"/>
      <c r="L8" s="206" t="str">
        <f>IF('SCOUT &amp; LOGISTICS'!D8="","",'SCOUT &amp; LOGISTICS'!D8)</f>
        <v>OGNJEN MARINOVIC</v>
      </c>
      <c r="M8" s="206"/>
      <c r="N8" s="206"/>
      <c r="O8" s="206"/>
      <c r="P8" s="206"/>
      <c r="Q8" s="206" t="str">
        <f>IF('SCOUT &amp; LOGISTICS'!D9="","",'SCOUT &amp; LOGISTICS'!D9)</f>
        <v>BILJANA KOSTRES</v>
      </c>
      <c r="R8" s="206"/>
      <c r="S8" s="206"/>
      <c r="T8" s="206"/>
      <c r="U8" s="206"/>
      <c r="V8" s="206" t="str">
        <f>IF('SCOUT &amp; LOGISTICS'!D10="","",'SCOUT &amp; LOGISTICS'!D10)</f>
        <v>JELENA RASINAC</v>
      </c>
      <c r="W8" s="206"/>
      <c r="X8" s="206"/>
      <c r="Y8" s="206"/>
      <c r="Z8" s="206"/>
      <c r="AA8" s="206" t="str">
        <f>IF('SCOUT &amp; LOGISTICS'!D11="","",'SCOUT &amp; LOGISTICS'!D11)</f>
        <v>JOVANA KRIVOKUKA-MILOVANOVIC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684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1.4619883040935672E-3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Another perfect game, only one missidentity near the limit…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1.1461988304093567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955B83-103D-4922-B483-4A5BFDBB3EF2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2025-10-24T20:41:53Z</cp:lastPrinted>
  <dcterms:created xsi:type="dcterms:W3CDTF">2023-09-19T19:50:35Z</dcterms:created>
  <dcterms:modified xsi:type="dcterms:W3CDTF">2025-10-24T20:42:12Z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