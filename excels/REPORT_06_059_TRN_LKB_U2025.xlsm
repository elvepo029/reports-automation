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75" documentId="8_{E07A18AD-2B63-4A23-9D40-9BB8D47A2EBE}" xr6:coauthVersionLast="47" xr6:coauthVersionMax="47" xr10:uidLastSave="{394FD446-2847-4475-A133-B3E38EFAFA33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<sst xmlns="http://schemas.openxmlformats.org/spreadsheetml/2006/main" count="3331" uniqueCount="773">
  <si>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</si>
  <si>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</si>
  <si>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</si>
  <si>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</si>
  <si>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</si>
  <si>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</si>
  <si>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</si>
  <si>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</si>
  <si>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</si>
  <si>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</si>
  <si>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</si>
  <si>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</si>
  <si>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</si>
  <si>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</si>
  <si>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</si>
  <si>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</si>
  <si>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</si>
  <si>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</si>
  <si>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</si>
  <si>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</si>
  <si>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</si>
  <si>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</si>
  <si>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</si>
  <si>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</si>
  <si>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</si>
  <si>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</si>
  <si>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</si>
  <si>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</si>
  <si>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</si>
  <si>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</si>
  <si>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</si>
  <si>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</si>
  <si>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</si>
  <si>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</si>
  <si>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</si>
  <si>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</si>
  <si>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</si>
  <si>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</si>
  <si>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</si>
  <si>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</si>
  <si>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</si>
  <si>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</si>
  <si>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</si>
  <si>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</si>
  <si>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</si>
  <si>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</si>
  <si>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</si>
  <si>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</si>
  <si>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</si>
  <si>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</si>
  <si>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</si>
  <si>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</si>
  <si>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</si>
  <si>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</si>
  <si>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</si>
  <si>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</si>
  <si>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</si>
  <si>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</si>
  <si>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</si>
  <si>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</si>
  <si>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</si>
  <si>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</si>
  <si>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</si>
  <si>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</si>
  <si>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</si>
  <si>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</si>
  <si>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</si>
  <si>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</si>
  <si>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</si>
  <si>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</si>
  <si>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</si>
  <si>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</si>
  <si>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</si>
  <si>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</si>
  <si>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</si>
  <si>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</si>
  <si>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</si>
  <si>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</si>
  <si>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</si>
  <si>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</si>
  <si>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</si>
  <si>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</si>
  <si>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</si>
  <si>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</si>
  <si>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</si>
  <si>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</si>
  <si>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</si>
  <si>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</si>
  <si>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</si>
  <si>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</si>
  <si>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</si>
  <si>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</si>
  <si>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</si>
  <si>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</si>
  <si>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</si>
  <si>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</si>
  <si>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</si>
  <si>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</si>
  <si>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</si>
  <si>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</si>
  <si>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</si>
  <si>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</si>
  <si>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</si>
  <si>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</si>
  <si>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</si>
  <si>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</si>
  <si>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</si>
  <si>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</si>
  <si>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</si>
  <si>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</si>
  <si>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</si>
  <si>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</si>
  <si>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</si>
  <si>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</si>
  <si>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</si>
  <si>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</si>
  <si>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</si>
  <si>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</si>
  <si>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</si>
  <si>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</si>
  <si>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</si>
  <si>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</si>
  <si>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</si>
  <si>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</si>
  <si>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</si>
  <si>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</si>
  <si>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</si>
  <si>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</si>
  <si>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</si>
  <si>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</si>
  <si>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</si>
  <si>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</si>
  <si>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</si>
  <si>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</si>
  <si>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</si>
  <si>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</si>
  <si>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</si>
  <si>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</si>
  <si>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</si>
  <si>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</si>
  <si>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</si>
  <si>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</si>
  <si>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</si>
  <si>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</si>
  <si>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</si>
  <si>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</si>
  <si>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</si>
  <si>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</si>
  <si>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</si>
  <si>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</si>
  <si>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</si>
  <si>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</si>
  <si>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</si>
  <si>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</si>
  <si>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</si>
  <si>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</si>
  <si>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</si>
  <si>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</si>
  <si>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</si>
  <si>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</si>
  <si>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</si>
  <si>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</si>
  <si>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</si>
  <si>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</si>
  <si>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</si>
  <si>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</si>
  <si>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</si>
  <si>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</si>
  <si>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</si>
  <si>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</si>
  <si>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</si>
  <si>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</si>
  <si>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</si>
  <si>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</si>
  <si>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</si>
  <si>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</si>
  <si>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</si>
  <si>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</si>
  <si>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</si>
  <si>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</si>
  <si>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</si>
  <si>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</si>
  <si>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</si>
  <si>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</si>
  <si>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</si>
  <si>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</si>
  <si>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</si>
  <si>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</si>
  <si>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</si>
  <si>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</si>
  <si>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</si>
  <si>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</si>
  <si>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</si>
  <si>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</si>
  <si>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</si>
  <si>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</si>
  <si>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</si>
  <si>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</si>
  <si>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</si>
  <si>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</si>
  <si>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</si>
  <si>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</si>
  <si>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</si>
  <si>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</si>
  <si>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</si>
  <si>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</si>
  <si>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</si>
  <si>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</si>
  <si>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</si>
  <si>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</si>
  <si>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</si>
  <si>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</si>
  <si>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</si>
  <si>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</si>
  <si>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</si>
  <si>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</si>
  <si>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</si>
  <si>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</si>
  <si>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</si>
  <si>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</si>
  <si>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</si>
  <si>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</si>
  <si>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</si>
  <si>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</si>
  <si>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</si>
  <si>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</si>
  <si>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</si>
  <si>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</si>
  <si>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</si>
  <si>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</si>
  <si>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</si>
  <si>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</si>
  <si>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</si>
  <si>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</si>
  <si>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</si>
  <si>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</si>
  <si>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</si>
  <si>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</si>
  <si>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</si>
  <si>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</si>
  <si>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</si>
  <si>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</si>
  <si>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</si>
  <si>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</si>
  <si>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</si>
  <si>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</si>
  <si>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</si>
  <si>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</si>
  <si>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</si>
  <si>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</si>
  <si>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</si>
  <si>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</si>
  <si>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</si>
  <si>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</si>
  <si>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</si>
  <si>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</si>
  <si>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</si>
  <si>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</si>
  <si>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</si>
  <si>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</si>
  <si>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</si>
  <si>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</si>
  <si>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</si>
  <si>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</si>
  <si>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</si>
  <si>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</si>
  <si>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</si>
  <si>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</si>
  <si>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</si>
  <si>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</si>
  <si>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</si>
  <si>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</si>
  <si>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</si>
  <si>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</si>
  <si>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</si>
  <si>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</si>
  <si>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</si>
  <si>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</si>
  <si>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</si>
  <si>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</si>
  <si>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</si>
  <si>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</si>
  <si>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</si>
  <si>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</si>
  <si>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</si>
  <si>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</si>
  <si>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</si>
  <si>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</si>
  <si>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</si>
  <si>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</si>
  <si>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</si>
  <si>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</si>
  <si>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</si>
  <si>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</si>
  <si>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</si>
  <si>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</si>
  <si>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</si>
  <si>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</si>
  <si>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</si>
  <si>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</si>
  <si>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</si>
  <si>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</si>
  <si>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</si>
  <si>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</si>
  <si>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</si>
  <si>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</si>
  <si>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</si>
  <si>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</si>
  <si>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</si>
  <si>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</si>
  <si>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</si>
  <si>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</si>
  <si>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</si>
  <si>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</si>
  <si>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</si>
  <si>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</si>
  <si>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</si>
  <si>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</si>
  <si>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</si>
  <si>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</si>
  <si>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</si>
  <si>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</si>
  <si>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</si>
  <si>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</si>
  <si>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</si>
  <si>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</si>
  <si>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</si>
  <si>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</si>
  <si>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</si>
  <si>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</si>
  <si>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</si>
  <si>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</si>
  <si>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</si>
  <si>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</si>
  <si>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</si>
  <si>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</si>
  <si>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</si>
  <si>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</si>
  <si>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</si>
  <si>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</si>
  <si>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</si>
  <si>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</si>
  <si>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</si>
  <si>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</si>
  <si>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</si>
  <si>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</si>
  <si>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</si>
  <si>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</si>
  <si>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</si>
  <si>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</si>
  <si>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</si>
  <si>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</si>
  <si>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</si>
  <si>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</si>
  <si>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</si>
  <si>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</si>
  <si>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</si>
  <si>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</si>
  <si>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</si>
  <si>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</si>
  <si>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</si>
  <si>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</si>
  <si>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</si>
  <si>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</si>
  <si>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</si>
  <si>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</si>
  <si>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</si>
  <si>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</si>
  <si>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</si>
  <si>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</si>
  <si>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</si>
  <si>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</si>
  <si>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</si>
  <si>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</si>
  <si>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</si>
  <si>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</si>
  <si>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</si>
  <si>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</si>
  <si>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</si>
  <si>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</si>
  <si>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</si>
  <si>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</si>
  <si>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</si>
  <si>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</si>
  <si>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</si>
  <si>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</si>
  <si>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</si>
  <si>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</si>
  <si>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</si>
  <si>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</si>
  <si>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</si>
  <si>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</si>
  <si>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</si>
  <si>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</si>
  <si>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</si>
  <si>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</si>
  <si>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</si>
  <si>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</si>
  <si>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</si>
  <si>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</si>
  <si>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</si>
  <si>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</si>
  <si>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</si>
  <si>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</si>
  <si>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</si>
  <si>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</si>
  <si>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</si>
  <si>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</si>
  <si>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</si>
  <si>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</si>
  <si>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</si>
  <si>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</si>
  <si>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</si>
  <si>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</si>
  <si>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</si>
  <si>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</si>
  <si>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</si>
  <si>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</si>
  <si>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</si>
  <si>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</si>
  <si>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</si>
  <si>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</si>
  <si>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</si>
  <si>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</si>
  <si>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</si>
  <si>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</si>
  <si>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</si>
  <si>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</si>
  <si>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</si>
  <si>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</si>
  <si>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</si>
  <si>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</si>
  <si>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</si>
  <si>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</si>
  <si>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</si>
  <si>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</si>
  <si>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</si>
  <si>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</si>
  <si>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</si>
  <si>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</si>
  <si>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</si>
  <si>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</si>
  <si>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</si>
  <si>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</si>
  <si>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</si>
  <si>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</si>
  <si>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</si>
  <si>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</si>
  <si>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</si>
  <si>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</si>
  <si>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</si>
  <si>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</si>
  <si>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</si>
  <si>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</si>
  <si>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</si>
  <si>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</si>
  <si>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</si>
  <si>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</si>
  <si>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</si>
  <si>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</si>
  <si>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</si>
  <si>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</si>
  <si>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</si>
  <si>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</si>
  <si>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</si>
  <si>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</si>
  <si>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</si>
  <si>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</si>
  <si>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</si>
  <si>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</si>
  <si>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</si>
  <si>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</si>
  <si>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</si>
  <si>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</si>
  <si>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</si>
  <si>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</si>
  <si>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</si>
  <si>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</si>
  <si>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</si>
  <si>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</si>
  <si>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</si>
  <si>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</si>
  <si>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</si>
  <si>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</si>
  <si>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</si>
  <si>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</si>
  <si>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</si>
  <si>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</si>
  <si>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</si>
  <si>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</si>
  <si>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</si>
  <si>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</si>
  <si>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</si>
  <si>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</si>
  <si>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</si>
  <si>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</si>
  <si>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</si>
  <si>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</si>
  <si>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</si>
  <si>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</si>
  <si>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</si>
  <si>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</si>
  <si>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</si>
  <si>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</si>
  <si>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</si>
  <si>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</si>
  <si>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</si>
  <si>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</si>
  <si>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</si>
  <si>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</si>
  <si>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</si>
  <si>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</si>
  <si>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</si>
  <si>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</si>
  <si>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</si>
  <si>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</si>
  <si>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</si>
  <si>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</si>
  <si>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</si>
  <si>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</si>
  <si>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</si>
  <si>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</si>
  <si>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</si>
  <si>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</si>
  <si>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</si>
  <si>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</si>
  <si>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</si>
  <si>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</si>
  <si>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</si>
  <si>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</si>
  <si>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</si>
  <si>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</si>
  <si>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</si>
  <si>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</si>
  <si>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</si>
  <si>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</si>
  <si>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</si>
  <si>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</si>
  <si>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</si>
  <si>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</si>
  <si>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</si>
  <si>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</si>
  <si>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</si>
  <si>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</si>
  <si>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</si>
  <si>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</si>
  <si>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</si>
  <si>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</si>
  <si>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</si>
  <si>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</si>
  <si>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</si>
  <si>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</si>
  <si>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</si>
  <si>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</si>
  <si>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</si>
  <si>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</si>
  <si>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</si>
  <si>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</si>
  <si>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</si>
  <si>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</si>
  <si>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</si>
  <si>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</si>
  <si>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</si>
  <si>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</si>
  <si>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</si>
  <si>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</si>
  <si>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</si>
  <si>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</si>
  <si>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</si>
  <si>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</si>
  <si>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</si>
  <si>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</si>
  <si>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</si>
  <si>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</si>
  <si>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</si>
  <si>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</si>
  <si>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</si>
  <si>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</si>
  <si>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</si>
  <si>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</si>
  <si>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</si>
  <si>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</si>
  <si>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</si>
  <si>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</si>
  <si>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</si>
  <si>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</si>
  <si>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</si>
  <si>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</si>
  <si>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</si>
  <si>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</si>
  <si>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</si>
  <si>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</si>
  <si>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</si>
  <si>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</si>
  <si>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</si>
  <si>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</si>
  <si>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</si>
  <si>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</si>
  <si>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</si>
  <si>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</si>
  <si>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</si>
  <si>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</si>
  <si>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</si>
  <si>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</si>
  <si>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</si>
  <si>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</si>
  <si>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</si>
  <si>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</si>
  <si>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</si>
  <si>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</si>
  <si>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</si>
  <si>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</si>
  <si>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</si>
  <si>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</si>
  <si>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</si>
  <si>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</si>
  <si>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</si>
  <si>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</si>
  <si>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</si>
  <si>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</si>
  <si>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</si>
  <si>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</si>
  <si>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</si>
  <si>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</si>
  <si>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</si>
  <si>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</si>
  <si>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</si>
  <si>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</si>
  <si>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</si>
  <si>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</si>
  <si>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</si>
  <si>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</si>
  <si>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</si>
  <si>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</si>
  <si>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</si>
  <si>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</si>
  <si>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</si>
  <si>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</si>
  <si>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</si>
  <si>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</si>
  <si>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</si>
  <si>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</si>
  <si>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</si>
  <si>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</si>
  <si>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</si>
  <si>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</si>
  <si>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</si>
  <si>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</si>
  <si>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</si>
  <si>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</si>
  <si>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</si>
  <si>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</si>
  <si>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</si>
  <si>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</si>
  <si>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</si>
  <si>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</si>
  <si>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</si>
  <si>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</si>
  <si>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</si>
  <si>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</si>
  <si>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</si>
  <si>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</si>
  <si>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</si>
  <si>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</si>
  <si>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</si>
  <si>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</si>
  <si>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</si>
  <si>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</si>
  <si>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</si>
  <si>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</si>
  <si>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</si>
  <si>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</si>
  <si>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</si>
  <si>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</si>
  <si>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</si>
  <si>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</si>
  <si>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</si>
  <si>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</si>
  <si>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</si>
  <si>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</si>
  <si>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</si>
  <si>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</si>
  <si>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</si>
  <si>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</si>
  <si>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</si>
  <si>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</si>
  <si>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</si>
  <si>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</si>
  <si>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</si>
  <si>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</si>
  <si>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</si>
  <si>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</si>
  <si>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</si>
  <si>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</si>
  <si>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</si>
  <si>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</si>
  <si>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</si>
  <si>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</si>
  <si>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</si>
  <si>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</si>
  <si>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</si>
  <si>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</si>
  <si>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</si>
  <si>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</si>
  <si>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</si>
  <si>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</si>
  <si>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</si>
  <si>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</si>
  <si>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</si>
  <si>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</si>
  <si>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</si>
  <si>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</si>
  <si>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</si>
  <si>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</si>
  <si>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</si>
  <si>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</si>
  <si>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</si>
  <si>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</si>
  <si>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</si>
  <si>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</si>
  <si>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</si>
  <si>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</si>
  <si>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</si>
  <si>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</si>
  <si>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</si>
  <si>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</si>
  <si>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</si>
  <si>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</si>
  <si>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</si>
  <si>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</si>
  <si>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</si>
  <si>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</si>
  <si>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</si>
  <si>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</si>
  <si>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</si>
  <si>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</si>
  <si>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</si>
  <si>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</si>
  <si>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</si>
  <si>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</si>
  <si>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</si>
  <si>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</si>
  <si>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</si>
  <si>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</si>
  <si>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</si>
  <si>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</si>
  <si>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</si>
  <si>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</si>
  <si>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</si>
  <si>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</si>
  <si>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SILVIA BOTTURA</t>
  </si>
  <si>
    <t>SASHA ZORDAN</t>
  </si>
  <si>
    <t>ALESSANDRO COLOMBO</t>
  </si>
  <si>
    <t>FJORENCO HYSI</t>
  </si>
  <si>
    <t>NOEMI DEIMICHEL</t>
  </si>
  <si>
    <t>XAVI MATEU</t>
  </si>
  <si>
    <t>04:37</t>
  </si>
  <si>
    <t>04:00</t>
  </si>
  <si>
    <t>-</t>
  </si>
  <si>
    <t>02:44</t>
  </si>
  <si>
    <t>2:44</t>
  </si>
  <si>
    <t>00:57</t>
  </si>
  <si>
    <t>09:48</t>
  </si>
  <si>
    <t>06:50</t>
  </si>
  <si>
    <t>00:37</t>
  </si>
  <si>
    <t>00:16</t>
  </si>
  <si>
    <t>08:02</t>
  </si>
  <si>
    <t>05:26</t>
  </si>
  <si>
    <t>03:07</t>
  </si>
  <si>
    <t>00:02</t>
  </si>
  <si>
    <t>04:04</t>
  </si>
  <si>
    <t>In the first quarter, you recorded a block incorrectly, and when correcting it, you deleted a “minute” play. This caused a time desynchronization: you see the correct time on your screen, but the data being recorded is not accurate. Moreover, from that block onward, you missed recording a shot and a rebound, and most of the plays were attributed to the wrong player. What we can learn from this situation is that it’s better to make a correction during a timeout, IRS, etc., rather than allowing a chain of errors to occur.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</si>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</sst>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06_059_TRN_LKB_U2025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45965.833333333336</v>
      </c>
      <c r="C3" s="178"/>
      <c r="D3" s="39">
        <v>604</v>
      </c>
      <c r="E3" s="29"/>
      <c r="F3" s="26">
        <f>SUBTOTAL(3,I17:I106)</f>
        <v>17</v>
      </c>
      <c r="G3" s="27">
        <f>IF(OR(D3="",D3=0),"",F3/D3)</f>
        <v>2.8145695364238412E-2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Dolomiti Energia Trento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85" t="s">
        <v>771</v>
      </c>
      <c r="N4" s="186"/>
      <c r="O4" s="2"/>
      <c r="P4" s="2"/>
      <c r="Q4" s="84" t="s">
        <v>175</v>
      </c>
      <c r="R4" s="94">
        <f>(IF(G3="",0,G3))</f>
        <v>2.8145695364238412E-2</v>
      </c>
      <c r="S4" s="61">
        <f>SUM(I13:M13)</f>
        <v>2</v>
      </c>
      <c r="T4" s="78"/>
      <c r="U4" s="61">
        <f>AC18</f>
        <v>1</v>
      </c>
      <c r="V4" s="61">
        <f>+AC22</f>
        <v>13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Lietkabelis Panevezys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2.814569536423841</v>
      </c>
      <c r="S5" s="70">
        <f t="shared" ref="S5" si="0">S4*S3</f>
        <v>2</v>
      </c>
      <c r="T5" s="92"/>
      <c r="U5" s="70">
        <f t="shared" ref="U5:AG5" si="1">U4*U3</f>
        <v>0.5</v>
      </c>
      <c r="V5" s="70">
        <f t="shared" si="1"/>
        <v>13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25.814569536423839</v>
      </c>
      <c r="N7" s="58"/>
      <c r="O7" s="2"/>
      <c r="P7" s="2"/>
      <c r="Q7" s="86">
        <f>SUM(R5,S5,AC16)</f>
        <v>25.814569536423839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25.814569536423839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17</v>
      </c>
      <c r="J15" s="24">
        <f>SUBTOTAL(3,J17:J106)</f>
        <v>17</v>
      </c>
      <c r="K15" s="24">
        <f>SUBTOTAL(3,K17:K106)</f>
        <v>17</v>
      </c>
      <c r="L15" s="24">
        <f>SUBTOTAL(3,L17:L106)</f>
        <v>17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17</v>
      </c>
      <c r="Z16" s="90" t="s">
        <v>110</v>
      </c>
      <c r="AA16" s="75">
        <f>SUM(AA17:AA24)</f>
        <v>17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21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59</v>
      </c>
      <c r="D17" s="32" t="s">
        <v>756</v>
      </c>
      <c r="E17" s="33">
        <v>1</v>
      </c>
      <c r="F17" s="36">
        <v>13</v>
      </c>
      <c r="G17" s="36">
        <v>8</v>
      </c>
      <c r="H17" s="38" t="str">
        <f>IF(I17="","",$I$14)</f>
        <v>SCOUTING</v>
      </c>
      <c r="I17" s="34">
        <v>68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17</v>
      </c>
      <c r="Z17" s="105" t="s">
        <v>63</v>
      </c>
      <c r="AA17" s="62">
        <f>COUNTIF($K$17:$K$106,Z17)</f>
        <v>14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7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59</v>
      </c>
      <c r="D18" s="32" t="s">
        <v>757</v>
      </c>
      <c r="E18" s="33">
        <v>1</v>
      </c>
      <c r="F18" s="36" t="s">
        <v>758</v>
      </c>
      <c r="G18" s="36" t="s">
        <v>758</v>
      </c>
      <c r="H18" s="38" t="str">
        <f t="shared" ref="H18:H81" si="8">IF(I18="","",$I$14)</f>
        <v>SCOUTING</v>
      </c>
      <c r="I18" s="34">
        <v>72</v>
      </c>
      <c r="J18" s="13" t="s">
        <v>4</v>
      </c>
      <c r="K18" s="13" t="s">
        <v>61</v>
      </c>
      <c r="L18" s="13" t="s">
        <v>7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59</v>
      </c>
      <c r="D19" s="32" t="s">
        <v>759</v>
      </c>
      <c r="E19" s="33">
        <v>1</v>
      </c>
      <c r="F19" s="36">
        <v>15</v>
      </c>
      <c r="G19" s="36">
        <v>10</v>
      </c>
      <c r="H19" s="38" t="str">
        <f t="shared" si="8"/>
        <v>SCOUTING</v>
      </c>
      <c r="I19" s="34">
        <v>91</v>
      </c>
      <c r="J19" s="13" t="s">
        <v>4</v>
      </c>
      <c r="K19" s="13" t="s">
        <v>63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59</v>
      </c>
      <c r="D20" s="32" t="s">
        <v>760</v>
      </c>
      <c r="E20" s="33">
        <v>1</v>
      </c>
      <c r="F20" s="36">
        <v>15</v>
      </c>
      <c r="G20" s="36">
        <v>13</v>
      </c>
      <c r="H20" s="38" t="str">
        <f t="shared" si="8"/>
        <v>SCOUTING</v>
      </c>
      <c r="I20" s="34">
        <v>93</v>
      </c>
      <c r="J20" s="13" t="s">
        <v>4</v>
      </c>
      <c r="K20" s="13" t="s">
        <v>63</v>
      </c>
      <c r="L20" s="13" t="s">
        <v>6</v>
      </c>
      <c r="M20" s="13" t="s">
        <v>34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59</v>
      </c>
      <c r="D21" s="32" t="s">
        <v>759</v>
      </c>
      <c r="E21" s="33">
        <v>1</v>
      </c>
      <c r="F21" s="36">
        <v>15</v>
      </c>
      <c r="G21" s="36">
        <v>13</v>
      </c>
      <c r="H21" s="38" t="str">
        <f t="shared" si="8"/>
        <v>SCOUTING</v>
      </c>
      <c r="I21" s="34">
        <v>94</v>
      </c>
      <c r="J21" s="13" t="s">
        <v>4</v>
      </c>
      <c r="K21" s="13" t="s">
        <v>63</v>
      </c>
      <c r="L21" s="13" t="s">
        <v>6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59</v>
      </c>
      <c r="D22" s="32" t="s">
        <v>761</v>
      </c>
      <c r="E22" s="33">
        <v>1</v>
      </c>
      <c r="F22" s="36">
        <v>20</v>
      </c>
      <c r="G22" s="36">
        <v>15</v>
      </c>
      <c r="H22" s="38" t="str">
        <f t="shared" si="8"/>
        <v>SCOUTING</v>
      </c>
      <c r="I22" s="34">
        <v>115</v>
      </c>
      <c r="J22" s="13" t="s">
        <v>4</v>
      </c>
      <c r="K22" s="13" t="s">
        <v>63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59</v>
      </c>
      <c r="D23" s="32" t="s">
        <v>761</v>
      </c>
      <c r="E23" s="33">
        <v>1</v>
      </c>
      <c r="F23" s="36">
        <v>20</v>
      </c>
      <c r="G23" s="36">
        <v>15</v>
      </c>
      <c r="H23" s="38" t="str">
        <f t="shared" si="8"/>
        <v>SCOUTING</v>
      </c>
      <c r="I23" s="34">
        <v>116</v>
      </c>
      <c r="J23" s="13" t="s">
        <v>4</v>
      </c>
      <c r="K23" s="13" t="s">
        <v>62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59</v>
      </c>
      <c r="D24" s="32" t="s">
        <v>762</v>
      </c>
      <c r="E24" s="33">
        <v>2</v>
      </c>
      <c r="F24" s="36">
        <v>22</v>
      </c>
      <c r="G24" s="36">
        <v>15</v>
      </c>
      <c r="H24" s="38" t="str">
        <f t="shared" si="8"/>
        <v>SCOUTING</v>
      </c>
      <c r="I24" s="34">
        <v>136</v>
      </c>
      <c r="J24" s="13" t="s">
        <v>4</v>
      </c>
      <c r="K24" s="13" t="s">
        <v>63</v>
      </c>
      <c r="L24" s="13" t="s">
        <v>6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59</v>
      </c>
      <c r="D25" s="32" t="s">
        <v>763</v>
      </c>
      <c r="E25" s="33">
        <v>2</v>
      </c>
      <c r="F25" s="36">
        <v>26</v>
      </c>
      <c r="G25" s="36">
        <v>22</v>
      </c>
      <c r="H25" s="38" t="str">
        <f t="shared" si="8"/>
        <v>SCOUTING</v>
      </c>
      <c r="I25" s="34">
        <v>187</v>
      </c>
      <c r="J25" s="13" t="s">
        <v>4</v>
      </c>
      <c r="K25" s="13" t="s">
        <v>63</v>
      </c>
      <c r="L25" s="13" t="s">
        <v>6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59</v>
      </c>
      <c r="D26" s="32" t="s">
        <v>764</v>
      </c>
      <c r="E26" s="33">
        <v>2</v>
      </c>
      <c r="F26" s="36">
        <v>42</v>
      </c>
      <c r="G26" s="36">
        <v>30</v>
      </c>
      <c r="H26" s="38" t="str">
        <f t="shared" si="8"/>
        <v>SCOUTING</v>
      </c>
      <c r="I26" s="34">
        <v>278</v>
      </c>
      <c r="J26" s="13" t="s">
        <v>4</v>
      </c>
      <c r="K26" s="13" t="s">
        <v>63</v>
      </c>
      <c r="L26" s="13" t="s">
        <v>7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59</v>
      </c>
      <c r="D27" s="32" t="s">
        <v>765</v>
      </c>
      <c r="E27" s="33">
        <v>2</v>
      </c>
      <c r="F27" s="36">
        <v>42</v>
      </c>
      <c r="G27" s="36">
        <v>31</v>
      </c>
      <c r="H27" s="38" t="str">
        <f t="shared" si="8"/>
        <v>SCOUTING</v>
      </c>
      <c r="I27" s="34">
        <v>284</v>
      </c>
      <c r="J27" s="13" t="s">
        <v>4</v>
      </c>
      <c r="K27" s="13" t="s">
        <v>62</v>
      </c>
      <c r="L27" s="13" t="s">
        <v>6</v>
      </c>
      <c r="M27" s="13" t="s">
        <v>9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59</v>
      </c>
      <c r="D28" s="32" t="s">
        <v>765</v>
      </c>
      <c r="E28" s="33">
        <v>2</v>
      </c>
      <c r="F28" s="36">
        <v>42</v>
      </c>
      <c r="G28" s="36">
        <v>31</v>
      </c>
      <c r="H28" s="38" t="str">
        <f t="shared" si="8"/>
        <v>SCOUTING</v>
      </c>
      <c r="I28" s="34">
        <v>285</v>
      </c>
      <c r="J28" s="13" t="s">
        <v>4</v>
      </c>
      <c r="K28" s="13" t="s">
        <v>63</v>
      </c>
      <c r="L28" s="13" t="s">
        <v>6</v>
      </c>
      <c r="M28" s="13" t="s">
        <v>10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59</v>
      </c>
      <c r="D29" s="32" t="s">
        <v>766</v>
      </c>
      <c r="E29" s="33">
        <v>3</v>
      </c>
      <c r="F29" s="36">
        <v>45</v>
      </c>
      <c r="G29" s="36">
        <v>36</v>
      </c>
      <c r="H29" s="38" t="str">
        <f t="shared" si="8"/>
        <v>SCOUTING</v>
      </c>
      <c r="I29" s="34">
        <v>313</v>
      </c>
      <c r="J29" s="13" t="s">
        <v>4</v>
      </c>
      <c r="K29" s="13" t="s">
        <v>63</v>
      </c>
      <c r="L29" s="13" t="s">
        <v>6</v>
      </c>
      <c r="M29" s="13" t="s">
        <v>168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59</v>
      </c>
      <c r="D30" s="32" t="s">
        <v>767</v>
      </c>
      <c r="E30" s="33">
        <v>3</v>
      </c>
      <c r="F30" s="36">
        <v>47</v>
      </c>
      <c r="G30" s="36">
        <v>45</v>
      </c>
      <c r="H30" s="38" t="str">
        <f t="shared" si="8"/>
        <v>SCOUTING</v>
      </c>
      <c r="I30" s="34">
        <v>358</v>
      </c>
      <c r="J30" s="13" t="s">
        <v>4</v>
      </c>
      <c r="K30" s="13" t="s">
        <v>63</v>
      </c>
      <c r="L30" s="13" t="s">
        <v>7</v>
      </c>
      <c r="M30" s="13" t="s">
        <v>12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59</v>
      </c>
      <c r="D31" s="32" t="s">
        <v>768</v>
      </c>
      <c r="E31" s="33">
        <v>3</v>
      </c>
      <c r="F31" s="36">
        <v>55</v>
      </c>
      <c r="G31" s="36">
        <v>50</v>
      </c>
      <c r="H31" s="38" t="str">
        <f t="shared" si="8"/>
        <v>SCOUTING</v>
      </c>
      <c r="I31" s="34">
        <v>384</v>
      </c>
      <c r="J31" s="13" t="s">
        <v>4</v>
      </c>
      <c r="K31" s="13" t="s">
        <v>63</v>
      </c>
      <c r="L31" s="13" t="s">
        <v>6</v>
      </c>
      <c r="M31" s="13" t="s">
        <v>27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U2025</v>
      </c>
      <c r="C32" s="31">
        <f t="shared" si="3"/>
        <v>59</v>
      </c>
      <c r="D32" s="32" t="s">
        <v>769</v>
      </c>
      <c r="E32" s="33">
        <v>3</v>
      </c>
      <c r="F32" s="36">
        <v>62</v>
      </c>
      <c r="G32" s="36">
        <v>55</v>
      </c>
      <c r="H32" s="38" t="str">
        <f t="shared" si="8"/>
        <v>SCOUTING</v>
      </c>
      <c r="I32" s="34">
        <v>439</v>
      </c>
      <c r="J32" s="13" t="s">
        <v>4</v>
      </c>
      <c r="K32" s="13" t="s">
        <v>63</v>
      </c>
      <c r="L32" s="13" t="s">
        <v>6</v>
      </c>
      <c r="M32" s="13" t="s">
        <v>22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U2025</v>
      </c>
      <c r="C33" s="31">
        <f t="shared" si="3"/>
        <v>59</v>
      </c>
      <c r="D33" s="32" t="s">
        <v>770</v>
      </c>
      <c r="E33" s="33">
        <v>4</v>
      </c>
      <c r="F33" s="36">
        <v>70</v>
      </c>
      <c r="G33" s="36">
        <v>68</v>
      </c>
      <c r="H33" s="38" t="str">
        <f t="shared" si="8"/>
        <v>SCOUTING</v>
      </c>
      <c r="I33" s="34">
        <v>531</v>
      </c>
      <c r="J33" s="13" t="s">
        <v>4</v>
      </c>
      <c r="K33" s="13" t="s">
        <v>63</v>
      </c>
      <c r="L33" s="13" t="s">
        <v>6</v>
      </c>
      <c r="M33" s="13" t="s">
        <v>9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4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REPORT_U2025059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"U2025059"</v>
      </c>
      <c r="F3" s="45" t="str">
        <f t="shared" ref="F3:F16" si="0">""""&amp;B3&amp;"""" &amp; " : " &amp;C3&amp;","</f>
        <v>"name" : "U2025059",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"U059"</v>
      </c>
      <c r="F4" s="45" t="str">
        <f t="shared" si="0"/>
        <v>"cod" : "U059",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059</v>
      </c>
      <c r="F6" s="45" t="str">
        <f t="shared" si="0"/>
        <v>"number" : 059,</v>
      </c>
    </row>
    <row r="7" spans="2:6" x14ac:dyDescent="0.25">
      <c r="B7" s="43" t="s">
        <v>116</v>
      </c>
      <c r="C7" s="43" t="str">
        <f ca="1">""""&amp;TEXT('SCOUT &amp; LOGISTICS'!B3,"dd/mm/aaaa")&amp;""""</f>
        <v>"04/11/Tuesday"</v>
      </c>
      <c r="F7" s="45" t="str">
        <f t="shared" ca="1" si="0"/>
        <v>"date" : "04/11/Tuesday",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"ALESSANDRO COLOMBO"</v>
      </c>
      <c r="F12" s="45" t="str">
        <f t="shared" si="0"/>
        <v>"Caller_2" : "ALESSANDRO COLOMBO",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"FJORENCO HYSI"</v>
      </c>
      <c r="F13" s="45" t="str">
        <f t="shared" si="0"/>
        <v>"Timerkeeper" : "FJORENCO HYSI",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"NOEMI DEIMICHEL"</v>
      </c>
      <c r="F14" s="45" t="str">
        <f t="shared" si="0"/>
        <v>"Shotclock" : "NOEMI DEIMICHEL",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17</v>
      </c>
      <c r="F26" s="45" t="str">
        <f t="shared" si="1"/>
        <v>"total_correcions" : 17,</v>
      </c>
    </row>
    <row r="27" spans="2:6" x14ac:dyDescent="0.25">
      <c r="C27" s="43" t="s">
        <v>133</v>
      </c>
      <c r="D27" s="43" t="str">
        <f>""""&amp;IF(OR(D25="",D25=0),"",TEXT(D26/D25,"0,0%"))&amp;""""</f>
        <v>"03%"</v>
      </c>
      <c r="F27" s="45" t="str">
        <f t="shared" si="1"/>
        <v>"%_corrections" : "03%",</v>
      </c>
    </row>
    <row r="28" spans="2:6" x14ac:dyDescent="0.25">
      <c r="C28" s="43" t="s">
        <v>125</v>
      </c>
      <c r="D28" s="43">
        <f>IF('SCOUT &amp; LOGISTICS'!AA17="","",'SCOUT &amp; LOGISTICS'!AA17)</f>
        <v>14</v>
      </c>
      <c r="F28" s="45" t="str">
        <f t="shared" si="1"/>
        <v>"home_team" : 14,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7</v>
      </c>
      <c r="F31" s="45" t="str">
        <f t="shared" si="1"/>
        <v>"q1" : 7,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17</v>
      </c>
      <c r="F37" s="45" t="str">
        <f t="shared" si="1"/>
        <v>"scoresheet_corrections" : 17,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the first quarter, you recorded a block incorrectly, and when correcting it, you deleted a “minute” play. This caused a time desynchronization: you see the correct time on your screen, but the data being recorded is not accurate. Moreover, from that block onward, you missed recording a shot and a rebound, and most of the plays were attributed to the wrong player. What we can learn from this situation is that it’s better to make a correction during a timeout, IRS, etc., rather than allowing a chain of errors to occur."</v>
      </c>
      <c r="F51" s="45" t="str">
        <f>""""&amp;B51&amp;"""" &amp; " : " &amp;C51&amp;","</f>
        <v>"comments" : "In the first quarter, you recorded a block incorrectly, and when correcting it, you deleted a “minute” play. This caused a time desynchronization: you see the correct time on your screen, but the data being recorded is not accurate. Moreover, from that block onward, you missed recording a shot and a rebound, and most of the plays were attributed to the wrong player. What we can learn from this situation is that it’s better to make a correction during a timeout, IRS, etc., rather than allowing a chain of errors to occur.",</v>
      </c>
    </row>
    <row r="52" spans="2:6" x14ac:dyDescent="0.25">
      <c r="B52" s="43" t="s">
        <v>153</v>
      </c>
      <c r="C52" s="43" t="str">
        <f>TEXT('SCOUT &amp; LOGISTICS'!F1,"0,0")</f>
        <v>06_059_TRN_LKB_U2025</v>
      </c>
      <c r="F52" s="45" t="str">
        <f>""""&amp;B52&amp;"""" &amp; " : " &amp;C52</f>
        <v>"result" : 06_059_TRN_LKB_U2025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U059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Dolomiti Energia Trento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Lietkabelis Panevezys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SILVIA BOTTURA</v>
      </c>
      <c r="C8" s="201"/>
      <c r="D8" s="201"/>
      <c r="E8" s="201"/>
      <c r="F8" s="201"/>
      <c r="G8" s="201" t="str">
        <f>IF('SCOUT &amp; LOGISTICS'!D7="","",'SCOUT &amp; LOGISTICS'!D7)</f>
        <v>SASHA ZORDAN</v>
      </c>
      <c r="H8" s="201"/>
      <c r="I8" s="201"/>
      <c r="J8" s="201"/>
      <c r="K8" s="201"/>
      <c r="L8" s="201" t="str">
        <f>IF('SCOUT &amp; LOGISTICS'!D8="","",'SCOUT &amp; LOGISTICS'!D8)</f>
        <v>ALESSANDRO COLOMBO</v>
      </c>
      <c r="M8" s="201"/>
      <c r="N8" s="201"/>
      <c r="O8" s="201"/>
      <c r="P8" s="201"/>
      <c r="Q8" s="201" t="str">
        <f>IF('SCOUT &amp; LOGISTICS'!D9="","",'SCOUT &amp; LOGISTICS'!D9)</f>
        <v>FJORENCO HYSI</v>
      </c>
      <c r="R8" s="201"/>
      <c r="S8" s="201"/>
      <c r="T8" s="201"/>
      <c r="U8" s="201"/>
      <c r="V8" s="201" t="str">
        <f>IF('SCOUT &amp; LOGISTICS'!D10="","",'SCOUT &amp; LOGISTICS'!D10)</f>
        <v>NOEMI DEIMICHEL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SLOW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2.8145695364238412E-2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7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13</v>
      </c>
      <c r="H27" s="199"/>
      <c r="I27" s="199"/>
      <c r="J27" s="199"/>
      <c r="K27" s="199"/>
      <c r="L27" s="199">
        <f>'SCOUT &amp; LOGISTICS'!AC23</f>
        <v>3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In the first quarter, you recorded a block incorrectly, and when correcting it, you deleted a “minute” play. This caused a time desynchronization: you see the correct time on your screen, but the data being recorded is not accurate. Moreover, from that block onward, you missed recording a shot and a rebound, and most of the plays were attributed to the wrong player. What we can learn from this situation is that it’s better to make a correction during a timeout, IRS, etc., rather than allowing a chain of errors to occur.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25.814569536423839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26EC1DC-070A-40FC-B070-554D1D59C08B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2025-11-06T15:08:02Z</cp:lastPrinted>
  <dcterms:created xsi:type="dcterms:W3CDTF">2023-09-19T19:50:35Z</dcterms:created>
  <dcterms:modified xsi:type="dcterms:W3CDTF">2025-11-06T15:08:06Z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