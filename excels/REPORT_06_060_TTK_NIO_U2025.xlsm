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74077EA2-50A0-43C9-B559-7F7132D9CFA1}" xr6:coauthVersionLast="47" xr6:coauthVersionMax="47" xr10:uidLastSave="{00000000-0000-0000-0000-000000000000}"/>
  <bookViews>
    <workbookView xWindow="-4230" yWindow="-16005" windowWidth="23820" windowHeight="99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<sst xmlns="http://schemas.openxmlformats.org/spreadsheetml/2006/main" count="3259" uniqueCount="760">
  <si>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</si>
  <si>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</si>
  <si>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</si>
  <si>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</si>
  <si>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</si>
  <si>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</si>
  <si>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</si>
  <si>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</si>
  <si>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</si>
  <si>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</si>
  <si>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</si>
  <si>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</si>
  <si>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</si>
  <si>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</si>
  <si>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</si>
  <si>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</si>
  <si>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</si>
  <si>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</si>
  <si>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</si>
  <si>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</si>
  <si>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</si>
  <si>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</si>
  <si>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</si>
  <si>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</si>
  <si>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</si>
  <si>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</si>
  <si>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</si>
  <si>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</si>
  <si>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</si>
  <si>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</si>
  <si>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</si>
  <si>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</si>
  <si>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</si>
  <si>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</si>
  <si>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</si>
  <si>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</si>
  <si>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</si>
  <si>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</si>
  <si>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</si>
  <si>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</si>
  <si>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</si>
  <si>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</si>
  <si>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</si>
  <si>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</si>
  <si>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</si>
  <si>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</si>
  <si>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</si>
  <si>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</si>
  <si>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</si>
  <si>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</si>
  <si>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</si>
  <si>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</si>
  <si>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</si>
  <si>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</si>
  <si>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</si>
  <si>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</si>
  <si>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</si>
  <si>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</si>
  <si>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</si>
  <si>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</si>
  <si>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</si>
  <si>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</si>
  <si>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</si>
  <si>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</si>
  <si>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</si>
  <si>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</si>
  <si>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</si>
  <si>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</si>
  <si>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</si>
  <si>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</si>
  <si>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</si>
  <si>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</si>
  <si>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</si>
  <si>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</si>
  <si>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</si>
  <si>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</si>
  <si>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</si>
  <si>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</si>
  <si>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</si>
  <si>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</si>
  <si>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</si>
  <si>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</si>
  <si>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</si>
  <si>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</si>
  <si>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</si>
  <si>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</si>
  <si>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</si>
  <si>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</si>
  <si>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</si>
  <si>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</si>
  <si>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</si>
  <si>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</si>
  <si>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</si>
  <si>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</si>
  <si>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</si>
  <si>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</si>
  <si>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</si>
  <si>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</si>
  <si>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</si>
  <si>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</si>
  <si>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</si>
  <si>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</si>
  <si>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</si>
  <si>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</si>
  <si>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</si>
  <si>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</si>
  <si>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</si>
  <si>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</si>
  <si>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</si>
  <si>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</si>
  <si>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</si>
  <si>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</si>
  <si>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</si>
  <si>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</si>
  <si>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</si>
  <si>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</si>
  <si>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</si>
  <si>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</si>
  <si>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</si>
  <si>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</si>
  <si>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</si>
  <si>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</si>
  <si>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</si>
  <si>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</si>
  <si>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</si>
  <si>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</si>
  <si>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</si>
  <si>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</si>
  <si>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</si>
  <si>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</si>
  <si>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</si>
  <si>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</si>
  <si>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</si>
  <si>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</si>
  <si>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</si>
  <si>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</si>
  <si>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</si>
  <si>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</si>
  <si>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</si>
  <si>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</si>
  <si>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</si>
  <si>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</si>
  <si>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</si>
  <si>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</si>
  <si>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</si>
  <si>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</si>
  <si>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</si>
  <si>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</si>
  <si>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</si>
  <si>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</si>
  <si>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</si>
  <si>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</si>
  <si>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</si>
  <si>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</si>
  <si>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</si>
  <si>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</si>
  <si>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</si>
  <si>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</si>
  <si>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</si>
  <si>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</si>
  <si>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</si>
  <si>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</si>
  <si>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</si>
  <si>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</si>
  <si>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</si>
  <si>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</si>
  <si>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</si>
  <si>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</si>
  <si>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</si>
  <si>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</si>
  <si>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</si>
  <si>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</si>
  <si>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</si>
  <si>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</si>
  <si>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</si>
  <si>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</si>
  <si>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</si>
  <si>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</si>
  <si>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</si>
  <si>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</si>
  <si>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</si>
  <si>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</si>
  <si>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</si>
  <si>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</si>
  <si>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</si>
  <si>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</si>
  <si>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</si>
  <si>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</si>
  <si>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</si>
  <si>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</si>
  <si>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</si>
  <si>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</si>
  <si>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</si>
  <si>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</si>
  <si>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</si>
  <si>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</si>
  <si>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</si>
  <si>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</si>
  <si>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</si>
  <si>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</si>
  <si>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</si>
  <si>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</si>
  <si>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</si>
  <si>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</si>
  <si>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</si>
  <si>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</si>
  <si>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</si>
  <si>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</si>
  <si>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</si>
  <si>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</si>
  <si>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</si>
  <si>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</si>
  <si>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</si>
  <si>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</si>
  <si>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</si>
  <si>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</si>
  <si>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</si>
  <si>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</si>
  <si>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</si>
  <si>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</si>
  <si>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</si>
  <si>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</si>
  <si>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</si>
  <si>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</si>
  <si>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</si>
  <si>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</si>
  <si>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</si>
  <si>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</si>
  <si>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</si>
  <si>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</si>
  <si>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</si>
  <si>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</si>
  <si>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</si>
  <si>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</si>
  <si>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</si>
  <si>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</si>
  <si>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</si>
  <si>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</si>
  <si>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</si>
  <si>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</si>
  <si>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</si>
  <si>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</si>
  <si>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</si>
  <si>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</si>
  <si>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</si>
  <si>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</si>
  <si>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</si>
  <si>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</si>
  <si>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</si>
  <si>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</si>
  <si>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</si>
  <si>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</si>
  <si>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</si>
  <si>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</si>
  <si>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</si>
  <si>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</si>
  <si>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</si>
  <si>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</si>
  <si>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</si>
  <si>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</si>
  <si>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</si>
  <si>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</si>
  <si>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</si>
  <si>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</si>
  <si>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</si>
  <si>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</si>
  <si>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</si>
  <si>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</si>
  <si>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</si>
  <si>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</si>
  <si>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</si>
  <si>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</si>
  <si>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</si>
  <si>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</si>
  <si>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</si>
  <si>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</si>
  <si>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</si>
  <si>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</si>
  <si>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</si>
  <si>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</si>
  <si>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</si>
  <si>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</si>
  <si>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</si>
  <si>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</si>
  <si>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</si>
  <si>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</si>
  <si>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</si>
  <si>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</si>
  <si>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</si>
  <si>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</si>
  <si>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</si>
  <si>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</si>
  <si>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</si>
  <si>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</si>
  <si>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</si>
  <si>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</si>
  <si>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</si>
  <si>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</si>
  <si>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</si>
  <si>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</si>
  <si>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</si>
  <si>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</si>
  <si>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</si>
  <si>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</si>
  <si>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</si>
  <si>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</si>
  <si>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</si>
  <si>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</si>
  <si>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</si>
  <si>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</si>
  <si>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</si>
  <si>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</si>
  <si>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</si>
  <si>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</si>
  <si>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</si>
  <si>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</si>
  <si>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</si>
  <si>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</si>
  <si>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</si>
  <si>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</si>
  <si>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</si>
  <si>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</si>
  <si>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</si>
  <si>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</si>
  <si>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</si>
  <si>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</si>
  <si>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</si>
  <si>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</si>
  <si>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</si>
  <si>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</si>
  <si>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</si>
  <si>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</si>
  <si>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</si>
  <si>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</si>
  <si>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</si>
  <si>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</si>
  <si>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</si>
  <si>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</si>
  <si>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</si>
  <si>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</si>
  <si>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</si>
  <si>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</si>
  <si>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</si>
  <si>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</si>
  <si>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</si>
  <si>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</si>
  <si>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</si>
  <si>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</si>
  <si>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</si>
  <si>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</si>
  <si>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</si>
  <si>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</si>
  <si>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</si>
  <si>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</si>
  <si>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</si>
  <si>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</si>
  <si>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</si>
  <si>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</si>
  <si>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</si>
  <si>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</si>
  <si>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</si>
  <si>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</si>
  <si>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</si>
  <si>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</si>
  <si>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</si>
  <si>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</si>
  <si>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</si>
  <si>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</si>
  <si>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</si>
  <si>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</si>
  <si>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</si>
  <si>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</si>
  <si>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</si>
  <si>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</si>
  <si>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</si>
  <si>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</si>
  <si>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</si>
  <si>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</si>
  <si>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</si>
  <si>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</si>
  <si>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</si>
  <si>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</si>
  <si>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</si>
  <si>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</si>
  <si>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</si>
  <si>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</si>
  <si>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</si>
  <si>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</si>
  <si>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</si>
  <si>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</si>
  <si>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</si>
  <si>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</si>
  <si>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</si>
  <si>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</si>
  <si>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</si>
  <si>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</si>
  <si>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</si>
  <si>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</si>
  <si>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</si>
  <si>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</si>
  <si>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</si>
  <si>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</si>
  <si>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</si>
  <si>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</si>
  <si>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</si>
  <si>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</si>
  <si>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</si>
  <si>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</si>
  <si>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</si>
  <si>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</si>
  <si>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</si>
  <si>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</si>
  <si>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</si>
  <si>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</si>
  <si>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</si>
  <si>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</si>
  <si>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</si>
  <si>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</si>
  <si>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</si>
  <si>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</si>
  <si>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</si>
  <si>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</si>
  <si>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</si>
  <si>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</si>
  <si>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</si>
  <si>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</si>
  <si>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</si>
  <si>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</si>
  <si>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</si>
  <si>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</si>
  <si>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</si>
  <si>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</si>
  <si>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</si>
  <si>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</si>
  <si>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</si>
  <si>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</si>
  <si>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</si>
  <si>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</si>
  <si>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</si>
  <si>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</si>
  <si>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</si>
  <si>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</si>
  <si>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</si>
  <si>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</si>
  <si>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</si>
  <si>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</si>
  <si>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</si>
  <si>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</si>
  <si>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</si>
  <si>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</si>
  <si>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</si>
  <si>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</si>
  <si>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</si>
  <si>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</si>
  <si>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</si>
  <si>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</si>
  <si>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</si>
  <si>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</si>
  <si>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</si>
  <si>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</si>
  <si>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</si>
  <si>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</si>
  <si>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</si>
  <si>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</si>
  <si>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</si>
  <si>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</si>
  <si>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</si>
  <si>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</si>
  <si>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</si>
  <si>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</si>
  <si>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</si>
  <si>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</si>
  <si>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</si>
  <si>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</si>
  <si>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</si>
  <si>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</si>
  <si>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</si>
  <si>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</si>
  <si>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</si>
  <si>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</si>
  <si>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</si>
  <si>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</si>
  <si>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</si>
  <si>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</si>
  <si>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</si>
  <si>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</si>
  <si>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</si>
  <si>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</si>
  <si>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</si>
  <si>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</si>
  <si>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</si>
  <si>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</si>
  <si>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</si>
  <si>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</si>
  <si>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</si>
  <si>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</si>
  <si>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</si>
  <si>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</si>
  <si>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</si>
  <si>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</si>
  <si>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</si>
  <si>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</si>
  <si>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</si>
  <si>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</si>
  <si>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</si>
  <si>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</si>
  <si>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</si>
  <si>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</si>
  <si>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</si>
  <si>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</si>
  <si>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</si>
  <si>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</si>
  <si>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</si>
  <si>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</si>
  <si>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</si>
  <si>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</si>
  <si>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</si>
  <si>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</si>
  <si>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</si>
  <si>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</si>
  <si>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</si>
  <si>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</si>
  <si>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</si>
  <si>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</si>
  <si>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</si>
  <si>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</si>
  <si>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</si>
  <si>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</si>
  <si>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</si>
  <si>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</si>
  <si>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</si>
  <si>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</si>
  <si>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</si>
  <si>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</si>
  <si>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</si>
  <si>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</si>
  <si>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</si>
  <si>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</si>
  <si>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</si>
  <si>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</si>
  <si>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</si>
  <si>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</si>
  <si>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</si>
  <si>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</si>
  <si>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</si>
  <si>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</si>
  <si>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</si>
  <si>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</si>
  <si>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</si>
  <si>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</si>
  <si>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</si>
  <si>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</si>
  <si>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</si>
  <si>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</si>
  <si>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</si>
  <si>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</si>
  <si>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</si>
  <si>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</si>
  <si>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</si>
  <si>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</si>
  <si>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</si>
  <si>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</si>
  <si>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</si>
  <si>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</si>
  <si>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</si>
  <si>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</si>
  <si>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</si>
  <si>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</si>
  <si>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</si>
  <si>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</si>
  <si>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</si>
  <si>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</si>
  <si>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</si>
  <si>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</si>
  <si>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</si>
  <si>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</si>
  <si>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</si>
  <si>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</si>
  <si>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</si>
  <si>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</si>
  <si>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</si>
  <si>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</si>
  <si>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</si>
  <si>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</si>
  <si>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</si>
  <si>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</si>
  <si>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</si>
  <si>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</si>
  <si>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</si>
  <si>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</si>
  <si>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</si>
  <si>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</si>
  <si>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</si>
  <si>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</si>
  <si>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</si>
  <si>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</si>
  <si>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</si>
  <si>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</si>
  <si>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</si>
  <si>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</si>
  <si>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</si>
  <si>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</si>
  <si>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</si>
  <si>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</si>
  <si>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</si>
  <si>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</si>
  <si>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</si>
  <si>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</si>
  <si>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</si>
  <si>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</si>
  <si>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</si>
  <si>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</si>
  <si>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</si>
  <si>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</si>
  <si>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</si>
  <si>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</si>
  <si>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</si>
  <si>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</si>
  <si>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</si>
  <si>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</si>
  <si>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</si>
  <si>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</si>
  <si>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</si>
  <si>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</si>
  <si>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</si>
  <si>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</si>
  <si>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</si>
  <si>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</si>
  <si>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</si>
  <si>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</si>
  <si>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</si>
  <si>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</si>
  <si>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</si>
  <si>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</si>
  <si>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</si>
  <si>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</si>
  <si>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</si>
  <si>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</si>
  <si>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</si>
  <si>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</si>
  <si>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</si>
  <si>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</si>
  <si>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</si>
  <si>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</si>
  <si>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</si>
  <si>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</si>
  <si>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</si>
  <si>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</si>
  <si>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</si>
  <si>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</si>
  <si>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</si>
  <si>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</si>
  <si>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</si>
  <si>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</si>
  <si>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</si>
  <si>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</si>
  <si>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</si>
  <si>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</si>
  <si>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</si>
  <si>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</si>
  <si>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</si>
  <si>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</si>
  <si>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</si>
  <si>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</si>
  <si>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</si>
  <si>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</si>
  <si>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</si>
  <si>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</si>
  <si>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</si>
  <si>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</si>
  <si>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</si>
  <si>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</si>
  <si>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</si>
  <si>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</si>
  <si>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</si>
  <si>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</si>
  <si>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</si>
  <si>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</si>
  <si>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</si>
  <si>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</si>
  <si>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</si>
  <si>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</si>
  <si>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</si>
  <si>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</si>
  <si>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</si>
  <si>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</si>
  <si>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</si>
  <si>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</si>
  <si>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</si>
  <si>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</si>
  <si>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</si>
  <si>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</si>
  <si>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</si>
  <si>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</si>
  <si>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</si>
  <si>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</si>
  <si>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</si>
  <si>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</si>
  <si>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</si>
  <si>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</si>
  <si>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</si>
  <si>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</si>
  <si>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</si>
  <si>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</si>
  <si>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</si>
  <si>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</si>
  <si>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</si>
  <si>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</si>
  <si>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</si>
  <si>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</si>
  <si>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</si>
  <si>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</si>
  <si>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</si>
  <si>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</si>
  <si>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</si>
  <si>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</si>
  <si>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</si>
  <si>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</si>
  <si>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</si>
  <si>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</si>
  <si>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</si>
  <si>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</si>
  <si>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</si>
  <si>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</si>
  <si>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</si>
  <si>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</si>
  <si>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</si>
  <si>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</si>
  <si>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</si>
  <si>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</si>
  <si>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</si>
  <si>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</si>
  <si>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</si>
  <si>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</si>
  <si>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</si>
  <si>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</si>
  <si>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</si>
  <si>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</si>
  <si>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</si>
  <si>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</si>
  <si>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</si>
  <si>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</si>
  <si>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</si>
  <si>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</si>
  <si>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</si>
  <si>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</si>
  <si>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</si>
  <si>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</si>
  <si>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</si>
  <si>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</si>
  <si>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KUTLUATA, CAN</t>
  </si>
  <si>
    <t>AKAR, MERIC</t>
  </si>
  <si>
    <t>ASLAN, FATIH</t>
  </si>
  <si>
    <t>SUNGUR, ALI MURAT</t>
  </si>
  <si>
    <t>DEMIRCI, FATIH</t>
  </si>
  <si>
    <t>MARIO ENJUANES</t>
  </si>
  <si>
    <t>08:22</t>
  </si>
  <si>
    <t>03:00</t>
  </si>
  <si>
    <t>02:30</t>
  </si>
  <si>
    <t xml:space="preserve">Good job.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</si>
</sst>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06_060_TTK_NIO_U2025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60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45965.791666666664</v>
      </c>
      <c r="C3" s="178"/>
      <c r="D3" s="39">
        <v>559</v>
      </c>
      <c r="E3" s="29"/>
      <c r="F3" s="26">
        <f>SUBTOTAL(3,I17:I106)</f>
        <v>6</v>
      </c>
      <c r="G3" s="27">
        <f>IF(OR(D3="",D3=0),"",F3/D3)</f>
        <v>1.0733452593917709E-2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Turk Telekom Ankara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TTK</v>
      </c>
      <c r="I4" s="5"/>
      <c r="J4" s="119" t="s">
        <v>714</v>
      </c>
      <c r="K4" s="54" t="s">
        <v>743</v>
      </c>
      <c r="L4" s="5"/>
      <c r="M4" s="185" t="s">
        <v>759</v>
      </c>
      <c r="N4" s="186"/>
      <c r="O4" s="2"/>
      <c r="P4" s="2"/>
      <c r="Q4" s="84" t="s">
        <v>175</v>
      </c>
      <c r="R4" s="94">
        <f>(IF(G3="",0,G3))</f>
        <v>1.0733452593917709E-2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Panionios Athens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NIO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1.0733452593917709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5.0733452593917709</v>
      </c>
      <c r="N7" s="58"/>
      <c r="O7" s="2"/>
      <c r="P7" s="2"/>
      <c r="Q7" s="86">
        <f>SUM(R5,S5,AC16)</f>
        <v>5.0733452593917709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5.0733452593917709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60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755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6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60</v>
      </c>
      <c r="D17" s="32" t="s">
        <v>756</v>
      </c>
      <c r="E17" s="33">
        <v>1</v>
      </c>
      <c r="F17" s="36">
        <v>5</v>
      </c>
      <c r="G17" s="36">
        <v>0</v>
      </c>
      <c r="H17" s="38" t="str">
        <f>IF(I17="","",$I$14)</f>
        <v>SCOUTING</v>
      </c>
      <c r="I17" s="34">
        <v>19</v>
      </c>
      <c r="J17" s="13" t="s">
        <v>4</v>
      </c>
      <c r="K17" s="13" t="s">
        <v>63</v>
      </c>
      <c r="L17" s="13" t="s">
        <v>7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U2025</v>
      </c>
      <c r="C18" s="31">
        <f t="shared" si="3"/>
        <v>60</v>
      </c>
      <c r="D18" s="32" t="s">
        <v>757</v>
      </c>
      <c r="E18" s="33">
        <v>1</v>
      </c>
      <c r="F18" s="36">
        <v>18</v>
      </c>
      <c r="G18" s="36">
        <v>15</v>
      </c>
      <c r="H18" s="38" t="str">
        <f t="shared" ref="H18:H81" si="8">IF(I18="","",$I$14)</f>
        <v>SCOUTING</v>
      </c>
      <c r="I18" s="34">
        <v>96</v>
      </c>
      <c r="J18" s="13" t="s">
        <v>4</v>
      </c>
      <c r="K18" s="13" t="s">
        <v>63</v>
      </c>
      <c r="L18" s="13" t="s">
        <v>5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U2025</v>
      </c>
      <c r="C19" s="31">
        <f t="shared" si="3"/>
        <v>60</v>
      </c>
      <c r="D19" s="32" t="s">
        <v>758</v>
      </c>
      <c r="E19" s="33">
        <v>2</v>
      </c>
      <c r="F19" s="36">
        <v>37</v>
      </c>
      <c r="G19" s="36">
        <v>35</v>
      </c>
      <c r="H19" s="38" t="str">
        <f t="shared" si="8"/>
        <v>SCOUTING</v>
      </c>
      <c r="I19" s="34">
        <v>251</v>
      </c>
      <c r="J19" s="13" t="s">
        <v>4</v>
      </c>
      <c r="K19" s="13" t="s">
        <v>62</v>
      </c>
      <c r="L19" s="13" t="s">
        <v>6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>U2025</v>
      </c>
      <c r="C87" s="31">
        <f t="shared" si="14"/>
        <v>60</v>
      </c>
      <c r="D87" s="32"/>
      <c r="E87" s="33"/>
      <c r="F87" s="36"/>
      <c r="G87" s="36"/>
      <c r="H87" s="38" t="str">
        <f t="shared" si="16"/>
        <v>SCOUTING</v>
      </c>
      <c r="I87" s="34">
        <v>19</v>
      </c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>U2025</v>
      </c>
      <c r="C88" s="31">
        <f t="shared" si="14"/>
        <v>60</v>
      </c>
      <c r="D88" s="32"/>
      <c r="E88" s="33"/>
      <c r="F88" s="36"/>
      <c r="G88" s="36"/>
      <c r="H88" s="38" t="str">
        <f t="shared" si="16"/>
        <v>SCOUTING</v>
      </c>
      <c r="I88" s="34">
        <v>96</v>
      </c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>U2025</v>
      </c>
      <c r="C89" s="31">
        <f t="shared" si="14"/>
        <v>60</v>
      </c>
      <c r="D89" s="32"/>
      <c r="E89" s="33"/>
      <c r="F89" s="36"/>
      <c r="G89" s="36"/>
      <c r="H89" s="38" t="str">
        <f t="shared" si="16"/>
        <v>SCOUTING</v>
      </c>
      <c r="I89" s="34">
        <v>251</v>
      </c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REPORT_U2025060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"U2025060"</v>
      </c>
      <c r="F3" s="45" t="str">
        <f t="shared" ref="F3:F16" si="0">""""&amp;B3&amp;"""" &amp; " : " &amp;C3&amp;","</f>
        <v>"name" : "U2025060",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"U060"</v>
      </c>
      <c r="F4" s="45" t="str">
        <f t="shared" si="0"/>
        <v>"cod" : "U060",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060</v>
      </c>
      <c r="F6" s="45" t="str">
        <f t="shared" si="0"/>
        <v>"number" : 060,</v>
      </c>
    </row>
    <row r="7" spans="2:6" x14ac:dyDescent="0.2">
      <c r="B7" s="43" t="s">
        <v>116</v>
      </c>
      <c r="C7" s="43" t="str">
        <f ca="1">""""&amp;TEXT('SCOUT &amp; LOGISTICS'!B3,"dd/mm/aaaa")&amp;""""</f>
        <v>"04/11/Tuesday"</v>
      </c>
      <c r="F7" s="45" t="str">
        <f t="shared" ca="1" si="0"/>
        <v>"date" : "04/11/Tuesday",</v>
      </c>
    </row>
    <row r="8" spans="2:6" x14ac:dyDescent="0.2">
      <c r="B8" s="43" t="s">
        <v>125</v>
      </c>
      <c r="C8" s="43" t="str">
        <f>""""&amp;'SCOUT &amp; LOGISTICS'!D4 &amp;""""</f>
        <v>"Turk Telekom Ankara"</v>
      </c>
      <c r="F8" s="45" t="str">
        <f t="shared" si="0"/>
        <v>"home_team" : "Turk Telekom Ankara",</v>
      </c>
    </row>
    <row r="9" spans="2:6" x14ac:dyDescent="0.2">
      <c r="B9" s="43" t="s">
        <v>126</v>
      </c>
      <c r="C9" s="43" t="str">
        <f>""""&amp;'SCOUT &amp; LOGISTICS'!D5&amp;""""</f>
        <v>"Panionios Athens"</v>
      </c>
      <c r="F9" s="45" t="str">
        <f t="shared" si="0"/>
        <v>"away_team" : "Panionios Athens",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"KUTLUATA, CAN"</v>
      </c>
      <c r="F10" s="45" t="str">
        <f t="shared" si="0"/>
        <v>"Data_entry" : "KUTLUATA, CAN",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"AKAR, MERIC"</v>
      </c>
      <c r="F11" s="45" t="str">
        <f t="shared" si="0"/>
        <v>"Caller_1" : "AKAR, MERIC",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"ASLAN, FATIH"</v>
      </c>
      <c r="F12" s="45" t="str">
        <f t="shared" si="0"/>
        <v>"Caller_2" : "ASLAN, FATIH",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"SUNGUR, ALI MURAT"</v>
      </c>
      <c r="F13" s="45" t="str">
        <f t="shared" si="0"/>
        <v>"Timerkeeper" : "SUNGUR, ALI MURAT",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"DEMIRCI, FATIH"</v>
      </c>
      <c r="F14" s="45" t="str">
        <f t="shared" si="0"/>
        <v>"Shotclock" : "DEMIRCI, FATIH",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559</v>
      </c>
      <c r="F25" s="45" t="str">
        <f t="shared" ref="F25:F48" si="1">""""&amp;C25&amp;"""" &amp; " : " &amp;D25&amp;","</f>
        <v>"total_actions" : 559,</v>
      </c>
    </row>
    <row r="26" spans="2:6" x14ac:dyDescent="0.2">
      <c r="C26" s="43" t="s">
        <v>132</v>
      </c>
      <c r="D26" s="43">
        <f>'SCOUT &amp; LOGISTICS'!F3</f>
        <v>6</v>
      </c>
      <c r="F26" s="45" t="str">
        <f t="shared" si="1"/>
        <v>"total_correcions" : 6,</v>
      </c>
    </row>
    <row r="27" spans="2:6" x14ac:dyDescent="0.2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"Good job. "</v>
      </c>
      <c r="F51" s="45" t="str">
        <f>""""&amp;B51&amp;"""" &amp; " : " &amp;C51&amp;","</f>
        <v>"comments" : "Good job. ",</v>
      </c>
    </row>
    <row r="52" spans="2:6" x14ac:dyDescent="0.2">
      <c r="B52" s="43" t="s">
        <v>153</v>
      </c>
      <c r="C52" s="43" t="str">
        <f>TEXT('SCOUT &amp; LOGISTICS'!F1,"0,0")</f>
        <v>06_060_TTK_NIO_U2025</v>
      </c>
      <c r="F52" s="45" t="str">
        <f>""""&amp;B52&amp;"""" &amp; " : " &amp;C52</f>
        <v>"result" : 06_060_TTK_NIO_U2025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U060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04/11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Turk Telekom Ankara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Panionios Athens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KUTLUATA, CAN</v>
      </c>
      <c r="C8" s="201"/>
      <c r="D8" s="201"/>
      <c r="E8" s="201"/>
      <c r="F8" s="201"/>
      <c r="G8" s="201" t="str">
        <f>IF('SCOUT &amp; LOGISTICS'!D7="","",'SCOUT &amp; LOGISTICS'!D7)</f>
        <v>AKAR, MERIC</v>
      </c>
      <c r="H8" s="201"/>
      <c r="I8" s="201"/>
      <c r="J8" s="201"/>
      <c r="K8" s="201"/>
      <c r="L8" s="201" t="str">
        <f>IF('SCOUT &amp; LOGISTICS'!D8="","",'SCOUT &amp; LOGISTICS'!D8)</f>
        <v>ASLAN, FATIH</v>
      </c>
      <c r="M8" s="201"/>
      <c r="N8" s="201"/>
      <c r="O8" s="201"/>
      <c r="P8" s="201"/>
      <c r="Q8" s="201" t="str">
        <f>IF('SCOUT &amp; LOGISTICS'!D9="","",'SCOUT &amp; LOGISTICS'!D9)</f>
        <v>SUNGUR, ALI MURAT</v>
      </c>
      <c r="R8" s="201"/>
      <c r="S8" s="201"/>
      <c r="T8" s="201"/>
      <c r="U8" s="201"/>
      <c r="V8" s="201" t="str">
        <f>IF('SCOUT &amp; LOGISTICS'!D10="","",'SCOUT &amp; LOGISTICS'!D10)</f>
        <v>DEMIRCI, FATIH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559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6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1.0733452593917709E-2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2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3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 xml:space="preserve">Good job. 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5.0733452593917709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6142F62-B077-4525-932F-5442CF8B316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2025-11-04T18:12:58Z</cp:lastPrinted>
  <dcterms:created xsi:type="dcterms:W3CDTF">2023-09-19T19:50:35Z</dcterms:created>
  <dcterms:modified xsi:type="dcterms:W3CDTF">2025-11-04T18:15:45Z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