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173" documentId="8_{0870D681-A172-4866-B8D1-7C2E2753883D}" xr6:coauthVersionLast="47" xr6:coauthVersionMax="47" xr10:uidLastSave="{AC5DA45C-4559-48CF-A342-2DFA174FE84B}"/>
  <bookViews>
    <workbookView xWindow="-110" yWindow="-110" windowWidth="19420" windowHeight="1030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<sst xmlns="http://schemas.openxmlformats.org/spreadsheetml/2006/main" count="3325" uniqueCount="774">
  <si>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</si>
  <si>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</si>
  <si>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</si>
  <si>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</si>
  <si>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</si>
  <si>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</si>
  <si>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</si>
  <si>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</si>
  <si>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</si>
  <si>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</si>
  <si>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</si>
  <si>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</si>
  <si>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</si>
  <si>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</si>
  <si>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</si>
  <si>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</si>
  <si>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</si>
  <si>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</si>
  <si>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</si>
  <si>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</si>
  <si>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</si>
  <si>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</si>
  <si>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</si>
  <si>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</si>
  <si>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</si>
  <si>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</si>
  <si>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</si>
  <si>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</si>
  <si>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</si>
  <si>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</si>
  <si>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</si>
  <si>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</si>
  <si>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</si>
  <si>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</si>
  <si>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</si>
  <si>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</si>
  <si>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</si>
  <si>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</si>
  <si>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</si>
  <si>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</si>
  <si>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</si>
  <si>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</si>
  <si>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</si>
  <si>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</si>
  <si>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</si>
  <si>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</si>
  <si>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</si>
  <si>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</si>
  <si>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</si>
  <si>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</si>
  <si>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</si>
  <si>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</si>
  <si>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</si>
  <si>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</si>
  <si>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</si>
  <si>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</si>
  <si>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</si>
  <si>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</si>
  <si>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</si>
  <si>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</si>
  <si>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</si>
  <si>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</si>
  <si>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</si>
  <si>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</si>
  <si>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</si>
  <si>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</si>
  <si>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</si>
  <si>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</si>
  <si>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</si>
  <si>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</si>
  <si>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</si>
  <si>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</si>
  <si>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</si>
  <si>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</si>
  <si>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</si>
  <si>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</si>
  <si>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</si>
  <si>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</si>
  <si>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</si>
  <si>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</si>
  <si>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</si>
  <si>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</si>
  <si>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</si>
  <si>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</si>
  <si>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</si>
  <si>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</si>
  <si>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</si>
  <si>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</si>
  <si>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</si>
  <si>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</si>
  <si>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</si>
  <si>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</si>
  <si>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</si>
  <si>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</si>
  <si>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</si>
  <si>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</si>
  <si>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</si>
  <si>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</si>
  <si>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</si>
  <si>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</si>
  <si>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</si>
  <si>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</si>
  <si>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</si>
  <si>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</si>
  <si>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</si>
  <si>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</si>
  <si>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</si>
  <si>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</si>
  <si>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</si>
  <si>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</si>
  <si>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</si>
  <si>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</si>
  <si>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</si>
  <si>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</si>
  <si>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</si>
  <si>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</si>
  <si>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</si>
  <si>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</si>
  <si>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</si>
  <si>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</si>
  <si>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</si>
  <si>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</si>
  <si>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</si>
  <si>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</si>
  <si>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</si>
  <si>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</si>
  <si>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</si>
  <si>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</si>
  <si>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</si>
  <si>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</si>
  <si>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</si>
  <si>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</si>
  <si>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</si>
  <si>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</si>
  <si>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</si>
  <si>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</si>
  <si>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</si>
  <si>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</si>
  <si>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</si>
  <si>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</si>
  <si>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</si>
  <si>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</si>
  <si>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</si>
  <si>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</si>
  <si>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</si>
  <si>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</si>
  <si>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</si>
  <si>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</si>
  <si>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</si>
  <si>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</si>
  <si>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</si>
  <si>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</si>
  <si>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</si>
  <si>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</si>
  <si>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</si>
  <si>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</si>
  <si>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</si>
  <si>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</si>
  <si>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</si>
  <si>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</si>
  <si>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</si>
  <si>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</si>
  <si>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</si>
  <si>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</si>
  <si>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</si>
  <si>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</si>
  <si>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</si>
  <si>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</si>
  <si>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</si>
  <si>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</si>
  <si>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</si>
  <si>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</si>
  <si>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</si>
  <si>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</si>
  <si>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</si>
  <si>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</si>
  <si>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</si>
  <si>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</si>
  <si>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</si>
  <si>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</si>
  <si>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</si>
  <si>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</si>
  <si>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</si>
  <si>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</si>
  <si>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</si>
  <si>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</si>
  <si>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</si>
  <si>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</si>
  <si>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</si>
  <si>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</si>
  <si>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</si>
  <si>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</si>
  <si>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</si>
  <si>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</si>
  <si>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</si>
  <si>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</si>
  <si>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</si>
  <si>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</si>
  <si>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</si>
  <si>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</si>
  <si>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</si>
  <si>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</si>
  <si>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</si>
  <si>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</si>
  <si>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</si>
  <si>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</si>
  <si>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</si>
  <si>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</si>
  <si>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</si>
  <si>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</si>
  <si>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</si>
  <si>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</si>
  <si>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</si>
  <si>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</si>
  <si>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</si>
  <si>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</si>
  <si>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</si>
  <si>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</si>
  <si>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</si>
  <si>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</si>
  <si>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</si>
  <si>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</si>
  <si>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</si>
  <si>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</si>
  <si>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</si>
  <si>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</si>
  <si>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</si>
  <si>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</si>
  <si>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</si>
  <si>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</si>
  <si>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</si>
  <si>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</si>
  <si>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</si>
  <si>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</si>
  <si>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</si>
  <si>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</si>
  <si>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</si>
  <si>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</si>
  <si>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</si>
  <si>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</si>
  <si>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</si>
  <si>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</si>
  <si>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</si>
  <si>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</si>
  <si>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</si>
  <si>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</si>
  <si>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</si>
  <si>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</si>
  <si>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</si>
  <si>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</si>
  <si>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</si>
  <si>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</si>
  <si>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</si>
  <si>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</si>
  <si>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</si>
  <si>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</si>
  <si>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</si>
  <si>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</si>
  <si>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</si>
  <si>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</si>
  <si>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</si>
  <si>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</si>
  <si>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</si>
  <si>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</si>
  <si>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</si>
  <si>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</si>
  <si>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</si>
  <si>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</si>
  <si>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</si>
  <si>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</si>
  <si>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</si>
  <si>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</si>
  <si>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</si>
  <si>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</si>
  <si>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</si>
  <si>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</si>
  <si>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</si>
  <si>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</si>
  <si>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</si>
  <si>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</si>
  <si>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</si>
  <si>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</si>
  <si>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</si>
  <si>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</si>
  <si>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</si>
  <si>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</si>
  <si>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</si>
  <si>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</si>
  <si>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</si>
  <si>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</si>
  <si>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</si>
  <si>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</si>
  <si>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</si>
  <si>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</si>
  <si>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</si>
  <si>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</si>
  <si>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</si>
  <si>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</si>
  <si>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</si>
  <si>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</si>
  <si>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</si>
  <si>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</si>
  <si>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</si>
  <si>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</si>
  <si>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</si>
  <si>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</si>
  <si>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</si>
  <si>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</si>
  <si>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</si>
  <si>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</si>
  <si>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</si>
  <si>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</si>
  <si>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</si>
  <si>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</si>
  <si>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</si>
  <si>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</si>
  <si>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</si>
  <si>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</si>
  <si>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</si>
  <si>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</si>
  <si>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</si>
  <si>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</si>
  <si>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</si>
  <si>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</si>
  <si>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</si>
  <si>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</si>
  <si>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</si>
  <si>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</si>
  <si>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</si>
  <si>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</si>
  <si>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</si>
  <si>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</si>
  <si>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</si>
  <si>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</si>
  <si>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</si>
  <si>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</si>
  <si>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</si>
  <si>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</si>
  <si>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</si>
  <si>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</si>
  <si>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</si>
  <si>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</si>
  <si>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</si>
  <si>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</si>
  <si>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</si>
  <si>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</si>
  <si>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</si>
  <si>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</si>
  <si>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</si>
  <si>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</si>
  <si>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</si>
  <si>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</si>
  <si>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</si>
  <si>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</si>
  <si>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</si>
  <si>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</si>
  <si>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</si>
  <si>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</si>
  <si>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</si>
  <si>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</si>
  <si>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</si>
  <si>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</si>
  <si>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</si>
  <si>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</si>
  <si>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</si>
  <si>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</si>
  <si>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</si>
  <si>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</si>
  <si>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</si>
  <si>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</si>
  <si>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</si>
  <si>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</si>
  <si>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</si>
  <si>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</si>
  <si>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</si>
  <si>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</si>
  <si>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</si>
  <si>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</si>
  <si>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</si>
  <si>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</si>
  <si>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</si>
  <si>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</si>
  <si>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</si>
  <si>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</si>
  <si>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</si>
  <si>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</si>
  <si>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</si>
  <si>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</si>
  <si>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</si>
  <si>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</si>
  <si>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</si>
  <si>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</si>
  <si>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</si>
  <si>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</si>
  <si>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</si>
  <si>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</si>
  <si>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</si>
  <si>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</si>
  <si>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</si>
  <si>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</si>
  <si>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</si>
  <si>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</si>
  <si>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</si>
  <si>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</si>
  <si>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</si>
  <si>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</si>
  <si>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</si>
  <si>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</si>
  <si>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</si>
  <si>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</si>
  <si>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</si>
  <si>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</si>
  <si>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</si>
  <si>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</si>
  <si>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</si>
  <si>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</si>
  <si>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</si>
  <si>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</si>
  <si>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</si>
  <si>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</si>
  <si>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</si>
  <si>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</si>
  <si>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</si>
  <si>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</si>
  <si>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</si>
  <si>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</si>
  <si>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</si>
  <si>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</si>
  <si>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</si>
  <si>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</si>
  <si>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</si>
  <si>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</si>
  <si>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</si>
  <si>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</si>
  <si>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</si>
  <si>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</si>
  <si>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</si>
  <si>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</si>
  <si>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</si>
  <si>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</si>
  <si>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</si>
  <si>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</si>
  <si>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</si>
  <si>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</si>
  <si>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</si>
  <si>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</si>
  <si>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</si>
  <si>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</si>
  <si>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</si>
  <si>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</si>
  <si>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</si>
  <si>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</si>
  <si>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</si>
  <si>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</si>
  <si>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</si>
  <si>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</si>
  <si>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</si>
  <si>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</si>
  <si>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</si>
  <si>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</si>
  <si>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</si>
  <si>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</si>
  <si>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</si>
  <si>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</si>
  <si>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</si>
  <si>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</si>
  <si>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</si>
  <si>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</si>
  <si>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</si>
  <si>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</si>
  <si>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</si>
  <si>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</si>
  <si>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</si>
  <si>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</si>
  <si>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</si>
  <si>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</si>
  <si>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</si>
  <si>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</si>
  <si>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</si>
  <si>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</si>
  <si>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</si>
  <si>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</si>
  <si>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</si>
  <si>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</si>
  <si>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</si>
  <si>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</si>
  <si>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</si>
  <si>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</si>
  <si>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</si>
  <si>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</si>
  <si>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</si>
  <si>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</si>
  <si>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</si>
  <si>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</si>
  <si>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</si>
  <si>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</si>
  <si>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</si>
  <si>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</si>
  <si>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</si>
  <si>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</si>
  <si>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</si>
  <si>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</si>
  <si>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</si>
  <si>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</si>
  <si>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</si>
  <si>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</si>
  <si>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</si>
  <si>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</si>
  <si>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</si>
  <si>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</si>
  <si>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</si>
  <si>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</si>
  <si>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</si>
  <si>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</si>
  <si>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</si>
  <si>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</si>
  <si>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</si>
  <si>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</si>
  <si>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</si>
  <si>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</si>
  <si>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</si>
  <si>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</si>
  <si>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</si>
  <si>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</si>
  <si>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</si>
  <si>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</si>
  <si>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</si>
  <si>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</si>
  <si>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</si>
  <si>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</si>
  <si>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</si>
  <si>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</si>
  <si>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</si>
  <si>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</si>
  <si>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</si>
  <si>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</si>
  <si>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</si>
  <si>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</si>
  <si>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</si>
  <si>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</si>
  <si>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</si>
  <si>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</si>
  <si>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</si>
  <si>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</si>
  <si>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</si>
  <si>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</si>
  <si>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</si>
  <si>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</si>
  <si>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</si>
  <si>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</si>
  <si>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</si>
  <si>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</si>
  <si>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</si>
  <si>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</si>
  <si>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</si>
  <si>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</si>
  <si>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</si>
  <si>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</si>
  <si>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</si>
  <si>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</si>
  <si>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</si>
  <si>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</si>
  <si>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</si>
  <si>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</si>
  <si>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</si>
  <si>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</si>
  <si>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</si>
  <si>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</si>
  <si>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</si>
  <si>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</si>
  <si>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</si>
  <si>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</si>
  <si>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</si>
  <si>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</si>
  <si>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</si>
  <si>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</si>
  <si>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</si>
  <si>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</si>
  <si>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</si>
  <si>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</si>
  <si>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</si>
  <si>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</si>
  <si>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</si>
  <si>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</si>
  <si>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</si>
  <si>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</si>
  <si>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</si>
  <si>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</si>
  <si>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</si>
  <si>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</si>
  <si>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</si>
  <si>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</si>
  <si>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</si>
  <si>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</si>
  <si>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</si>
  <si>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</si>
  <si>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</si>
  <si>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</si>
  <si>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</si>
  <si>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</si>
  <si>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</si>
  <si>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</si>
  <si>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</si>
  <si>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</si>
  <si>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</si>
  <si>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</si>
  <si>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</si>
  <si>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</si>
  <si>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</si>
  <si>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</si>
  <si>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</si>
  <si>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</si>
  <si>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</si>
  <si>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</si>
  <si>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</si>
  <si>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</si>
  <si>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</si>
  <si>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</si>
  <si>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</si>
  <si>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</si>
  <si>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</si>
  <si>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</si>
  <si>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</si>
  <si>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</si>
  <si>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</si>
  <si>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</si>
  <si>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</si>
  <si>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</si>
  <si>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</si>
  <si>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</si>
  <si>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</si>
  <si>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</si>
  <si>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</si>
  <si>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</si>
  <si>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</si>
  <si>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</si>
  <si>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</si>
  <si>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</si>
  <si>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</si>
  <si>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</si>
  <si>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</si>
  <si>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</si>
  <si>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</si>
  <si>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</si>
  <si>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</si>
  <si>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</si>
  <si>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</si>
  <si>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</si>
  <si>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</si>
  <si>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</si>
  <si>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</si>
  <si>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</si>
  <si>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</si>
  <si>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</si>
  <si>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</si>
  <si>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</si>
  <si>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</si>
  <si>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</si>
  <si>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</si>
  <si>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</si>
  <si>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</si>
  <si>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</si>
  <si>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</si>
  <si>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</si>
  <si>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</si>
  <si>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</si>
  <si>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</si>
  <si>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</si>
  <si>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</si>
  <si>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</si>
  <si>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</si>
  <si>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</si>
  <si>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</si>
  <si>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</si>
  <si>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</si>
  <si>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</si>
  <si>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</si>
  <si>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</si>
  <si>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</si>
  <si>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</si>
  <si>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</si>
  <si>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</si>
  <si>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</si>
  <si>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</si>
  <si>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</si>
  <si>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</si>
  <si>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</si>
  <si>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</si>
  <si>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</si>
  <si>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</si>
  <si>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</si>
  <si>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</si>
  <si>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</si>
  <si>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</si>
  <si>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</si>
  <si>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</si>
  <si>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</si>
  <si>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</si>
  <si>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</si>
  <si>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</si>
  <si>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</si>
  <si>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</si>
  <si>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</si>
  <si>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</si>
  <si>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</si>
  <si>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</si>
  <si>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</si>
  <si>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</si>
  <si>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</si>
  <si>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</si>
  <si>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</si>
  <si>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</si>
  <si>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</si>
  <si>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</si>
  <si>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</si>
  <si>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</si>
  <si>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</si>
  <si>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</si>
  <si>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</si>
  <si>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</si>
  <si>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</si>
  <si>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</si>
  <si>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</si>
  <si>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</si>
  <si>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</si>
  <si>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</si>
  <si>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</si>
  <si>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</si>
  <si>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</si>
  <si>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</si>
  <si>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</si>
  <si>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</si>
  <si>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</si>
  <si>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</si>
  <si>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</si>
  <si>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</si>
  <si>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</si>
  <si>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</si>
  <si>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</si>
  <si>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</si>
  <si>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</si>
  <si>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</si>
  <si>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</si>
  <si>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</si>
  <si>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</si>
  <si>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</si>
  <si>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</si>
  <si>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</si>
  <si>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</si>
  <si>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</si>
  <si>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XAVI MATEU</t>
  </si>
  <si>
    <t>GIACOMO CAMPANELLA</t>
  </si>
  <si>
    <t>EDOARDO GAUDENZI</t>
  </si>
  <si>
    <t>MATTEO PAGLIARA</t>
  </si>
  <si>
    <t>LAURA PIOMBONI</t>
  </si>
  <si>
    <t>FRANCESCA DONNICI</t>
  </si>
  <si>
    <t>FEDERICO GRAZI</t>
  </si>
  <si>
    <t>03:31</t>
  </si>
  <si>
    <t>03:10</t>
  </si>
  <si>
    <t>02:44</t>
  </si>
  <si>
    <t>08:46</t>
  </si>
  <si>
    <t>08:35</t>
  </si>
  <si>
    <t>05:39</t>
  </si>
  <si>
    <t>03:42</t>
  </si>
  <si>
    <t>03:38</t>
  </si>
  <si>
    <t>02:32</t>
  </si>
  <si>
    <t>00:56</t>
  </si>
  <si>
    <t>07:46</t>
  </si>
  <si>
    <t>08:12</t>
  </si>
  <si>
    <t>02:47</t>
  </si>
  <si>
    <t>C:\Users\xavi.mateu\OneDrive - EUROLEAGUE\Documents</t>
  </si>
  <si>
    <t>01:46</t>
  </si>
  <si>
    <t>02:25</t>
  </si>
  <si>
    <t>Try to better identify the players who lose or steal the ball. I got the impression that sometimes you didn’t credit the steal to the player who made the deflection. When recording a technical foul, remember that there are three options: C, B, and T. It doesn’t affect the game if you make a mistake, but we’ll have to spend time correcting it. Lastly, there was a free throw violation situation. Since the jumpball players are random, we record a team rebound. If there is some technical problem with the scoreboard, tell us always.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</si>
</sst>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4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7" fillId="0" borderId="0" xfId="0" applyFont="1" applyProtection="1">
      <protection locked="0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30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06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06_060_VIR_PAN_E2025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770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60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45954.833333333336</v>
      </c>
      <c r="C3" s="157"/>
      <c r="D3" s="39">
        <v>574</v>
      </c>
      <c r="E3" s="29"/>
      <c r="F3" s="26">
        <f>SUBTOTAL(3,I17:I106)</f>
        <v>16</v>
      </c>
      <c r="G3" s="27">
        <f>IF(OR(D3="",D3=0),"",F3/D3)</f>
        <v>2.7874564459930314E-2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Virtus Bologna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VIR</v>
      </c>
      <c r="I4" s="5"/>
      <c r="J4" s="119" t="s">
        <v>714</v>
      </c>
      <c r="K4" s="54" t="s">
        <v>743</v>
      </c>
      <c r="L4" s="5"/>
      <c r="M4" s="167" t="s">
        <v>773</v>
      </c>
      <c r="N4" s="168"/>
      <c r="O4" s="2"/>
      <c r="P4" s="2"/>
      <c r="Q4" s="84" t="s">
        <v>175</v>
      </c>
      <c r="R4" s="94">
        <f>(IF(G3="",0,G3))</f>
        <v>2.7874564459930314E-2</v>
      </c>
      <c r="S4" s="61">
        <f>SUM(I13:M13)</f>
        <v>0</v>
      </c>
      <c r="T4" s="78"/>
      <c r="U4" s="61">
        <f>AC18</f>
        <v>10</v>
      </c>
      <c r="V4" s="61">
        <f>+AC22</f>
        <v>4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2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Panathinaikos AKTOR Athens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PAN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2.7874564459930316</v>
      </c>
      <c r="S5" s="70">
        <f t="shared" ref="S5" si="0">S4*S3</f>
        <v>0</v>
      </c>
      <c r="T5" s="92"/>
      <c r="U5" s="70">
        <f t="shared" ref="U5:AG5" si="1">U4*U3</f>
        <v>5</v>
      </c>
      <c r="V5" s="70">
        <f t="shared" si="1"/>
        <v>4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751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752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16.78745644599303</v>
      </c>
      <c r="N7" s="58"/>
      <c r="O7" s="2"/>
      <c r="P7" s="2"/>
      <c r="Q7" s="86">
        <f>SUM(R5,S5,AC16)</f>
        <v>16.78745644599303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753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16.78745644599303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754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755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756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60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750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16</v>
      </c>
      <c r="J15" s="24">
        <f>SUBTOTAL(3,J17:J106)</f>
        <v>16</v>
      </c>
      <c r="K15" s="24">
        <f>SUBTOTAL(3,K17:K106)</f>
        <v>16</v>
      </c>
      <c r="L15" s="24">
        <f>SUBTOTAL(3,L17:L106)</f>
        <v>16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16</v>
      </c>
      <c r="Z16" s="90" t="s">
        <v>110</v>
      </c>
      <c r="AA16" s="75">
        <f>SUM(AA17:AA24)</f>
        <v>16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14</v>
      </c>
      <c r="AD16" s="75">
        <f>SUM(AD17:AD24)</f>
        <v>45</v>
      </c>
      <c r="AE16" s="76" t="s">
        <v>42</v>
      </c>
      <c r="AF16" s="75">
        <f>SUM(AF17:AF24)</f>
        <v>9</v>
      </c>
      <c r="AG16" s="75">
        <f>SUM(AG17:AG21)</f>
        <v>16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60</v>
      </c>
      <c r="D17" s="32" t="s">
        <v>757</v>
      </c>
      <c r="E17" s="33">
        <v>1</v>
      </c>
      <c r="F17" s="36">
        <v>12</v>
      </c>
      <c r="G17" s="36">
        <v>8</v>
      </c>
      <c r="H17" s="38" t="str">
        <f>IF(I17="","",$I$14)</f>
        <v>SCOUTING</v>
      </c>
      <c r="I17" s="34">
        <v>71</v>
      </c>
      <c r="J17" s="13" t="s">
        <v>4</v>
      </c>
      <c r="K17" s="13" t="s">
        <v>63</v>
      </c>
      <c r="L17" s="13" t="s">
        <v>6</v>
      </c>
      <c r="M17" s="13" t="s">
        <v>10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16</v>
      </c>
      <c r="Z17" s="105" t="s">
        <v>63</v>
      </c>
      <c r="AA17" s="62">
        <f>COUNTIF($K$17:$K$106,Z17)</f>
        <v>7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5</v>
      </c>
      <c r="AG17" s="62">
        <f>COUNTIF($E$17:$E$106,$AK17)</f>
        <v>3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60</v>
      </c>
      <c r="D18" s="32" t="s">
        <v>758</v>
      </c>
      <c r="E18" s="33">
        <v>1</v>
      </c>
      <c r="F18" s="36">
        <v>14</v>
      </c>
      <c r="G18" s="36">
        <v>10</v>
      </c>
      <c r="H18" s="38" t="str">
        <f t="shared" ref="H18:H81" si="8">IF(I18="","",$I$14)</f>
        <v>SCOUTING</v>
      </c>
      <c r="I18" s="34">
        <v>79</v>
      </c>
      <c r="J18" s="13" t="s">
        <v>4</v>
      </c>
      <c r="K18" s="13" t="s">
        <v>62</v>
      </c>
      <c r="L18" s="13" t="s">
        <v>5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8</v>
      </c>
      <c r="AB18" s="66" t="s">
        <v>5</v>
      </c>
      <c r="AC18" s="61">
        <f t="shared" si="5"/>
        <v>10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8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60</v>
      </c>
      <c r="D19" s="32" t="s">
        <v>759</v>
      </c>
      <c r="E19" s="33">
        <v>1</v>
      </c>
      <c r="F19" s="36">
        <v>14</v>
      </c>
      <c r="G19" s="36">
        <v>10</v>
      </c>
      <c r="H19" s="38" t="str">
        <f t="shared" si="8"/>
        <v>SCOUTING</v>
      </c>
      <c r="I19" s="34">
        <v>81</v>
      </c>
      <c r="J19" s="13" t="s">
        <v>4</v>
      </c>
      <c r="K19" s="13" t="s">
        <v>63</v>
      </c>
      <c r="L19" s="13" t="s">
        <v>5</v>
      </c>
      <c r="M19" s="13" t="s">
        <v>9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1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4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60</v>
      </c>
      <c r="D20" s="32" t="s">
        <v>760</v>
      </c>
      <c r="E20" s="33">
        <v>2</v>
      </c>
      <c r="F20" s="36">
        <v>22</v>
      </c>
      <c r="G20" s="36">
        <v>18</v>
      </c>
      <c r="H20" s="38" t="str">
        <f t="shared" si="8"/>
        <v>SCOUTING</v>
      </c>
      <c r="I20" s="34">
        <v>149</v>
      </c>
      <c r="J20" s="13" t="s">
        <v>4</v>
      </c>
      <c r="K20" s="13" t="s">
        <v>62</v>
      </c>
      <c r="L20" s="13" t="s">
        <v>6</v>
      </c>
      <c r="M20" s="13" t="s">
        <v>168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3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E2025</v>
      </c>
      <c r="C21" s="31">
        <f t="shared" si="3"/>
        <v>60</v>
      </c>
      <c r="D21" s="32" t="s">
        <v>761</v>
      </c>
      <c r="E21" s="33">
        <v>2</v>
      </c>
      <c r="F21" s="36">
        <v>24</v>
      </c>
      <c r="G21" s="36">
        <v>18</v>
      </c>
      <c r="H21" s="38" t="str">
        <f t="shared" si="8"/>
        <v>SCOUTING</v>
      </c>
      <c r="I21" s="34">
        <v>150</v>
      </c>
      <c r="J21" s="13" t="s">
        <v>4</v>
      </c>
      <c r="K21" s="13" t="s">
        <v>62</v>
      </c>
      <c r="L21" s="13" t="s">
        <v>5</v>
      </c>
      <c r="M21" s="13" t="s">
        <v>11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E2025</v>
      </c>
      <c r="C22" s="31">
        <f t="shared" si="3"/>
        <v>60</v>
      </c>
      <c r="D22" s="32" t="s">
        <v>762</v>
      </c>
      <c r="E22" s="33">
        <v>2</v>
      </c>
      <c r="F22" s="36">
        <v>32</v>
      </c>
      <c r="G22" s="36">
        <v>25</v>
      </c>
      <c r="H22" s="38" t="str">
        <f t="shared" si="8"/>
        <v>SCOUTING</v>
      </c>
      <c r="I22" s="34">
        <v>195</v>
      </c>
      <c r="J22" s="13" t="s">
        <v>4</v>
      </c>
      <c r="K22" s="13" t="s">
        <v>61</v>
      </c>
      <c r="L22" s="13" t="s">
        <v>7</v>
      </c>
      <c r="M22" s="13" t="s">
        <v>38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4</v>
      </c>
      <c r="AD22" s="61">
        <f t="shared" si="6"/>
        <v>1</v>
      </c>
      <c r="AE22" s="66" t="s">
        <v>167</v>
      </c>
      <c r="AF22" s="65">
        <f t="shared" si="7"/>
        <v>1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>E2025</v>
      </c>
      <c r="C23" s="31">
        <f t="shared" si="3"/>
        <v>60</v>
      </c>
      <c r="D23" s="32" t="s">
        <v>763</v>
      </c>
      <c r="E23" s="33">
        <v>2</v>
      </c>
      <c r="F23" s="36">
        <v>36</v>
      </c>
      <c r="G23" s="36">
        <v>29</v>
      </c>
      <c r="H23" s="38" t="str">
        <f t="shared" si="8"/>
        <v>SCOUTING</v>
      </c>
      <c r="I23" s="34">
        <v>220</v>
      </c>
      <c r="J23" s="13" t="s">
        <v>4</v>
      </c>
      <c r="K23" s="13" t="s">
        <v>62</v>
      </c>
      <c r="L23" s="13" t="s">
        <v>5</v>
      </c>
      <c r="M23" s="13" t="s">
        <v>10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2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>E2025</v>
      </c>
      <c r="C24" s="31">
        <f t="shared" si="3"/>
        <v>60</v>
      </c>
      <c r="D24" s="32" t="s">
        <v>764</v>
      </c>
      <c r="E24" s="33">
        <v>2</v>
      </c>
      <c r="F24" s="36">
        <v>36</v>
      </c>
      <c r="G24" s="36">
        <v>29</v>
      </c>
      <c r="H24" s="38" t="str">
        <f t="shared" si="8"/>
        <v>SCOUTING</v>
      </c>
      <c r="I24" s="34">
        <v>222</v>
      </c>
      <c r="J24" s="13" t="s">
        <v>4</v>
      </c>
      <c r="K24" s="13" t="s">
        <v>62</v>
      </c>
      <c r="L24" s="13" t="s">
        <v>6</v>
      </c>
      <c r="M24" s="13" t="s">
        <v>28</v>
      </c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>E2025</v>
      </c>
      <c r="C25" s="31">
        <f t="shared" si="3"/>
        <v>60</v>
      </c>
      <c r="D25" s="32" t="s">
        <v>765</v>
      </c>
      <c r="E25" s="33">
        <v>2</v>
      </c>
      <c r="F25" s="213">
        <v>38</v>
      </c>
      <c r="G25" s="36">
        <v>29</v>
      </c>
      <c r="H25" s="38" t="str">
        <f t="shared" si="8"/>
        <v>SCOUTING</v>
      </c>
      <c r="I25" s="34">
        <v>238</v>
      </c>
      <c r="J25" s="13" t="s">
        <v>4</v>
      </c>
      <c r="K25" s="13" t="s">
        <v>63</v>
      </c>
      <c r="L25" s="13" t="s">
        <v>5</v>
      </c>
      <c r="M25" s="13" t="s">
        <v>10</v>
      </c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>E2025</v>
      </c>
      <c r="C26" s="31">
        <f t="shared" si="3"/>
        <v>60</v>
      </c>
      <c r="D26" s="32" t="s">
        <v>766</v>
      </c>
      <c r="E26" s="33">
        <v>2</v>
      </c>
      <c r="F26" s="36">
        <v>45</v>
      </c>
      <c r="G26" s="36">
        <v>33</v>
      </c>
      <c r="H26" s="38" t="str">
        <f t="shared" si="8"/>
        <v>SCOUTING</v>
      </c>
      <c r="I26" s="34">
        <v>264</v>
      </c>
      <c r="J26" s="13" t="s">
        <v>4</v>
      </c>
      <c r="K26" s="13" t="s">
        <v>62</v>
      </c>
      <c r="L26" s="13" t="s">
        <v>5</v>
      </c>
      <c r="M26" s="13" t="s">
        <v>10</v>
      </c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>E2025</v>
      </c>
      <c r="C27" s="31">
        <f t="shared" si="3"/>
        <v>60</v>
      </c>
      <c r="D27" s="32" t="s">
        <v>767</v>
      </c>
      <c r="E27" s="33">
        <v>2</v>
      </c>
      <c r="F27" s="36">
        <v>24</v>
      </c>
      <c r="G27" s="36">
        <v>21</v>
      </c>
      <c r="H27" s="38" t="str">
        <f t="shared" si="8"/>
        <v>SCOUTING</v>
      </c>
      <c r="I27" s="34">
        <v>158</v>
      </c>
      <c r="J27" s="13" t="s">
        <v>4</v>
      </c>
      <c r="K27" s="13" t="s">
        <v>62</v>
      </c>
      <c r="L27" s="13" t="s">
        <v>7</v>
      </c>
      <c r="M27" s="13" t="s">
        <v>167</v>
      </c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>E2025</v>
      </c>
      <c r="C28" s="31">
        <f t="shared" si="3"/>
        <v>60</v>
      </c>
      <c r="D28" s="32" t="s">
        <v>768</v>
      </c>
      <c r="E28" s="33">
        <v>3</v>
      </c>
      <c r="F28" s="36">
        <v>50</v>
      </c>
      <c r="G28" s="36">
        <v>38</v>
      </c>
      <c r="H28" s="38" t="str">
        <f t="shared" si="8"/>
        <v>SCOUTING</v>
      </c>
      <c r="I28" s="34">
        <v>304</v>
      </c>
      <c r="J28" s="13" t="s">
        <v>4</v>
      </c>
      <c r="K28" s="13" t="s">
        <v>63</v>
      </c>
      <c r="L28" s="13" t="s">
        <v>6</v>
      </c>
      <c r="M28" s="13" t="s">
        <v>168</v>
      </c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>E2025</v>
      </c>
      <c r="C29" s="31">
        <f t="shared" si="3"/>
        <v>60</v>
      </c>
      <c r="D29" s="32" t="s">
        <v>768</v>
      </c>
      <c r="E29" s="33">
        <v>3</v>
      </c>
      <c r="F29" s="36">
        <v>50</v>
      </c>
      <c r="G29" s="36">
        <v>40</v>
      </c>
      <c r="H29" s="38" t="str">
        <f t="shared" si="8"/>
        <v>SCOUTING</v>
      </c>
      <c r="I29" s="34">
        <v>307</v>
      </c>
      <c r="J29" s="13" t="s">
        <v>4</v>
      </c>
      <c r="K29" s="13" t="s">
        <v>63</v>
      </c>
      <c r="L29" s="13" t="s">
        <v>5</v>
      </c>
      <c r="M29" s="13" t="s">
        <v>11</v>
      </c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>E2025</v>
      </c>
      <c r="C30" s="31">
        <f t="shared" si="3"/>
        <v>60</v>
      </c>
      <c r="D30" s="32" t="s">
        <v>769</v>
      </c>
      <c r="E30" s="33">
        <v>3</v>
      </c>
      <c r="F30" s="36">
        <v>62</v>
      </c>
      <c r="G30" s="36">
        <v>47</v>
      </c>
      <c r="H30" s="38" t="str">
        <f t="shared" si="8"/>
        <v>SCOUTING</v>
      </c>
      <c r="I30" s="34">
        <v>404</v>
      </c>
      <c r="J30" s="13" t="s">
        <v>4</v>
      </c>
      <c r="K30" s="13" t="s">
        <v>62</v>
      </c>
      <c r="L30" s="13" t="s">
        <v>5</v>
      </c>
      <c r="M30" s="13" t="s">
        <v>168</v>
      </c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>E2025</v>
      </c>
      <c r="C31" s="31">
        <f t="shared" si="3"/>
        <v>60</v>
      </c>
      <c r="D31" s="32" t="s">
        <v>771</v>
      </c>
      <c r="E31" s="33">
        <v>3</v>
      </c>
      <c r="F31" s="36">
        <v>65</v>
      </c>
      <c r="G31" s="36">
        <v>50</v>
      </c>
      <c r="H31" s="38" t="str">
        <f t="shared" si="8"/>
        <v>SCOUTING</v>
      </c>
      <c r="I31" s="34">
        <v>422</v>
      </c>
      <c r="J31" s="13" t="s">
        <v>4</v>
      </c>
      <c r="K31" s="13" t="s">
        <v>63</v>
      </c>
      <c r="L31" s="13" t="s">
        <v>5</v>
      </c>
      <c r="M31" s="13" t="s">
        <v>11</v>
      </c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>E2025</v>
      </c>
      <c r="C32" s="31">
        <f t="shared" si="3"/>
        <v>60</v>
      </c>
      <c r="D32" s="32" t="s">
        <v>772</v>
      </c>
      <c r="E32" s="33">
        <v>4</v>
      </c>
      <c r="F32" s="36">
        <v>84</v>
      </c>
      <c r="G32" s="36">
        <v>68</v>
      </c>
      <c r="H32" s="38" t="str">
        <f t="shared" si="8"/>
        <v>SCOUTING</v>
      </c>
      <c r="I32" s="34">
        <v>542</v>
      </c>
      <c r="J32" s="13" t="s">
        <v>4</v>
      </c>
      <c r="K32" s="13" t="s">
        <v>63</v>
      </c>
      <c r="L32" s="13" t="s">
        <v>5</v>
      </c>
      <c r="M32" s="13" t="s">
        <v>11</v>
      </c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4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1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REPORT_E2025060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"E2025060"</v>
      </c>
      <c r="F3" s="45" t="str">
        <f t="shared" ref="F3:F16" si="0">""""&amp;B3&amp;"""" &amp; " : " &amp;C3&amp;","</f>
        <v>"name" : "E2025060",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"E060"</v>
      </c>
      <c r="F4" s="45" t="str">
        <f t="shared" si="0"/>
        <v>"cod" : "E060",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060</v>
      </c>
      <c r="F6" s="45" t="str">
        <f t="shared" si="0"/>
        <v>"number" : 060,</v>
      </c>
    </row>
    <row r="7" spans="2:6" x14ac:dyDescent="0.25">
      <c r="B7" s="43" t="s">
        <v>116</v>
      </c>
      <c r="C7" s="43" t="str">
        <f ca="1">""""&amp;TEXT('SCOUT &amp; LOGISTICS'!B3,"dd/mm/aaaa")&amp;""""</f>
        <v>"24/10/Friday"</v>
      </c>
      <c r="F7" s="45" t="str">
        <f t="shared" ca="1" si="0"/>
        <v>"date" : "24/10/Friday",</v>
      </c>
    </row>
    <row r="8" spans="2:6" x14ac:dyDescent="0.25">
      <c r="B8" s="43" t="s">
        <v>125</v>
      </c>
      <c r="C8" s="43" t="str">
        <f>""""&amp;'SCOUT &amp; LOGISTICS'!D4 &amp;""""</f>
        <v>"Virtus Bologna"</v>
      </c>
      <c r="F8" s="45" t="str">
        <f t="shared" si="0"/>
        <v>"home_team" : "Virtus Bologna",</v>
      </c>
    </row>
    <row r="9" spans="2:6" x14ac:dyDescent="0.25">
      <c r="B9" s="43" t="s">
        <v>126</v>
      </c>
      <c r="C9" s="43" t="str">
        <f>""""&amp;'SCOUT &amp; LOGISTICS'!D5&amp;""""</f>
        <v>"Panathinaikos AKTOR Athens"</v>
      </c>
      <c r="F9" s="45" t="str">
        <f t="shared" si="0"/>
        <v>"away_team" : "Panathinaikos AKTOR Athens",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"GIACOMO CAMPANELLA"</v>
      </c>
      <c r="F10" s="45" t="str">
        <f t="shared" si="0"/>
        <v>"Data_entry" : "GIACOMO CAMPANELLA",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"EDOARDO GAUDENZI"</v>
      </c>
      <c r="F11" s="45" t="str">
        <f t="shared" si="0"/>
        <v>"Caller_1" : "EDOARDO GAUDENZI",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"MATTEO PAGLIARA"</v>
      </c>
      <c r="F12" s="45" t="str">
        <f t="shared" si="0"/>
        <v>"Caller_2" : "MATTEO PAGLIARA",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"LAURA PIOMBONI"</v>
      </c>
      <c r="F13" s="45" t="str">
        <f t="shared" si="0"/>
        <v>"Timerkeeper" : "LAURA PIOMBONI",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"FRANCESCA DONNICI"</v>
      </c>
      <c r="F14" s="45" t="str">
        <f t="shared" si="0"/>
        <v>"Shotclock" : "FRANCESCA DONNICI",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"FEDERICO GRAZI"</v>
      </c>
      <c r="F15" s="45" t="str">
        <f t="shared" si="0"/>
        <v>"IRS" : "FEDERICO GRAZI",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 MATEU"</v>
      </c>
      <c r="F16" s="45" t="str">
        <f t="shared" si="0"/>
        <v>"Live_Game_Manager" : "XAVI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574</v>
      </c>
      <c r="F25" s="45" t="str">
        <f t="shared" ref="F25:F48" si="1">""""&amp;C25&amp;"""" &amp; " : " &amp;D25&amp;","</f>
        <v>"total_actions" : 574,</v>
      </c>
    </row>
    <row r="26" spans="2:6" x14ac:dyDescent="0.25">
      <c r="C26" s="43" t="s">
        <v>132</v>
      </c>
      <c r="D26" s="43">
        <f>'SCOUT &amp; LOGISTICS'!F3</f>
        <v>16</v>
      </c>
      <c r="F26" s="45" t="str">
        <f t="shared" si="1"/>
        <v>"total_correcions" : 16,</v>
      </c>
    </row>
    <row r="27" spans="2:6" x14ac:dyDescent="0.25">
      <c r="C27" s="43" t="s">
        <v>133</v>
      </c>
      <c r="D27" s="43" t="str">
        <f>""""&amp;IF(OR(D25="",D25=0),"",TEXT(D26/D25,"0,0%"))&amp;""""</f>
        <v>"03%"</v>
      </c>
      <c r="F27" s="45" t="str">
        <f t="shared" si="1"/>
        <v>"%_corrections" : "03%",</v>
      </c>
    </row>
    <row r="28" spans="2:6" x14ac:dyDescent="0.25">
      <c r="C28" s="43" t="s">
        <v>125</v>
      </c>
      <c r="D28" s="43">
        <f>IF('SCOUT &amp; LOGISTICS'!AA17="","",'SCOUT &amp; LOGISTICS'!AA17)</f>
        <v>7</v>
      </c>
      <c r="F28" s="45" t="str">
        <f t="shared" si="1"/>
        <v>"home_team" : 7,</v>
      </c>
    </row>
    <row r="29" spans="2:6" x14ac:dyDescent="0.25">
      <c r="C29" s="43" t="s">
        <v>134</v>
      </c>
      <c r="D29" s="43">
        <f>IF('SCOUT &amp; LOGISTICS'!AA18="","",'SCOUT &amp; LOGISTICS'!AA18)</f>
        <v>8</v>
      </c>
      <c r="F29" s="45" t="str">
        <f t="shared" si="1"/>
        <v>"no_team" : 8,</v>
      </c>
    </row>
    <row r="30" spans="2:6" x14ac:dyDescent="0.25">
      <c r="C30" s="43" t="s">
        <v>126</v>
      </c>
      <c r="D30" s="43">
        <f>IF('SCOUT &amp; LOGISTICS'!AA19="","",'SCOUT &amp; LOGISTICS'!AA19)</f>
        <v>1</v>
      </c>
      <c r="F30" s="45" t="str">
        <f t="shared" si="1"/>
        <v>"away_team" : 1,</v>
      </c>
    </row>
    <row r="31" spans="2:6" x14ac:dyDescent="0.25">
      <c r="C31" s="43" t="s">
        <v>135</v>
      </c>
      <c r="D31" s="43">
        <f>'SCOUT &amp; LOGISTICS'!AG17</f>
        <v>3</v>
      </c>
      <c r="F31" s="45" t="str">
        <f t="shared" si="1"/>
        <v>"q1" : 3,</v>
      </c>
    </row>
    <row r="32" spans="2:6" x14ac:dyDescent="0.25">
      <c r="C32" s="43" t="s">
        <v>136</v>
      </c>
      <c r="D32" s="43">
        <f>'SCOUT &amp; LOGISTICS'!AG18</f>
        <v>8</v>
      </c>
      <c r="F32" s="45" t="str">
        <f t="shared" si="1"/>
        <v>"q2" : 8,</v>
      </c>
    </row>
    <row r="33" spans="3:6" x14ac:dyDescent="0.25">
      <c r="C33" s="43" t="s">
        <v>137</v>
      </c>
      <c r="D33" s="43">
        <f>'SCOUT &amp; LOGISTICS'!AG19</f>
        <v>4</v>
      </c>
      <c r="F33" s="45" t="str">
        <f t="shared" si="1"/>
        <v>"q3" : 4,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16</v>
      </c>
      <c r="F37" s="45" t="str">
        <f t="shared" si="1"/>
        <v>"scoresheet_corrections" : 16,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10</v>
      </c>
      <c r="F39" s="45" t="str">
        <f t="shared" si="1"/>
        <v>"missidentity" : 10,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1</v>
      </c>
      <c r="F42" s="45" t="str">
        <f t="shared" si="1"/>
        <v>"substitution" : 1,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2</v>
      </c>
      <c r="F46" s="45" t="str">
        <f t="shared" si="1"/>
        <v>"part_of_a_sequence" : 2,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"Try to better identify the players who lose or steal the ball. I got the impression that sometimes you didn’t credit the steal to the player who made the deflection. When recording a technical foul, remember that there are three options: C, B, and T. It doesn’t affect the game if you make a mistake, but we’ll have to spend time correcting it. Lastly, there was a free throw violation situation. Since the jumpball players are random, we record a team rebound. If there is some technical problem with the scoreboard, tell us always."</v>
      </c>
      <c r="F51" s="45" t="str">
        <f>""""&amp;B51&amp;"""" &amp; " : " &amp;C51&amp;","</f>
        <v>"comments" : "Try to better identify the players who lose or steal the ball. I got the impression that sometimes you didn’t credit the steal to the player who made the deflection. When recording a technical foul, remember that there are three options: C, B, and T. It doesn’t affect the game if you make a mistake, but we’ll have to spend time correcting it. Lastly, there was a free throw violation situation. Since the jumpball players are random, we record a team rebound. If there is some technical problem with the scoreboard, tell us always.",</v>
      </c>
    </row>
    <row r="52" spans="2:6" x14ac:dyDescent="0.25">
      <c r="B52" s="43" t="s">
        <v>153</v>
      </c>
      <c r="C52" s="43" t="str">
        <f>TEXT('SCOUT &amp; LOGISTICS'!F1,"0,0")</f>
        <v>06_060_VIR_PAN_E2025</v>
      </c>
      <c r="F52" s="45" t="str">
        <f>""""&amp;B52&amp;"""" &amp; " : " &amp;C52</f>
        <v>"result" : 06_060_VIR_PAN_E2025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E060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24/10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Virtus Bologna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Panathinaikos Aktor Athens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GIACOMO CAMPANELLA</v>
      </c>
      <c r="C8" s="206"/>
      <c r="D8" s="206"/>
      <c r="E8" s="206"/>
      <c r="F8" s="206"/>
      <c r="G8" s="206" t="str">
        <f>IF('SCOUT &amp; LOGISTICS'!D7="","",'SCOUT &amp; LOGISTICS'!D7)</f>
        <v>EDOARDO GAUDENZI</v>
      </c>
      <c r="H8" s="206"/>
      <c r="I8" s="206"/>
      <c r="J8" s="206"/>
      <c r="K8" s="206"/>
      <c r="L8" s="206" t="str">
        <f>IF('SCOUT &amp; LOGISTICS'!D8="","",'SCOUT &amp; LOGISTICS'!D8)</f>
        <v>MATTEO PAGLIARA</v>
      </c>
      <c r="M8" s="206"/>
      <c r="N8" s="206"/>
      <c r="O8" s="206"/>
      <c r="P8" s="206"/>
      <c r="Q8" s="206" t="str">
        <f>IF('SCOUT &amp; LOGISTICS'!D9="","",'SCOUT &amp; LOGISTICS'!D9)</f>
        <v>LAURA PIOMBONI</v>
      </c>
      <c r="R8" s="206"/>
      <c r="S8" s="206"/>
      <c r="T8" s="206"/>
      <c r="U8" s="206"/>
      <c r="V8" s="206" t="str">
        <f>IF('SCOUT &amp; LOGISTICS'!D10="","",'SCOUT &amp; LOGISTICS'!D10)</f>
        <v>FRANCESCA DONNICI</v>
      </c>
      <c r="W8" s="206"/>
      <c r="X8" s="206"/>
      <c r="Y8" s="206"/>
      <c r="Z8" s="206"/>
      <c r="AA8" s="206" t="str">
        <f>IF('SCOUT &amp; LOGISTICS'!D11="","",'SCOUT &amp; LOGISTICS'!D11)</f>
        <v>FEDERICO GRAZI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XAVI MATEU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574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16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2.7874564459930314E-2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7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8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1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3</v>
      </c>
      <c r="C22" s="197"/>
      <c r="D22" s="197"/>
      <c r="E22" s="197"/>
      <c r="F22" s="197"/>
      <c r="G22" s="197"/>
      <c r="H22" s="197">
        <f>'SCOUT &amp; LOGISTICS'!AG18</f>
        <v>8</v>
      </c>
      <c r="I22" s="197"/>
      <c r="J22" s="197"/>
      <c r="K22" s="197"/>
      <c r="L22" s="197"/>
      <c r="M22" s="197"/>
      <c r="N22" s="197">
        <f>'SCOUT &amp; LOGISTICS'!AG19</f>
        <v>4</v>
      </c>
      <c r="O22" s="197"/>
      <c r="P22" s="197"/>
      <c r="Q22" s="197"/>
      <c r="R22" s="197"/>
      <c r="S22" s="197"/>
      <c r="T22" s="197">
        <f>'SCOUT &amp; LOGISTICS'!AG20</f>
        <v>1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16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10</v>
      </c>
      <c r="C27" s="197"/>
      <c r="D27" s="197"/>
      <c r="E27" s="197"/>
      <c r="F27" s="197"/>
      <c r="G27" s="197">
        <f>'SCOUT &amp; LOGISTICS'!AC22</f>
        <v>4</v>
      </c>
      <c r="H27" s="197"/>
      <c r="I27" s="197"/>
      <c r="J27" s="197"/>
      <c r="K27" s="197"/>
      <c r="L27" s="197">
        <f>'SCOUT &amp; LOGISTICS'!AC23</f>
        <v>2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Try to better identify the players who lose or steal the ball. I got the impression that sometimes you didn’t credit the steal to the player who made the deflection. When recording a technical foul, remember that there are three options: C, B, and T. It doesn’t affect the game if you make a mistake, but we’ll have to spend time correcting it. Lastly, there was a free throw violation situation. Since the jumpball players are random, we record a team rebound. If there is some technical problem with the scoreboard, tell us always.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16.78745644599303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7AFC8BB-EB25-4A0F-A784-1900DF3E15AF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2025-10-28T15:17:03Z</cp:lastPrinted>
  <dcterms:created xsi:type="dcterms:W3CDTF">2023-09-19T19:50:35Z</dcterms:created>
  <dcterms:modified xsi:type="dcterms:W3CDTF">2025-10-28T15:18:02Z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