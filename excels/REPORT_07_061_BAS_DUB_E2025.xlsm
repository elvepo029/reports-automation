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8AE617D1-7E13-4861-A324-322F28CBE522}" xr6:coauthVersionLast="47" xr6:coauthVersionMax="47" xr10:uidLastSave="{491A953A-7BA4-4879-A161-AD10E299FD47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<sst xmlns="http://schemas.openxmlformats.org/spreadsheetml/2006/main" count="3245" uniqueCount="759">
  <si>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</si>
  <si>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</si>
  <si>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</si>
  <si>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</si>
  <si>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</si>
  <si>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</si>
  <si>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</si>
  <si>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</si>
  <si>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</si>
  <si>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</si>
  <si>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</si>
  <si>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</si>
  <si>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</si>
  <si>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</si>
  <si>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</si>
  <si>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</si>
  <si>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</si>
  <si>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</si>
  <si>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</si>
  <si>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</si>
  <si>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</si>
  <si>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</si>
  <si>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</si>
  <si>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</si>
  <si>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</si>
  <si>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</si>
  <si>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</si>
  <si>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</si>
  <si>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</si>
  <si>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</si>
  <si>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</si>
  <si>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</si>
  <si>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</si>
  <si>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</si>
  <si>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</si>
  <si>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</si>
  <si>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</si>
  <si>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</si>
  <si>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</si>
  <si>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</si>
  <si>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</si>
  <si>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</si>
  <si>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</si>
  <si>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</si>
  <si>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</si>
  <si>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</si>
  <si>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</si>
  <si>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</si>
  <si>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</si>
  <si>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</si>
  <si>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</si>
  <si>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</si>
  <si>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</si>
  <si>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</si>
  <si>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</si>
  <si>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</si>
  <si>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</si>
  <si>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</si>
  <si>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</si>
  <si>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</si>
  <si>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</si>
  <si>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</si>
  <si>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</si>
  <si>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</si>
  <si>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</si>
  <si>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</si>
  <si>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</si>
  <si>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</si>
  <si>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</si>
  <si>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</si>
  <si>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</si>
  <si>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</si>
  <si>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</si>
  <si>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</si>
  <si>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</si>
  <si>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</si>
  <si>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</si>
  <si>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</si>
  <si>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</si>
  <si>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</si>
  <si>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</si>
  <si>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</si>
  <si>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</si>
  <si>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</si>
  <si>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</si>
  <si>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</si>
  <si>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</si>
  <si>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</si>
  <si>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</si>
  <si>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</si>
  <si>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</si>
  <si>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</si>
  <si>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</si>
  <si>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</si>
  <si>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</si>
  <si>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</si>
  <si>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</si>
  <si>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</si>
  <si>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</si>
  <si>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</si>
  <si>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</si>
  <si>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</si>
  <si>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</si>
  <si>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</si>
  <si>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</si>
  <si>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</si>
  <si>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</si>
  <si>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</si>
  <si>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</si>
  <si>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</si>
  <si>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</si>
  <si>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</si>
  <si>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</si>
  <si>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</si>
  <si>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</si>
  <si>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</si>
  <si>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</si>
  <si>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</si>
  <si>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</si>
  <si>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</si>
  <si>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</si>
  <si>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</si>
  <si>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</si>
  <si>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</si>
  <si>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</si>
  <si>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</si>
  <si>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</si>
  <si>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</si>
  <si>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</si>
  <si>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</si>
  <si>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</si>
  <si>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</si>
  <si>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</si>
  <si>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</si>
  <si>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</si>
  <si>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</si>
  <si>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</si>
  <si>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</si>
  <si>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</si>
  <si>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</si>
  <si>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</si>
  <si>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</si>
  <si>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</si>
  <si>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</si>
  <si>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</si>
  <si>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</si>
  <si>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</si>
  <si>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</si>
  <si>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</si>
  <si>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</si>
  <si>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</si>
  <si>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</si>
  <si>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</si>
  <si>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</si>
  <si>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</si>
  <si>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</si>
  <si>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</si>
  <si>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</si>
  <si>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</si>
  <si>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</si>
  <si>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</si>
  <si>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</si>
  <si>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</si>
  <si>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</si>
  <si>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</si>
  <si>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</si>
  <si>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</si>
  <si>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</si>
  <si>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</si>
  <si>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</si>
  <si>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</si>
  <si>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</si>
  <si>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</si>
  <si>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</si>
  <si>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</si>
  <si>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</si>
  <si>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</si>
  <si>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</si>
  <si>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</si>
  <si>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</si>
  <si>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</si>
  <si>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</si>
  <si>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</si>
  <si>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</si>
  <si>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</si>
  <si>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</si>
  <si>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</si>
  <si>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</si>
  <si>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</si>
  <si>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</si>
  <si>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</si>
  <si>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</si>
  <si>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</si>
  <si>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</si>
  <si>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</si>
  <si>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</si>
  <si>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</si>
  <si>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</si>
  <si>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</si>
  <si>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</si>
  <si>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</si>
  <si>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</si>
  <si>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</si>
  <si>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</si>
  <si>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</si>
  <si>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</si>
  <si>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</si>
  <si>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</si>
  <si>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</si>
  <si>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</si>
  <si>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</si>
  <si>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</si>
  <si>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</si>
  <si>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</si>
  <si>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</si>
  <si>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</si>
  <si>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</si>
  <si>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</si>
  <si>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</si>
  <si>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</si>
  <si>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</si>
  <si>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</si>
  <si>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</si>
  <si>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</si>
  <si>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</si>
  <si>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</si>
  <si>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</si>
  <si>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</si>
  <si>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</si>
  <si>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</si>
  <si>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</si>
  <si>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</si>
  <si>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</si>
  <si>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</si>
  <si>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</si>
  <si>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</si>
  <si>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</si>
  <si>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</si>
  <si>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</si>
  <si>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</si>
  <si>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</si>
  <si>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</si>
  <si>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</si>
  <si>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</si>
  <si>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</si>
  <si>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</si>
  <si>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</si>
  <si>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</si>
  <si>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</si>
  <si>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</si>
  <si>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</si>
  <si>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</si>
  <si>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</si>
  <si>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</si>
  <si>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</si>
  <si>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</si>
  <si>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</si>
  <si>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</si>
  <si>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</si>
  <si>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</si>
  <si>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</si>
  <si>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</si>
  <si>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</si>
  <si>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</si>
  <si>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</si>
  <si>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</si>
  <si>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</si>
  <si>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</si>
  <si>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</si>
  <si>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</si>
  <si>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</si>
  <si>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</si>
  <si>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</si>
  <si>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</si>
  <si>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</si>
  <si>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</si>
  <si>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</si>
  <si>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</si>
  <si>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</si>
  <si>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</si>
  <si>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</si>
  <si>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</si>
  <si>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</si>
  <si>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</si>
  <si>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</si>
  <si>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</si>
  <si>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</si>
  <si>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</si>
  <si>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</si>
  <si>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</si>
  <si>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</si>
  <si>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</si>
  <si>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</si>
  <si>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</si>
  <si>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</si>
  <si>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</si>
  <si>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</si>
  <si>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</si>
  <si>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</si>
  <si>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</si>
  <si>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</si>
  <si>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</si>
  <si>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</si>
  <si>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</si>
  <si>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</si>
  <si>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</si>
  <si>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</si>
  <si>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</si>
  <si>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</si>
  <si>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</si>
  <si>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</si>
  <si>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</si>
  <si>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</si>
  <si>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</si>
  <si>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</si>
  <si>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</si>
  <si>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</si>
  <si>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</si>
  <si>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</si>
  <si>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</si>
  <si>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</si>
  <si>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</si>
  <si>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</si>
  <si>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</si>
  <si>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</si>
  <si>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</si>
  <si>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</si>
  <si>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</si>
  <si>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</si>
  <si>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</si>
  <si>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</si>
  <si>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</si>
  <si>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</si>
  <si>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</si>
  <si>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</si>
  <si>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</si>
  <si>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</si>
  <si>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</si>
  <si>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</si>
  <si>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</si>
  <si>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</si>
  <si>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</si>
  <si>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</si>
  <si>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</si>
  <si>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</si>
  <si>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</si>
  <si>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</si>
  <si>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</si>
  <si>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</si>
  <si>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</si>
  <si>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</si>
  <si>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</si>
  <si>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</si>
  <si>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</si>
  <si>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</si>
  <si>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</si>
  <si>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</si>
  <si>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</si>
  <si>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</si>
  <si>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</si>
  <si>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</si>
  <si>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</si>
  <si>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</si>
  <si>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</si>
  <si>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</si>
  <si>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</si>
  <si>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</si>
  <si>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</si>
  <si>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</si>
  <si>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</si>
  <si>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</si>
  <si>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</si>
  <si>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</si>
  <si>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</si>
  <si>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</si>
  <si>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</si>
  <si>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</si>
  <si>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</si>
  <si>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</si>
  <si>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</si>
  <si>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</si>
  <si>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</si>
  <si>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</si>
  <si>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</si>
  <si>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</si>
  <si>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</si>
  <si>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</si>
  <si>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</si>
  <si>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</si>
  <si>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</si>
  <si>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</si>
  <si>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</si>
  <si>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</si>
  <si>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</si>
  <si>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</si>
  <si>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</si>
  <si>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</si>
  <si>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</si>
  <si>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</si>
  <si>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</si>
  <si>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</si>
  <si>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</si>
  <si>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</si>
  <si>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</si>
  <si>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</si>
  <si>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</si>
  <si>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</si>
  <si>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</si>
  <si>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</si>
  <si>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</si>
  <si>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</si>
  <si>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</si>
  <si>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</si>
  <si>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</si>
  <si>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</si>
  <si>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</si>
  <si>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</si>
  <si>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</si>
  <si>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</si>
  <si>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</si>
  <si>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</si>
  <si>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</si>
  <si>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</si>
  <si>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</si>
  <si>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</si>
  <si>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</si>
  <si>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</si>
  <si>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</si>
  <si>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</si>
  <si>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</si>
  <si>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</si>
  <si>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</si>
  <si>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</si>
  <si>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</si>
  <si>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</si>
  <si>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</si>
  <si>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</si>
  <si>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</si>
  <si>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</si>
  <si>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</si>
  <si>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</si>
  <si>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</si>
  <si>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</si>
  <si>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</si>
  <si>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</si>
  <si>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</si>
  <si>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</si>
  <si>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</si>
  <si>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</si>
  <si>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</si>
  <si>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</si>
  <si>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</si>
  <si>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</si>
  <si>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</si>
  <si>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</si>
  <si>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</si>
  <si>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</si>
  <si>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</si>
  <si>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</si>
  <si>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</si>
  <si>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</si>
  <si>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</si>
  <si>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</si>
  <si>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</si>
  <si>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</si>
  <si>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</si>
  <si>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</si>
  <si>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</si>
  <si>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</si>
  <si>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</si>
  <si>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</si>
  <si>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</si>
  <si>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</si>
  <si>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</si>
  <si>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</si>
  <si>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</si>
  <si>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</si>
  <si>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</si>
  <si>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</si>
  <si>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</si>
  <si>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</si>
  <si>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</si>
  <si>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</si>
  <si>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</si>
  <si>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</si>
  <si>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</si>
  <si>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</si>
  <si>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</si>
  <si>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</si>
  <si>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</si>
  <si>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</si>
  <si>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</si>
  <si>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</si>
  <si>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</si>
  <si>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</si>
  <si>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</si>
  <si>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</si>
  <si>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</si>
  <si>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</si>
  <si>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</si>
  <si>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</si>
  <si>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</si>
  <si>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</si>
  <si>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</si>
  <si>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</si>
  <si>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</si>
  <si>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</si>
  <si>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</si>
  <si>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</si>
  <si>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</si>
  <si>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</si>
  <si>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</si>
  <si>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</si>
  <si>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</si>
  <si>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</si>
  <si>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</si>
  <si>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</si>
  <si>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</si>
  <si>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</si>
  <si>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</si>
  <si>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</si>
  <si>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</si>
  <si>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</si>
  <si>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</si>
  <si>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</si>
  <si>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</si>
  <si>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</si>
  <si>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</si>
  <si>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</si>
  <si>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</si>
  <si>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</si>
  <si>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</si>
  <si>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</si>
  <si>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</si>
  <si>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</si>
  <si>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</si>
  <si>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</si>
  <si>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</si>
  <si>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</si>
  <si>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</si>
  <si>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</si>
  <si>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</si>
  <si>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</si>
  <si>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</si>
  <si>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</si>
  <si>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</si>
  <si>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</si>
  <si>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</si>
  <si>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</si>
  <si>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</si>
  <si>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</si>
  <si>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</si>
  <si>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</si>
  <si>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</si>
  <si>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</si>
  <si>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</si>
  <si>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</si>
  <si>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</si>
  <si>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</si>
  <si>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</si>
  <si>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</si>
  <si>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</si>
  <si>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</si>
  <si>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</si>
  <si>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</si>
  <si>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</si>
  <si>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</si>
  <si>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</si>
  <si>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</si>
  <si>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</si>
  <si>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</si>
  <si>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</si>
  <si>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</si>
  <si>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</si>
  <si>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</si>
  <si>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</si>
  <si>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</si>
  <si>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</si>
  <si>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</si>
  <si>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</si>
  <si>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</si>
  <si>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</si>
  <si>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</si>
  <si>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</si>
  <si>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</si>
  <si>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</si>
  <si>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</si>
  <si>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</si>
  <si>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</si>
  <si>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</si>
  <si>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</si>
  <si>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</si>
  <si>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</si>
  <si>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</si>
  <si>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</si>
  <si>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</si>
  <si>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</si>
  <si>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</si>
  <si>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</si>
  <si>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</si>
  <si>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</si>
  <si>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</si>
  <si>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</si>
  <si>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</si>
  <si>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</si>
  <si>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</si>
  <si>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</si>
  <si>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</si>
  <si>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</si>
  <si>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</si>
  <si>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</si>
  <si>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</si>
  <si>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</si>
  <si>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</si>
  <si>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</si>
  <si>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</si>
  <si>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</si>
  <si>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</si>
  <si>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</si>
  <si>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</si>
  <si>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</si>
  <si>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</si>
  <si>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</si>
  <si>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</si>
  <si>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</si>
  <si>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</si>
  <si>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</si>
  <si>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</si>
  <si>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</si>
  <si>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</si>
  <si>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</si>
  <si>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</si>
  <si>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</si>
  <si>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</si>
  <si>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</si>
  <si>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</si>
  <si>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</si>
  <si>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</si>
  <si>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</si>
  <si>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</si>
  <si>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</si>
  <si>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</si>
  <si>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</si>
  <si>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</si>
  <si>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</si>
  <si>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</si>
  <si>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</si>
  <si>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</si>
  <si>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</si>
  <si>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</si>
  <si>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</si>
  <si>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</si>
  <si>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</si>
  <si>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</si>
  <si>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</si>
  <si>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</si>
  <si>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</si>
  <si>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</si>
  <si>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</si>
  <si>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</si>
  <si>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</si>
  <si>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</si>
  <si>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</si>
  <si>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</si>
  <si>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</si>
  <si>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</si>
  <si>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</si>
  <si>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</si>
  <si>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</si>
  <si>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</si>
  <si>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</si>
  <si>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</si>
  <si>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</si>
  <si>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</si>
  <si>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</si>
  <si>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</si>
  <si>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</si>
  <si>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</si>
  <si>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</si>
  <si>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</si>
  <si>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</si>
  <si>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</si>
  <si>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</si>
  <si>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</si>
  <si>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</si>
  <si>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</si>
  <si>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</si>
  <si>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</si>
  <si>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</si>
  <si>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</si>
  <si>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</si>
  <si>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</si>
  <si>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</si>
  <si>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</si>
  <si>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</si>
  <si>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</si>
  <si>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</si>
  <si>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</si>
  <si>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</si>
  <si>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</si>
  <si>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</si>
  <si>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</si>
  <si>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</si>
  <si>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</si>
  <si>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</si>
  <si>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</si>
  <si>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</si>
  <si>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</si>
  <si>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</si>
  <si>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</si>
  <si>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</si>
  <si>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</si>
  <si>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</si>
  <si>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</si>
  <si>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</si>
  <si>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</si>
  <si>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</si>
  <si>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</si>
  <si>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</si>
  <si>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</si>
  <si>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</si>
  <si>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</si>
  <si>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</si>
  <si>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</si>
  <si>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</si>
  <si>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</si>
  <si>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</si>
  <si>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</si>
  <si>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</si>
  <si>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</si>
  <si>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</si>
  <si>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</si>
  <si>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</si>
  <si>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</si>
  <si>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</si>
  <si>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</si>
  <si>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</si>
  <si>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</si>
  <si>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</si>
  <si>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</si>
  <si>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</si>
  <si>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</si>
  <si>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</si>
  <si>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</si>
  <si>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</si>
  <si>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</si>
  <si>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</si>
  <si>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</si>
  <si>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</si>
  <si>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</si>
  <si>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RAQUEL GARCIA-SAMPEDRO</t>
  </si>
  <si>
    <t>LUIS MOULIAA</t>
  </si>
  <si>
    <t>SERGIO CASTRO</t>
  </si>
  <si>
    <t>PATRICIA ORTIZ DE ZARATE</t>
  </si>
  <si>
    <t>IKER BASCONES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</si>
  <si>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</si>
  <si>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</si>
  <si>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</si>
  <si>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Perfect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</si>
</sst>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07_061_BAS_DUB_E2025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61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45958.854166666664</v>
      </c>
      <c r="C3" s="157"/>
      <c r="D3" s="39">
        <v>598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REPORT_E2025061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"E2025061"</v>
      </c>
      <c r="F3" s="45" t="str">
        <f t="shared" ref="F3:F16" si="0">""""&amp;B3&amp;"""" &amp; " : " &amp;C3&amp;","</f>
        <v>"name" : "E2025061",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"E061"</v>
      </c>
      <c r="F4" s="45" t="str">
        <f t="shared" si="0"/>
        <v>"cod" : "E061",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061</v>
      </c>
      <c r="F6" s="45" t="str">
        <f t="shared" si="0"/>
        <v>"number" : 061,</v>
      </c>
    </row>
    <row r="7" spans="2:6" x14ac:dyDescent="0.25">
      <c r="B7" s="43" t="s">
        <v>116</v>
      </c>
      <c r="C7" s="43" t="str">
        <f ca="1">""""&amp;TEXT('SCOUT &amp; LOGISTICS'!B3,"dd/mm/aaaa")&amp;""""</f>
        <v>"28/10/Tuesday"</v>
      </c>
      <c r="F7" s="45" t="str">
        <f t="shared" ca="1" si="0"/>
        <v>"date" : "28/10/Tuesday",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"SERGIO CASTRO"</v>
      </c>
      <c r="F13" s="45" t="str">
        <f t="shared" si="0"/>
        <v>"Timerkeeper" : "SERGIO CASTRO",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"PATRICIA ORTIZ DE ZARATE"</v>
      </c>
      <c r="F14" s="45" t="str">
        <f t="shared" si="0"/>
        <v>"Shotclock" : "PATRICIA ORTIZ DE ZARATE",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 game. Keep it up!"</v>
      </c>
      <c r="F51" s="45" t="str">
        <f>""""&amp;B51&amp;"""" &amp; " : " &amp;C51&amp;","</f>
        <v>"comments" : "Perfect game. Keep it up!",</v>
      </c>
    </row>
    <row r="52" spans="2:6" x14ac:dyDescent="0.25">
      <c r="B52" s="43" t="s">
        <v>153</v>
      </c>
      <c r="C52" s="43" t="str">
        <f>TEXT('SCOUT &amp; LOGISTICS'!F1,"0,0")</f>
        <v>07_061_BAS_DUB_E2025</v>
      </c>
      <c r="F52" s="45" t="str">
        <f>""""&amp;B52&amp;"""" &amp; " : " &amp;C52</f>
        <v>"result" : 07_061_BAS_DUB_E2025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E061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SERGIO CASTRO</v>
      </c>
      <c r="R8" s="206"/>
      <c r="S8" s="206"/>
      <c r="T8" s="206"/>
      <c r="U8" s="206"/>
      <c r="V8" s="206" t="str">
        <f>IF('SCOUT &amp; LOGISTICS'!D10="","",'SCOUT &amp; LOGISTICS'!D10)</f>
        <v>PATRICIA ORTIZ DE ZARATE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Perfect game.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650D3E-2FF0-40FF-9E80-A8A0C2939C2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2025-10-28T21:46:31Z</cp:lastPrinted>
  <dcterms:created xsi:type="dcterms:W3CDTF">2023-09-19T19:50:35Z</dcterms:created>
  <dcterms:modified xsi:type="dcterms:W3CDTF">2025-10-28T21:46:36Z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