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7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loiverge/Projects/reports-automation/excels/"/>
    </mc:Choice>
  </mc:AlternateContent>
  <xr:revisionPtr revIDLastSave="0" documentId="13_ncr:1_{756FC5E9-632F-BE4F-AFD4-D732F721BE7E}" xr6:coauthVersionLast="47" xr6:coauthVersionMax="47" xr10:uidLastSave="{00000000-0000-0000-0000-000000000000}"/>
  <bookViews>
    <workbookView xWindow="0" yWindow="500" windowWidth="38400" windowHeight="211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<sst xmlns="http://schemas.openxmlformats.org/spreadsheetml/2006/main" count="3304" uniqueCount="777">
  <si>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</si>
  <si>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</si>
  <si>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</si>
  <si>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</si>
  <si>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</si>
  <si>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</si>
  <si>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</si>
  <si>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</si>
  <si>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</si>
  <si>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</si>
  <si>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</si>
  <si>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</si>
  <si>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</si>
  <si>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</si>
  <si>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</si>
  <si>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</si>
  <si>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</si>
  <si>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</si>
  <si>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</si>
  <si>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</si>
  <si>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</si>
  <si>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</si>
  <si>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</si>
  <si>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</si>
  <si>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</si>
  <si>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</si>
  <si>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</si>
  <si>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</si>
  <si>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</si>
  <si>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</si>
  <si>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</si>
  <si>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</si>
  <si>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</si>
  <si>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</si>
  <si>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</si>
  <si>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</si>
  <si>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</si>
  <si>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</si>
  <si>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</si>
  <si>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</si>
  <si>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</si>
  <si>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</si>
  <si>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</si>
  <si>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</si>
  <si>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</si>
  <si>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</si>
  <si>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</si>
  <si>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</si>
  <si>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</si>
  <si>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</si>
  <si>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</si>
  <si>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</si>
  <si>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</si>
  <si>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</si>
  <si>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</si>
  <si>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</si>
  <si>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</si>
  <si>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</si>
  <si>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</si>
  <si>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</si>
  <si>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</si>
  <si>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</si>
  <si>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</si>
  <si>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</si>
  <si>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</si>
  <si>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</si>
  <si>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</si>
  <si>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</si>
  <si>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</si>
  <si>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</si>
  <si>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</si>
  <si>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</si>
  <si>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</si>
  <si>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</si>
  <si>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</si>
  <si>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</si>
  <si>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</si>
  <si>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</si>
  <si>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</si>
  <si>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</si>
  <si>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</si>
  <si>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</si>
  <si>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</si>
  <si>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</si>
  <si>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</si>
  <si>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</si>
  <si>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</si>
  <si>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</si>
  <si>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</si>
  <si>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</si>
  <si>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</si>
  <si>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</si>
  <si>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</si>
  <si>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</si>
  <si>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</si>
  <si>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</si>
  <si>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</si>
  <si>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</si>
  <si>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</si>
  <si>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</si>
  <si>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</si>
  <si>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</si>
  <si>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</si>
  <si>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</si>
  <si>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</si>
  <si>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</si>
  <si>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</si>
  <si>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</si>
  <si>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</si>
  <si>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</si>
  <si>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</si>
  <si>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</si>
  <si>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</si>
  <si>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</si>
  <si>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</si>
  <si>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</si>
  <si>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</si>
  <si>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</si>
  <si>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</si>
  <si>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</si>
  <si>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</si>
  <si>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</si>
  <si>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</si>
  <si>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</si>
  <si>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</si>
  <si>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</si>
  <si>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</si>
  <si>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</si>
  <si>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</si>
  <si>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</si>
  <si>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</si>
  <si>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</si>
  <si>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</si>
  <si>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</si>
  <si>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</si>
  <si>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</si>
  <si>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</si>
  <si>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</si>
  <si>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</si>
  <si>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</si>
  <si>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</si>
  <si>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</si>
  <si>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</si>
  <si>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</si>
  <si>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</si>
  <si>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</si>
  <si>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</si>
  <si>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</si>
  <si>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</si>
  <si>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</si>
  <si>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</si>
  <si>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</si>
  <si>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</si>
  <si>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</si>
  <si>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</si>
  <si>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</si>
  <si>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</si>
  <si>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</si>
  <si>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</si>
  <si>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</si>
  <si>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</si>
  <si>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</si>
  <si>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</si>
  <si>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</si>
  <si>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</si>
  <si>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</si>
  <si>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</si>
  <si>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</si>
  <si>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</si>
  <si>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</si>
  <si>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</si>
  <si>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</si>
  <si>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</si>
  <si>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</si>
  <si>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</si>
  <si>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</si>
  <si>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</si>
  <si>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</si>
  <si>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</si>
  <si>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</si>
  <si>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</si>
  <si>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</si>
  <si>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</si>
  <si>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</si>
  <si>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</si>
  <si>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</si>
  <si>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</si>
  <si>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</si>
  <si>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</si>
  <si>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</si>
  <si>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</si>
  <si>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</si>
  <si>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</si>
  <si>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</si>
  <si>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</si>
  <si>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</si>
  <si>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</si>
  <si>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</si>
  <si>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</si>
  <si>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</si>
  <si>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</si>
  <si>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</si>
  <si>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</si>
  <si>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</si>
  <si>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</si>
  <si>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</si>
  <si>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</si>
  <si>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</si>
  <si>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</si>
  <si>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</si>
  <si>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</si>
  <si>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</si>
  <si>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</si>
  <si>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</si>
  <si>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</si>
  <si>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</si>
  <si>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</si>
  <si>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</si>
  <si>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</si>
  <si>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</si>
  <si>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</si>
  <si>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</si>
  <si>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</si>
  <si>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</si>
  <si>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</si>
  <si>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</si>
  <si>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</si>
  <si>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</si>
  <si>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</si>
  <si>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</si>
  <si>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</si>
  <si>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</si>
  <si>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</si>
  <si>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</si>
  <si>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</si>
  <si>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</si>
  <si>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</si>
  <si>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</si>
  <si>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</si>
  <si>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</si>
  <si>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</si>
  <si>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</si>
  <si>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</si>
  <si>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</si>
  <si>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</si>
  <si>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</si>
  <si>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</si>
  <si>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</si>
  <si>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</si>
  <si>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</si>
  <si>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</si>
  <si>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</si>
  <si>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</si>
  <si>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</si>
  <si>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</si>
  <si>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</si>
  <si>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</si>
  <si>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</si>
  <si>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</si>
  <si>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</si>
  <si>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</si>
  <si>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</si>
  <si>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</si>
  <si>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</si>
  <si>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</si>
  <si>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</si>
  <si>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</si>
  <si>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</si>
  <si>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</si>
  <si>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</si>
  <si>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</si>
  <si>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</si>
  <si>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</si>
  <si>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</si>
  <si>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</si>
  <si>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</si>
  <si>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</si>
  <si>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</si>
  <si>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</si>
  <si>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</si>
  <si>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</si>
  <si>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</si>
  <si>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</si>
  <si>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</si>
  <si>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</si>
  <si>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</si>
  <si>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</si>
  <si>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</si>
  <si>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</si>
  <si>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</si>
  <si>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</si>
  <si>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</si>
  <si>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</si>
  <si>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</si>
  <si>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</si>
  <si>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</si>
  <si>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</si>
  <si>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</si>
  <si>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</si>
  <si>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</si>
  <si>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</si>
  <si>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</si>
  <si>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</si>
  <si>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</si>
  <si>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</si>
  <si>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</si>
  <si>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</si>
  <si>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</si>
  <si>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</si>
  <si>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</si>
  <si>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</si>
  <si>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</si>
  <si>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</si>
  <si>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</si>
  <si>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</si>
  <si>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</si>
  <si>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</si>
  <si>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</si>
  <si>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</si>
  <si>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</si>
  <si>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</si>
  <si>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</si>
  <si>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</si>
  <si>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</si>
  <si>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</si>
  <si>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</si>
  <si>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</si>
  <si>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</si>
  <si>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</si>
  <si>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</si>
  <si>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</si>
  <si>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</si>
  <si>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</si>
  <si>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</si>
  <si>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</si>
  <si>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</si>
  <si>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</si>
  <si>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</si>
  <si>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</si>
  <si>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</si>
  <si>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</si>
  <si>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</si>
  <si>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</si>
  <si>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</si>
  <si>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</si>
  <si>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</si>
  <si>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</si>
  <si>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</si>
  <si>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</si>
  <si>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</si>
  <si>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</si>
  <si>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</si>
  <si>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</si>
  <si>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</si>
  <si>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</si>
  <si>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</si>
  <si>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</si>
  <si>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</si>
  <si>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</si>
  <si>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</si>
  <si>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</si>
  <si>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</si>
  <si>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</si>
  <si>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</si>
  <si>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</si>
  <si>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</si>
  <si>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</si>
  <si>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</si>
  <si>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</si>
  <si>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</si>
  <si>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</si>
  <si>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</si>
  <si>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</si>
  <si>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</si>
  <si>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</si>
  <si>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</si>
  <si>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</si>
  <si>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</si>
  <si>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</si>
  <si>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</si>
  <si>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</si>
  <si>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</si>
  <si>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</si>
  <si>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</si>
  <si>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</si>
  <si>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</si>
  <si>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</si>
  <si>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</si>
  <si>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</si>
  <si>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</si>
  <si>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</si>
  <si>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</si>
  <si>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</si>
  <si>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</si>
  <si>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</si>
  <si>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</si>
  <si>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</si>
  <si>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</si>
  <si>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</si>
  <si>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</si>
  <si>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</si>
  <si>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</si>
  <si>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</si>
  <si>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</si>
  <si>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</si>
  <si>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</si>
  <si>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</si>
  <si>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</si>
  <si>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</si>
  <si>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</si>
  <si>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</si>
  <si>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</si>
  <si>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</si>
  <si>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</si>
  <si>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</si>
  <si>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</si>
  <si>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</si>
  <si>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</si>
  <si>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</si>
  <si>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</si>
  <si>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</si>
  <si>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</si>
  <si>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</si>
  <si>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</si>
  <si>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</si>
  <si>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</si>
  <si>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</si>
  <si>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</si>
  <si>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</si>
  <si>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</si>
  <si>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</si>
  <si>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</si>
  <si>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</si>
  <si>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</si>
  <si>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</si>
  <si>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</si>
  <si>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</si>
  <si>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</si>
  <si>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</si>
  <si>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</si>
  <si>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</si>
  <si>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</si>
  <si>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</si>
  <si>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</si>
  <si>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</si>
  <si>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</si>
  <si>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</si>
  <si>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</si>
  <si>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</si>
  <si>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</si>
  <si>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</si>
  <si>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</si>
  <si>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</si>
  <si>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</si>
  <si>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</si>
  <si>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</si>
  <si>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</si>
  <si>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</si>
  <si>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</si>
  <si>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</si>
  <si>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</si>
  <si>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</si>
  <si>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</si>
  <si>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</si>
  <si>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</si>
  <si>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</si>
  <si>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</si>
  <si>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</si>
  <si>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</si>
  <si>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</si>
  <si>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</si>
  <si>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</si>
  <si>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</si>
  <si>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</si>
  <si>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</si>
  <si>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</si>
  <si>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</si>
  <si>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</si>
  <si>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</si>
  <si>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</si>
  <si>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</si>
  <si>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</si>
  <si>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</si>
  <si>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</si>
  <si>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</si>
  <si>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</si>
  <si>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</si>
  <si>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</si>
  <si>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</si>
  <si>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</si>
  <si>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</si>
  <si>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</si>
  <si>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</si>
  <si>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</si>
  <si>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</si>
  <si>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</si>
  <si>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</si>
  <si>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</si>
  <si>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</si>
  <si>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</si>
  <si>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</si>
  <si>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</si>
  <si>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</si>
  <si>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</si>
  <si>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</si>
  <si>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</si>
  <si>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</si>
  <si>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</si>
  <si>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</si>
  <si>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</si>
  <si>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</si>
  <si>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</si>
  <si>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</si>
  <si>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</si>
  <si>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</si>
  <si>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</si>
  <si>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</si>
  <si>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</si>
  <si>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</si>
  <si>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</si>
  <si>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</si>
  <si>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</si>
  <si>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</si>
  <si>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</si>
  <si>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</si>
  <si>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</si>
  <si>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</si>
  <si>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</si>
  <si>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</si>
  <si>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</si>
  <si>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</si>
  <si>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</si>
  <si>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</si>
  <si>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</si>
  <si>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</si>
  <si>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</si>
  <si>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</si>
  <si>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</si>
  <si>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</si>
  <si>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</si>
  <si>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</si>
  <si>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</si>
  <si>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</si>
  <si>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</si>
  <si>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</si>
  <si>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</si>
  <si>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</si>
  <si>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</si>
  <si>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</si>
  <si>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</si>
  <si>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</si>
  <si>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</si>
  <si>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</si>
  <si>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</si>
  <si>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</si>
  <si>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</si>
  <si>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</si>
  <si>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</si>
  <si>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</si>
  <si>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</si>
  <si>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</si>
  <si>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</si>
  <si>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</si>
  <si>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</si>
  <si>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</si>
  <si>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</si>
  <si>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</si>
  <si>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</si>
  <si>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</si>
  <si>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</si>
  <si>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</si>
  <si>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</si>
  <si>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</si>
  <si>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</si>
  <si>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</si>
  <si>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</si>
  <si>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</si>
  <si>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</si>
  <si>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</si>
  <si>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</si>
  <si>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</si>
  <si>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</si>
  <si>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</si>
  <si>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</si>
  <si>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</si>
  <si>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</si>
  <si>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</si>
  <si>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</si>
  <si>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</si>
  <si>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</si>
  <si>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</si>
  <si>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</si>
  <si>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</si>
  <si>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</si>
  <si>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</si>
  <si>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</si>
  <si>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</si>
  <si>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</si>
  <si>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</si>
  <si>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</si>
  <si>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</si>
  <si>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</si>
  <si>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</si>
  <si>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</si>
  <si>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</si>
  <si>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</si>
  <si>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</si>
  <si>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</si>
  <si>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</si>
  <si>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</si>
  <si>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</si>
  <si>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</si>
  <si>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</si>
  <si>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</si>
  <si>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</si>
  <si>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</si>
  <si>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</si>
  <si>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</si>
  <si>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</si>
  <si>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</si>
  <si>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</si>
  <si>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</si>
  <si>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</si>
  <si>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</si>
  <si>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</si>
  <si>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</si>
  <si>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</si>
  <si>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</si>
  <si>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</si>
  <si>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</si>
  <si>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</si>
  <si>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</si>
  <si>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</si>
  <si>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</si>
  <si>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</si>
  <si>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</si>
  <si>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</si>
  <si>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</si>
  <si>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</si>
  <si>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</si>
  <si>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</si>
  <si>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</si>
  <si>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</si>
  <si>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</si>
  <si>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</si>
  <si>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</si>
  <si>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</si>
  <si>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</si>
  <si>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</si>
  <si>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</si>
  <si>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</si>
  <si>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</si>
  <si>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</si>
  <si>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</si>
  <si>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</si>
  <si>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</si>
  <si>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</si>
  <si>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</si>
  <si>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</si>
  <si>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</si>
  <si>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</si>
  <si>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</si>
  <si>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</si>
  <si>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</si>
  <si>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</si>
  <si>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</si>
  <si>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</si>
  <si>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</si>
  <si>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</si>
  <si>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</si>
  <si>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</si>
  <si>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</si>
  <si>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</si>
  <si>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</si>
  <si>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</si>
  <si>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</si>
  <si>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</si>
  <si>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</si>
  <si>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</si>
  <si>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</si>
  <si>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</si>
  <si>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</si>
  <si>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</si>
  <si>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</si>
  <si>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</si>
  <si>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</si>
  <si>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</si>
  <si>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</si>
  <si>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</si>
  <si>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</si>
  <si>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</si>
  <si>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</si>
  <si>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</si>
  <si>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</si>
  <si>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</si>
  <si>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</si>
  <si>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</si>
  <si>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</si>
  <si>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</si>
  <si>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</si>
  <si>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</si>
  <si>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</si>
  <si>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</si>
  <si>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</si>
  <si>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</si>
  <si>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</si>
  <si>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</si>
  <si>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</si>
  <si>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</si>
  <si>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</si>
  <si>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</si>
  <si>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</si>
  <si>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</si>
  <si>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</si>
  <si>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</si>
  <si>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</si>
  <si>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</si>
  <si>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</si>
  <si>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</si>
  <si>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</si>
  <si>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</si>
  <si>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</si>
  <si>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</si>
  <si>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</si>
  <si>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</si>
  <si>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</si>
  <si>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</si>
  <si>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</si>
  <si>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</si>
  <si>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</si>
  <si>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</si>
  <si>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</si>
  <si>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</si>
  <si>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</si>
  <si>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</si>
  <si>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</si>
  <si>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</si>
  <si>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</si>
  <si>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</si>
  <si>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</si>
  <si>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</si>
  <si>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</si>
  <si>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</si>
  <si>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</si>
  <si>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</si>
  <si>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</si>
  <si>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</si>
  <si>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</si>
  <si>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</si>
  <si>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ZIGA BENKO</t>
  </si>
  <si>
    <t>MATIC MARKIC</t>
  </si>
  <si>
    <t>ANDREJ STRUKELJ</t>
  </si>
  <si>
    <t>GORAN HODZIC</t>
  </si>
  <si>
    <t>GASPER KOLMAN</t>
  </si>
  <si>
    <t>C:\Users\pablo.campoy\EUROLEAGUE\EB STATS - General\SEASON 2025-26\Reports\Eurocup\Excel Reports fets</t>
  </si>
  <si>
    <t>C:\Users\pablo.campoy\EUROLEAGUE\EB STATS - General\SEASON 2025-26\Reports\Eurocup\PDF</t>
  </si>
  <si>
    <t>04:16</t>
  </si>
  <si>
    <t>Deflection molt difícil de veure sota la cistella.</t>
  </si>
  <si>
    <t>09:44</t>
  </si>
  <si>
    <t>Assistència CLARÍSSIMA no apuntada</t>
  </si>
  <si>
    <t>05:55</t>
  </si>
  <si>
    <t>Dos jugadors que salten junts. No és error greu.</t>
  </si>
  <si>
    <t>00:24</t>
  </si>
  <si>
    <t>Molt difícil de veure</t>
  </si>
  <si>
    <t>00:02</t>
  </si>
  <si>
    <t>Falta rebuda claríssima mal apuntada.</t>
  </si>
  <si>
    <t>08:21</t>
  </si>
  <si>
    <t>Desviament intencionat d'un rebot cap a un company</t>
  </si>
  <si>
    <t>06:34</t>
  </si>
  <si>
    <t>05:45</t>
  </si>
  <si>
    <t>Assistència CLARÍSSIMA apuntada al jugador equivocat</t>
  </si>
  <si>
    <t>05:24</t>
  </si>
  <si>
    <t>Rebot claríssim apuntat al jugador equivocat</t>
  </si>
  <si>
    <t>01:07</t>
  </si>
  <si>
    <t>Assistència per tir lliure anotat no apuntada.</t>
  </si>
  <si>
    <t>Good work. The scorers ought to ask the Live Managers about Fouls Drawn when they are not sure.</t>
  </si>
  <si>
    <t>PABLO CAMPOY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</si>
</sst>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4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7" fillId="0" borderId="0" xfId="0" applyFont="1" applyProtection="1">
      <protection locked="0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J52" sqref="J52"/>
    </sheetView>
  </sheetViews>
  <sheetFormatPr baseColWidth="10" defaultColWidth="0" defaultRowHeight="16" x14ac:dyDescent="0.2"/>
  <cols>
    <col min="1" max="1" width="1.5" customWidth="1"/>
    <col min="2" max="3" width="6.83203125" style="3" customWidth="1"/>
    <col min="4" max="7" width="7.83203125" style="3" customWidth="1"/>
    <col min="8" max="8" width="12.5" style="4" customWidth="1"/>
    <col min="9" max="9" width="11.83203125" style="3" bestFit="1" customWidth="1"/>
    <col min="10" max="13" width="22" style="3" customWidth="1"/>
    <col min="14" max="14" width="41.1640625" style="3" bestFit="1" customWidth="1"/>
    <col min="15" max="15" width="13.5" hidden="1" customWidth="1"/>
    <col min="16" max="16" width="5.5" hidden="1" customWidth="1"/>
    <col min="17" max="17" width="21.164062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">
      <c r="A1" s="42"/>
      <c r="B1" s="53" t="s">
        <v>160</v>
      </c>
      <c r="C1" s="114" t="str">
        <f>TEXT(IF(C2/10=INT(C2/10),INT(C2/10),INT(C2/10)+1),"00")</f>
        <v>07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07_062_LJU_VNC_U2025</v>
      </c>
      <c r="G1" s="5"/>
      <c r="H1" s="5"/>
      <c r="I1" s="5"/>
      <c r="J1" s="8" t="s">
        <v>707</v>
      </c>
      <c r="K1" s="121" t="s">
        <v>754</v>
      </c>
      <c r="L1" s="121"/>
      <c r="M1" s="122" t="s">
        <v>239</v>
      </c>
      <c r="N1" s="121" t="s">
        <v>755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5" thickBot="1" x14ac:dyDescent="0.2">
      <c r="A2" s="1"/>
      <c r="B2" s="117" t="str">
        <f>D1&amp;E1</f>
        <v>U2025</v>
      </c>
      <c r="C2" s="123">
        <v>62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" thickBot="1" x14ac:dyDescent="0.2">
      <c r="A3" s="1"/>
      <c r="B3" s="156">
        <f ca="1">IF(ISERROR(VLOOKUP($B$2&amp;TEXT($C$2,"000"),GAMES!$A$3:$I$562,8,FALSE)),NOW(),VLOOKUP($B$2&amp;TEXT($C$2,"000"),GAMES!$A$3:$I$562,8,FALSE))</f>
        <v>45973.770833333336</v>
      </c>
      <c r="C3" s="157"/>
      <c r="D3" s="39">
        <v>600</v>
      </c>
      <c r="E3" s="29"/>
      <c r="F3" s="26">
        <f>SUBTOTAL(3,I17:I106)</f>
        <v>10</v>
      </c>
      <c r="G3" s="27">
        <f>IF(OR(D3="",D3=0),"",F3/D3)</f>
        <v>1.6666666666666666E-2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15">
      <c r="A4" s="2"/>
      <c r="B4" s="163" t="s">
        <v>86</v>
      </c>
      <c r="C4" s="164"/>
      <c r="D4" s="160" t="str">
        <f>IF(ISERROR(VLOOKUP(H4,Teams!$B$2:$C$44,2,FALSE)),"Local Team",VLOOKUP(H4,Teams!$B$2:$C$44,2,FALSE))</f>
        <v>Cedevita Olimpija Ljubljana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LJU</v>
      </c>
      <c r="I4" s="5"/>
      <c r="J4" s="119" t="s">
        <v>714</v>
      </c>
      <c r="K4" s="54" t="s">
        <v>742</v>
      </c>
      <c r="L4" s="5"/>
      <c r="M4" s="167" t="s">
        <v>775</v>
      </c>
      <c r="N4" s="168"/>
      <c r="O4" s="2"/>
      <c r="P4" s="2"/>
      <c r="Q4" s="84" t="s">
        <v>175</v>
      </c>
      <c r="R4" s="94">
        <f>(IF(G3="",0,G3))</f>
        <v>1.6666666666666666E-2</v>
      </c>
      <c r="S4" s="61">
        <f>SUM(I13:M13)</f>
        <v>0</v>
      </c>
      <c r="T4" s="78"/>
      <c r="U4" s="61">
        <f>AC18</f>
        <v>1</v>
      </c>
      <c r="V4" s="61">
        <f>+AC22</f>
        <v>7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" thickBot="1" x14ac:dyDescent="0.2">
      <c r="A5" s="2"/>
      <c r="B5" s="165" t="s">
        <v>87</v>
      </c>
      <c r="C5" s="166"/>
      <c r="D5" s="173" t="str">
        <f>IF(ISERROR(VLOOKUP(H5,Teams!$B$2:$C$44,2,FALSE)),"Visitor Team",VLOOKUP(H5,Teams!$B$2:$C$44,2,FALSE))</f>
        <v>Umana Reyer Venice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VNC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1.6666666666666667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7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" thickBot="1" x14ac:dyDescent="0.2">
      <c r="A6" s="2"/>
      <c r="B6" s="163" t="s">
        <v>95</v>
      </c>
      <c r="C6" s="164"/>
      <c r="D6" s="178" t="s">
        <v>749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1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14.166666666666666</v>
      </c>
      <c r="N7" s="58"/>
      <c r="O7" s="2"/>
      <c r="P7" s="2"/>
      <c r="Q7" s="86">
        <f>SUM(R5,S5,AC16)</f>
        <v>14.166666666666666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" thickBot="1" x14ac:dyDescent="0.2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14.166666666666668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" thickBot="1" x14ac:dyDescent="0.2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" thickBot="1" x14ac:dyDescent="0.2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2" thickBot="1" x14ac:dyDescent="0.2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" thickBot="1" x14ac:dyDescent="0.2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62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25" customHeight="1" thickBot="1" x14ac:dyDescent="0.2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" thickBot="1" x14ac:dyDescent="0.2">
      <c r="A14" s="1"/>
      <c r="B14" s="176" t="s">
        <v>162</v>
      </c>
      <c r="C14" s="177"/>
      <c r="D14" s="184" t="s">
        <v>776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10</v>
      </c>
      <c r="J15" s="24">
        <f>SUBTOTAL(3,J17:J106)</f>
        <v>10</v>
      </c>
      <c r="K15" s="24">
        <f>SUBTOTAL(3,K17:K106)</f>
        <v>10</v>
      </c>
      <c r="L15" s="24">
        <f>SUBTOTAL(3,L17:L106)</f>
        <v>10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2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 t="e">
        <f>SUM(Q17:Q106)</f>
        <v>#REF!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10</v>
      </c>
      <c r="Z16" s="90" t="s">
        <v>110</v>
      </c>
      <c r="AA16" s="75">
        <f>SUM(AA17:AA24)</f>
        <v>10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12.5</v>
      </c>
      <c r="AD16" s="75">
        <f>SUM(AD17:AD24)</f>
        <v>45</v>
      </c>
      <c r="AE16" s="76" t="s">
        <v>42</v>
      </c>
      <c r="AF16" s="75">
        <f>SUM(AF17:AF24)</f>
        <v>6</v>
      </c>
      <c r="AG16" s="75">
        <f>SUM(AG17:AG21)</f>
        <v>10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" x14ac:dyDescent="0.15">
      <c r="A17" s="20"/>
      <c r="B17" s="31" t="e">
        <f t="shared" ref="B17:B48" si="2">IF(C17="","",$B$2)</f>
        <v>#REF!</v>
      </c>
      <c r="C17" s="31" t="e">
        <f>IF(#REF!="","",$C$2)</f>
        <v>#REF!</v>
      </c>
      <c r="D17" s="32" t="s">
        <v>756</v>
      </c>
      <c r="E17" s="33">
        <v>1</v>
      </c>
      <c r="F17" s="36">
        <v>11</v>
      </c>
      <c r="G17" s="36">
        <v>10</v>
      </c>
      <c r="H17" s="38" t="e">
        <f>IF(#REF!="","",$I$14)</f>
        <v>#REF!</v>
      </c>
      <c r="I17" s="34">
        <v>52</v>
      </c>
      <c r="J17" s="13" t="s">
        <v>4</v>
      </c>
      <c r="K17" s="13" t="s">
        <v>63</v>
      </c>
      <c r="L17" s="13" t="s">
        <v>6</v>
      </c>
      <c r="M17" s="13" t="s">
        <v>10</v>
      </c>
      <c r="N17" s="35" t="s">
        <v>757</v>
      </c>
      <c r="O17" s="5" t="s">
        <v>19</v>
      </c>
      <c r="P17" s="5">
        <v>10</v>
      </c>
      <c r="Q17" s="84" t="e">
        <f>IF(AND(OR(#REF!="MISSING",#REF!="PART OF A SEQUENCE",#REF!="NOT HAPPENED"),OR(#REF!=$AE$37,#REF!=$AE$38,#REF!=$AE$43,#REF!=$AE$40,#REF!=$AE$25)),1,0)</f>
        <v>#REF!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10</v>
      </c>
      <c r="Z17" s="105" t="s">
        <v>63</v>
      </c>
      <c r="AA17" s="62">
        <f>COUNTIF($K$17:$K$106,Z17)</f>
        <v>4</v>
      </c>
      <c r="AB17" s="66" t="s">
        <v>19</v>
      </c>
      <c r="AC17" s="61">
        <f>COUNTIF($L$17:$L$106,AB17)</f>
        <v>0</v>
      </c>
      <c r="AD17" s="61">
        <f t="shared" ref="AD17:AD25" si="3">P17</f>
        <v>10</v>
      </c>
      <c r="AE17" s="66" t="s">
        <v>11</v>
      </c>
      <c r="AF17" s="65">
        <f>COUNTIF($M$17:$M$106,AE17)</f>
        <v>3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" x14ac:dyDescent="0.15">
      <c r="A18" s="20"/>
      <c r="B18" s="31" t="e">
        <f t="shared" si="2"/>
        <v>#REF!</v>
      </c>
      <c r="C18" s="31" t="e">
        <f>IF(#REF!="","",$C$2)</f>
        <v>#REF!</v>
      </c>
      <c r="D18" s="32" t="s">
        <v>758</v>
      </c>
      <c r="E18" s="33">
        <v>2</v>
      </c>
      <c r="F18" s="36">
        <v>19</v>
      </c>
      <c r="G18" s="36">
        <v>15</v>
      </c>
      <c r="H18" s="38" t="e">
        <f>IF(#REF!="","",$I$14)</f>
        <v>#REF!</v>
      </c>
      <c r="I18" s="34">
        <v>149</v>
      </c>
      <c r="J18" s="13" t="s">
        <v>4</v>
      </c>
      <c r="K18" s="13" t="s">
        <v>63</v>
      </c>
      <c r="L18" s="13" t="s">
        <v>7</v>
      </c>
      <c r="M18" s="13" t="s">
        <v>11</v>
      </c>
      <c r="N18" s="35" t="s">
        <v>759</v>
      </c>
      <c r="O18" s="5" t="s">
        <v>5</v>
      </c>
      <c r="P18" s="5">
        <v>0.5</v>
      </c>
      <c r="Q18" s="84" t="e">
        <f>IF(AND(OR(#REF!="MISSING",#REF!="PART OF A SEQUENCE",#REF!="NOT HAPPENED"),OR(#REF!=$AE$37,#REF!=$AE$38,#REF!=$AE$43,#REF!=$AE$40,#REF!=$AE$25)),1,0)</f>
        <v>#REF!</v>
      </c>
      <c r="R18" s="5" t="s">
        <v>171</v>
      </c>
      <c r="U18" s="66" t="s">
        <v>21</v>
      </c>
      <c r="V18" s="65">
        <f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6</v>
      </c>
      <c r="AB18" s="66" t="s">
        <v>5</v>
      </c>
      <c r="AC18" s="61">
        <f>COUNTIF($L$17:$L$106,AB18)</f>
        <v>1</v>
      </c>
      <c r="AD18" s="61">
        <f t="shared" si="3"/>
        <v>0.5</v>
      </c>
      <c r="AE18" s="66" t="s">
        <v>12</v>
      </c>
      <c r="AF18" s="65">
        <f>COUNTIF($M$17:$M$106,AE18)</f>
        <v>0</v>
      </c>
      <c r="AG18" s="62">
        <f>COUNTIF($E$17:$E$106,$AK18)</f>
        <v>4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" x14ac:dyDescent="0.15">
      <c r="A19" s="20"/>
      <c r="B19" s="31" t="e">
        <f t="shared" si="2"/>
        <v>#REF!</v>
      </c>
      <c r="C19" s="31" t="e">
        <f>IF(#REF!="","",$C$2)</f>
        <v>#REF!</v>
      </c>
      <c r="D19" s="32" t="s">
        <v>760</v>
      </c>
      <c r="E19" s="33">
        <v>2</v>
      </c>
      <c r="F19" s="36">
        <v>25</v>
      </c>
      <c r="G19" s="36">
        <v>27</v>
      </c>
      <c r="H19" s="38" t="e">
        <f>IF(#REF!="","",$I$14)</f>
        <v>#REF!</v>
      </c>
      <c r="I19" s="34">
        <v>191</v>
      </c>
      <c r="J19" s="13" t="s">
        <v>4</v>
      </c>
      <c r="K19" s="13" t="s">
        <v>63</v>
      </c>
      <c r="L19" s="13" t="s">
        <v>6</v>
      </c>
      <c r="M19" s="13" t="s">
        <v>168</v>
      </c>
      <c r="N19" s="35" t="s">
        <v>761</v>
      </c>
      <c r="O19" s="5" t="s">
        <v>76</v>
      </c>
      <c r="P19" s="5">
        <v>15</v>
      </c>
      <c r="Q19" s="84" t="e">
        <f>IF(AND(OR(#REF!="MISSING",#REF!="PART OF A SEQUENCE",#REF!="NOT HAPPENED"),OR(#REF!=$AE$37,#REF!=$AE$38,#REF!=$AE$43,#REF!=$AE$40,#REF!=$AE$25)),1,0)</f>
        <v>#REF!</v>
      </c>
      <c r="R19" s="5" t="s">
        <v>172</v>
      </c>
      <c r="U19" s="66" t="s">
        <v>8</v>
      </c>
      <c r="V19" s="65">
        <f>COUNTIF($M$17:$M$106,$U19)</f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>COUNTIF($L$17:$L$106,AB19)</f>
        <v>0</v>
      </c>
      <c r="AD19" s="61">
        <f t="shared" si="3"/>
        <v>15</v>
      </c>
      <c r="AE19" s="66" t="s">
        <v>19</v>
      </c>
      <c r="AF19" s="65">
        <f>COUNTIF($M$17:$M$106,AE19)</f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" x14ac:dyDescent="0.15">
      <c r="A20" s="20"/>
      <c r="B20" s="31" t="e">
        <f t="shared" si="2"/>
        <v>#REF!</v>
      </c>
      <c r="C20" s="31" t="e">
        <f>IF(#REF!="","",$C$2)</f>
        <v>#REF!</v>
      </c>
      <c r="D20" s="32" t="s">
        <v>762</v>
      </c>
      <c r="E20" s="33">
        <v>2</v>
      </c>
      <c r="F20" s="36">
        <v>40</v>
      </c>
      <c r="G20" s="36">
        <v>37</v>
      </c>
      <c r="H20" s="38" t="e">
        <f>IF(#REF!="","",$I$14)</f>
        <v>#REF!</v>
      </c>
      <c r="I20" s="34">
        <v>275</v>
      </c>
      <c r="J20" s="13" t="s">
        <v>4</v>
      </c>
      <c r="K20" s="13" t="s">
        <v>62</v>
      </c>
      <c r="L20" s="13" t="s">
        <v>6</v>
      </c>
      <c r="M20" s="13" t="s">
        <v>10</v>
      </c>
      <c r="N20" s="35" t="s">
        <v>763</v>
      </c>
      <c r="O20" s="5" t="s">
        <v>24</v>
      </c>
      <c r="P20" s="5">
        <v>10</v>
      </c>
      <c r="Q20" s="84" t="e">
        <f>IF(AND(OR(#REF!="MISSING",#REF!="PART OF A SEQUENCE",#REF!="NOT HAPPENED"),OR(#REF!=$AE$37,#REF!=$AE$38,#REF!=$AE$43,#REF!=$AE$40,#REF!=$AE$25)),1,0)</f>
        <v>#REF!</v>
      </c>
      <c r="R20" s="5" t="s">
        <v>171</v>
      </c>
      <c r="U20" s="66" t="s">
        <v>29</v>
      </c>
      <c r="V20" s="65">
        <f>COUNTIF($M$17:$M$106,$U20)</f>
        <v>0</v>
      </c>
      <c r="X20" s="82"/>
      <c r="Y20" s="83"/>
      <c r="Z20" s="88"/>
      <c r="AA20" s="65"/>
      <c r="AB20" s="66" t="s">
        <v>24</v>
      </c>
      <c r="AC20" s="61">
        <f>COUNTIF($L$17:$L$106,AB20)</f>
        <v>0</v>
      </c>
      <c r="AD20" s="61">
        <f t="shared" si="3"/>
        <v>10</v>
      </c>
      <c r="AE20" s="66" t="s">
        <v>168</v>
      </c>
      <c r="AF20" s="65">
        <f>COUNTIF($M$17:$M$106,AE20)</f>
        <v>3</v>
      </c>
      <c r="AG20" s="62">
        <f>COUNTIF($E$17:$E$106,$AK20)</f>
        <v>3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" x14ac:dyDescent="0.15">
      <c r="A21" s="20"/>
      <c r="B21" s="31" t="e">
        <f t="shared" si="2"/>
        <v>#REF!</v>
      </c>
      <c r="C21" s="31" t="e">
        <f>IF(#REF!="","",$C$2)</f>
        <v>#REF!</v>
      </c>
      <c r="D21" s="32" t="s">
        <v>764</v>
      </c>
      <c r="E21" s="33">
        <v>2</v>
      </c>
      <c r="F21" s="36">
        <v>42</v>
      </c>
      <c r="G21" s="36">
        <v>37</v>
      </c>
      <c r="H21" s="38" t="e">
        <f>IF(#REF!="","",$I$14)</f>
        <v>#REF!</v>
      </c>
      <c r="I21" s="34">
        <v>279</v>
      </c>
      <c r="J21" s="13" t="s">
        <v>4</v>
      </c>
      <c r="K21" s="13" t="s">
        <v>62</v>
      </c>
      <c r="L21" s="13" t="s">
        <v>6</v>
      </c>
      <c r="M21" s="13" t="s">
        <v>22</v>
      </c>
      <c r="N21" s="35" t="s">
        <v>765</v>
      </c>
      <c r="O21" s="5" t="s">
        <v>46</v>
      </c>
      <c r="P21" s="5">
        <v>5</v>
      </c>
      <c r="Q21" s="84" t="e">
        <f>IF(AND(OR(#REF!="MISSING",#REF!="PART OF A SEQUENCE",#REF!="NOT HAPPENED"),OR(#REF!=$AE$37,#REF!=$AE$38,#REF!=$AE$43,#REF!=$AE$40,#REF!=$AE$25)),1,0)</f>
        <v>#REF!</v>
      </c>
      <c r="R21" s="5" t="s">
        <v>172</v>
      </c>
      <c r="U21" s="66" t="s">
        <v>31</v>
      </c>
      <c r="V21" s="65">
        <f>COUNTIF($M$17:$M$106,$U21)</f>
        <v>0</v>
      </c>
      <c r="X21" s="82"/>
      <c r="Y21" s="83"/>
      <c r="Z21" s="105"/>
      <c r="AA21" s="65"/>
      <c r="AB21" s="66" t="s">
        <v>46</v>
      </c>
      <c r="AC21" s="61">
        <f>COUNTIF($L$17:$L$106,AB21)</f>
        <v>0</v>
      </c>
      <c r="AD21" s="61">
        <f t="shared" si="3"/>
        <v>5</v>
      </c>
      <c r="AE21" s="66" t="s">
        <v>20</v>
      </c>
      <c r="AF21" s="65">
        <f>COUNTIF($M$17:$M$106,AE21)</f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" x14ac:dyDescent="0.15">
      <c r="A22" s="20"/>
      <c r="B22" s="31" t="e">
        <f t="shared" si="2"/>
        <v>#REF!</v>
      </c>
      <c r="C22" s="31" t="e">
        <f>IF(#REF!="","",$C$2)</f>
        <v>#REF!</v>
      </c>
      <c r="D22" s="32" t="s">
        <v>766</v>
      </c>
      <c r="E22" s="33">
        <v>3</v>
      </c>
      <c r="F22" s="36">
        <v>45</v>
      </c>
      <c r="G22" s="36">
        <v>39</v>
      </c>
      <c r="H22" s="38" t="e">
        <f>IF(#REF!="","",$I$14)</f>
        <v>#REF!</v>
      </c>
      <c r="I22" s="34">
        <v>309</v>
      </c>
      <c r="J22" s="13" t="s">
        <v>4</v>
      </c>
      <c r="K22" s="13" t="s">
        <v>63</v>
      </c>
      <c r="L22" s="13" t="s">
        <v>5</v>
      </c>
      <c r="M22" s="13" t="s">
        <v>168</v>
      </c>
      <c r="N22" s="35" t="s">
        <v>767</v>
      </c>
      <c r="O22" s="5" t="s">
        <v>6</v>
      </c>
      <c r="P22" s="5">
        <v>1</v>
      </c>
      <c r="Q22" s="84" t="e">
        <f>IF(AND(OR(#REF!="MISSING",#REF!="PART OF A SEQUENCE",#REF!="NOT HAPPENED"),OR(#REF!=$AE$37,#REF!=$AE$38,#REF!=$AE$43,#REF!=$AE$40,#REF!=$AE$25)),1,0)</f>
        <v>#REF!</v>
      </c>
      <c r="R22" s="5"/>
      <c r="U22" s="66" t="s">
        <v>32</v>
      </c>
      <c r="V22" s="65">
        <f>COUNTIF($M$17:$M$106,$U22)</f>
        <v>0</v>
      </c>
      <c r="X22" s="82"/>
      <c r="Y22" s="83"/>
      <c r="Z22" s="105"/>
      <c r="AA22" s="65"/>
      <c r="AB22" s="66" t="s">
        <v>6</v>
      </c>
      <c r="AC22" s="61">
        <f>COUNTIF($L$17:$L$106,AB22)</f>
        <v>7</v>
      </c>
      <c r="AD22" s="61">
        <f t="shared" si="3"/>
        <v>1</v>
      </c>
      <c r="AE22" s="66" t="s">
        <v>167</v>
      </c>
      <c r="AF22" s="65">
        <f>COUNTIF($M$17:$M$106,AE22)</f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" x14ac:dyDescent="0.15">
      <c r="A23" s="20"/>
      <c r="B23" s="31" t="e">
        <f t="shared" si="2"/>
        <v>#REF!</v>
      </c>
      <c r="C23" s="31" t="e">
        <f>IF(#REF!="","",$C$2)</f>
        <v>#REF!</v>
      </c>
      <c r="D23" s="32" t="s">
        <v>768</v>
      </c>
      <c r="E23" s="33">
        <v>3</v>
      </c>
      <c r="F23" s="36">
        <v>47</v>
      </c>
      <c r="G23" s="36">
        <v>43</v>
      </c>
      <c r="H23" s="38" t="e">
        <f>IF(#REF!="","",$I$14)</f>
        <v>#REF!</v>
      </c>
      <c r="I23" s="34">
        <v>338</v>
      </c>
      <c r="J23" s="13" t="s">
        <v>4</v>
      </c>
      <c r="K23" s="13" t="s">
        <v>62</v>
      </c>
      <c r="L23" s="13" t="s">
        <v>6</v>
      </c>
      <c r="M23" s="13" t="s">
        <v>22</v>
      </c>
      <c r="N23" s="35" t="s">
        <v>765</v>
      </c>
      <c r="O23" s="5" t="s">
        <v>7</v>
      </c>
      <c r="P23" s="5">
        <v>2.5</v>
      </c>
      <c r="Q23" s="84" t="e">
        <f>IF(AND(OR(#REF!="MISSING",#REF!="PART OF A SEQUENCE",#REF!="NOT HAPPENED"),OR(#REF!=$AE$37,#REF!=$AE$38,#REF!=$AE$43,#REF!=$AE$40,#REF!=$AE$25)),1,0)</f>
        <v>#REF!</v>
      </c>
      <c r="R23" s="5"/>
      <c r="U23" s="66" t="s">
        <v>33</v>
      </c>
      <c r="V23" s="65">
        <f>COUNTIF($M$17:$M$106,$U23)</f>
        <v>0</v>
      </c>
      <c r="X23" s="82"/>
      <c r="Y23" s="83"/>
      <c r="Z23" s="105"/>
      <c r="AA23" s="65"/>
      <c r="AB23" s="66" t="s">
        <v>7</v>
      </c>
      <c r="AC23" s="61">
        <f>COUNTIF($L$17:$L$106,AB23)</f>
        <v>2</v>
      </c>
      <c r="AD23" s="61">
        <f t="shared" si="3"/>
        <v>2.5</v>
      </c>
      <c r="AE23" s="66" t="s">
        <v>21</v>
      </c>
      <c r="AF23" s="65">
        <f>COUNTIF($M$17:$M$106,AE23)</f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" x14ac:dyDescent="0.15">
      <c r="A24" s="20"/>
      <c r="B24" s="31" t="e">
        <f t="shared" si="2"/>
        <v>#REF!</v>
      </c>
      <c r="C24" s="31" t="e">
        <f>IF(#REF!="","",$C$2)</f>
        <v>#REF!</v>
      </c>
      <c r="D24" s="32" t="s">
        <v>769</v>
      </c>
      <c r="E24" s="33">
        <v>4</v>
      </c>
      <c r="F24" s="36">
        <v>79</v>
      </c>
      <c r="G24" s="36">
        <v>57</v>
      </c>
      <c r="H24" s="38" t="e">
        <f>IF(#REF!="","",$I$14)</f>
        <v>#REF!</v>
      </c>
      <c r="I24" s="34">
        <v>512</v>
      </c>
      <c r="J24" s="13" t="s">
        <v>4</v>
      </c>
      <c r="K24" s="13" t="s">
        <v>62</v>
      </c>
      <c r="L24" s="13" t="s">
        <v>6</v>
      </c>
      <c r="M24" s="13" t="s">
        <v>11</v>
      </c>
      <c r="N24" s="35" t="s">
        <v>770</v>
      </c>
      <c r="O24" s="5" t="s">
        <v>47</v>
      </c>
      <c r="P24" s="5">
        <v>1</v>
      </c>
      <c r="Q24" s="84" t="e">
        <f>IF(AND(OR(#REF!="MISSING",#REF!="PART OF A SEQUENCE",#REF!="NOT HAPPENED"),OR(#REF!=$AE$37,#REF!=$AE$38,#REF!=$AE$43,#REF!=$AE$40,#REF!=$AE$25)),1,0)</f>
        <v>#REF!</v>
      </c>
      <c r="R24" s="5" t="s">
        <v>171</v>
      </c>
      <c r="U24" s="66" t="s">
        <v>40</v>
      </c>
      <c r="V24" s="65">
        <f>COUNTIF($M$17:$M$106,$U24)</f>
        <v>0</v>
      </c>
      <c r="X24" s="82"/>
      <c r="Y24" s="83"/>
      <c r="Z24" s="105"/>
      <c r="AA24" s="65"/>
      <c r="AB24" s="66" t="s">
        <v>47</v>
      </c>
      <c r="AC24" s="61">
        <f>COUNTIF($L$17:$L$106,AB24)</f>
        <v>0</v>
      </c>
      <c r="AD24" s="61">
        <f t="shared" si="3"/>
        <v>1</v>
      </c>
      <c r="AE24" s="66" t="s">
        <v>8</v>
      </c>
      <c r="AF24" s="65">
        <f>COUNTIF($M$17:$M$106,AE24)</f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" x14ac:dyDescent="0.15">
      <c r="A25" s="20"/>
      <c r="B25" s="31" t="e">
        <f t="shared" si="2"/>
        <v>#REF!</v>
      </c>
      <c r="C25" s="31" t="e">
        <f>IF(#REF!="","",$C$2)</f>
        <v>#REF!</v>
      </c>
      <c r="D25" s="32" t="s">
        <v>771</v>
      </c>
      <c r="E25" s="33">
        <v>4</v>
      </c>
      <c r="F25" s="36">
        <v>79</v>
      </c>
      <c r="G25" s="36">
        <v>57</v>
      </c>
      <c r="H25" s="38" t="e">
        <f>IF(#REF!="","",$I$14)</f>
        <v>#REF!</v>
      </c>
      <c r="I25" s="34">
        <v>514</v>
      </c>
      <c r="J25" s="13" t="s">
        <v>4</v>
      </c>
      <c r="K25" s="13" t="s">
        <v>62</v>
      </c>
      <c r="L25" s="13" t="s">
        <v>6</v>
      </c>
      <c r="M25" s="13" t="s">
        <v>168</v>
      </c>
      <c r="N25" s="35" t="s">
        <v>772</v>
      </c>
      <c r="O25" s="5" t="s">
        <v>48</v>
      </c>
      <c r="P25" s="5">
        <v>2</v>
      </c>
      <c r="Q25" s="84" t="e">
        <f>IF(AND(OR(#REF!="MISSING",#REF!="PART OF A SEQUENCE",#REF!="NOT HAPPENED"),OR(#REF!=$AE$37,#REF!=$AE$38,#REF!=$AE$43,#REF!=$AE$40,#REF!=$AE$25)),1,0)</f>
        <v>#REF!</v>
      </c>
      <c r="R25" s="5"/>
      <c r="U25" s="73"/>
      <c r="X25" s="82"/>
      <c r="Y25" s="83"/>
      <c r="Z25" s="105"/>
      <c r="AA25" s="65"/>
      <c r="AB25" s="66" t="s">
        <v>48</v>
      </c>
      <c r="AC25" s="61">
        <f>COUNTIF($L$17:$L$106,AB25)</f>
        <v>0</v>
      </c>
      <c r="AD25" s="61">
        <f t="shared" si="3"/>
        <v>2</v>
      </c>
      <c r="AE25" s="66" t="s">
        <v>22</v>
      </c>
      <c r="AF25" s="65">
        <f>COUNTIF($M$17:$M$106,AE25)</f>
        <v>2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" x14ac:dyDescent="0.15">
      <c r="A26" s="20"/>
      <c r="B26" s="31" t="str">
        <f t="shared" si="2"/>
        <v>U2025</v>
      </c>
      <c r="C26" s="31">
        <f>IF(I17="","",$C$2)</f>
        <v>62</v>
      </c>
      <c r="D26" s="32" t="s">
        <v>773</v>
      </c>
      <c r="E26" s="33">
        <v>4</v>
      </c>
      <c r="F26" s="36">
        <v>91</v>
      </c>
      <c r="G26" s="36">
        <v>65</v>
      </c>
      <c r="H26" s="38" t="str">
        <f>IF(I17="","",$I$14)</f>
        <v>SCOUTING</v>
      </c>
      <c r="I26" s="34">
        <v>588</v>
      </c>
      <c r="J26" s="13" t="s">
        <v>4</v>
      </c>
      <c r="K26" s="13" t="s">
        <v>62</v>
      </c>
      <c r="L26" s="13" t="s">
        <v>7</v>
      </c>
      <c r="M26" s="13" t="s">
        <v>11</v>
      </c>
      <c r="N26" s="35" t="s">
        <v>774</v>
      </c>
      <c r="O26" s="5" t="s">
        <v>77</v>
      </c>
      <c r="P26" s="5">
        <v>20</v>
      </c>
      <c r="Q26" s="84">
        <f>IF(AND(OR(L17="MISSING",L17="PART OF A SEQUENCE",L17="NOT HAPPENED"),OR(M17=$AE$37,M17=$AE$38,M17=$AE$43,M17=$AE$40,M17=$AE$25)),1,0)</f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>COUNTIF($L$17:$L$106,AB26)</f>
        <v>0</v>
      </c>
      <c r="AD26" s="61">
        <v>20</v>
      </c>
      <c r="AE26" s="66" t="s">
        <v>23</v>
      </c>
      <c r="AF26" s="65">
        <f>COUNTIF($M$17:$M$106,AE26)</f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" x14ac:dyDescent="0.15">
      <c r="A27" s="20"/>
      <c r="B27" s="31" t="str">
        <f t="shared" si="2"/>
        <v>U2025</v>
      </c>
      <c r="C27" s="31">
        <f>IF(I18="","",$C$2)</f>
        <v>62</v>
      </c>
      <c r="D27" s="213"/>
      <c r="E27" s="213"/>
      <c r="F27" s="213"/>
      <c r="G27" s="213"/>
      <c r="H27" s="38" t="str">
        <f>IF(I18="","",$I$14)</f>
        <v>SCOUTING</v>
      </c>
      <c r="I27" s="213"/>
      <c r="J27" s="213"/>
      <c r="K27" s="213"/>
      <c r="L27" s="213"/>
      <c r="M27" s="213"/>
      <c r="N27" s="213"/>
      <c r="O27" s="5" t="s">
        <v>78</v>
      </c>
      <c r="P27" s="5">
        <v>5</v>
      </c>
      <c r="Q27" s="84">
        <f>IF(AND(OR(L18="MISSING",L18="PART OF A SEQUENCE",L18="NOT HAPPENED"),OR(M18=$AE$37,M18=$AE$38,M18=$AE$43,M18=$AE$40,M18=$AE$25)),1,0)</f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>COUNTIF($L$17:$L$106,AB27)</f>
        <v>0</v>
      </c>
      <c r="AD27" s="61">
        <f>P27</f>
        <v>5</v>
      </c>
      <c r="AE27" s="66" t="s">
        <v>24</v>
      </c>
      <c r="AF27" s="65">
        <f>COUNTIF($M$17:$M$106,AE27)</f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" x14ac:dyDescent="0.15">
      <c r="A28" s="20"/>
      <c r="B28" s="31" t="str">
        <f t="shared" si="2"/>
        <v>U2025</v>
      </c>
      <c r="C28" s="31">
        <f>IF(I19="","",$C$2)</f>
        <v>62</v>
      </c>
      <c r="D28" s="213"/>
      <c r="E28" s="213"/>
      <c r="F28" s="213"/>
      <c r="G28" s="213"/>
      <c r="H28" s="38" t="str">
        <f>IF(I19="","",$I$14)</f>
        <v>SCOUTING</v>
      </c>
      <c r="I28" s="213"/>
      <c r="J28" s="213"/>
      <c r="K28" s="213"/>
      <c r="L28" s="213"/>
      <c r="M28" s="213"/>
      <c r="N28" s="213"/>
      <c r="O28" s="5" t="s">
        <v>36</v>
      </c>
      <c r="P28" s="5">
        <v>10</v>
      </c>
      <c r="Q28" s="84">
        <f>IF(AND(OR(L19="MISSING",L19="PART OF A SEQUENCE",L19="NOT HAPPENED"),OR(M19=$AE$37,M19=$AE$38,M19=$AE$43,M19=$AE$40,M19=$AE$25)),1,0)</f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>COUNTIF($L$17:$L$106,AB28)</f>
        <v>0</v>
      </c>
      <c r="AD28" s="61">
        <f>P28</f>
        <v>10</v>
      </c>
      <c r="AE28" s="66" t="s">
        <v>46</v>
      </c>
      <c r="AF28" s="65">
        <f>COUNTIF($M$17:$M$106,AE28)</f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" x14ac:dyDescent="0.15">
      <c r="A29" s="20"/>
      <c r="B29" s="31" t="str">
        <f t="shared" si="2"/>
        <v>U2025</v>
      </c>
      <c r="C29" s="31">
        <f>IF(I20="","",$C$2)</f>
        <v>62</v>
      </c>
      <c r="D29" s="213"/>
      <c r="E29" s="213"/>
      <c r="F29" s="213"/>
      <c r="G29" s="213"/>
      <c r="H29" s="38" t="str">
        <f>IF(I20="","",$I$14)</f>
        <v>SCOUTING</v>
      </c>
      <c r="I29" s="213"/>
      <c r="J29" s="213"/>
      <c r="K29" s="213"/>
      <c r="L29" s="213"/>
      <c r="M29" s="213"/>
      <c r="N29" s="213"/>
      <c r="O29" s="5" t="s">
        <v>75</v>
      </c>
      <c r="P29" s="5">
        <v>1</v>
      </c>
      <c r="Q29" s="84">
        <f>IF(AND(OR(L20="MISSING",L20="PART OF A SEQUENCE",L20="NOT HAPPENED"),OR(M20=$AE$37,M20=$AE$38,M20=$AE$43,M20=$AE$40,M20=$AE$25)),1,0)</f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>COUNTIF($L$17:$L$106,AB29)</f>
        <v>0</v>
      </c>
      <c r="AD29" s="61">
        <f>P29</f>
        <v>1</v>
      </c>
      <c r="AE29" s="66" t="s">
        <v>25</v>
      </c>
      <c r="AF29" s="65">
        <f>COUNTIF($M$17:$M$106,AE29)</f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" x14ac:dyDescent="0.15">
      <c r="A30" s="20"/>
      <c r="B30" s="31" t="str">
        <f t="shared" si="2"/>
        <v>U2025</v>
      </c>
      <c r="C30" s="31">
        <f>IF(I21="","",$C$2)</f>
        <v>62</v>
      </c>
      <c r="D30" s="213"/>
      <c r="E30" s="213"/>
      <c r="F30" s="213"/>
      <c r="G30" s="213"/>
      <c r="H30" s="38" t="str">
        <f>IF(I21="","",$I$14)</f>
        <v>SCOUTING</v>
      </c>
      <c r="I30" s="213"/>
      <c r="J30" s="213"/>
      <c r="K30" s="213"/>
      <c r="L30" s="213"/>
      <c r="M30" s="213"/>
      <c r="N30" s="213"/>
      <c r="O30" s="5"/>
      <c r="P30" s="5"/>
      <c r="Q30" s="84">
        <f>IF(AND(OR(L21="MISSING",L21="PART OF A SEQUENCE",L21="NOT HAPPENED"),OR(M21=$AE$37,M21=$AE$38,M21=$AE$43,M21=$AE$40,M21=$AE$25)),1,0)</f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>COUNTIF($M$17:$M$106,AE30)</f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" x14ac:dyDescent="0.15">
      <c r="A31" s="20"/>
      <c r="B31" s="31" t="str">
        <f t="shared" si="2"/>
        <v>U2025</v>
      </c>
      <c r="C31" s="31">
        <f>IF(I22="","",$C$2)</f>
        <v>62</v>
      </c>
      <c r="D31" s="213"/>
      <c r="E31" s="213"/>
      <c r="F31" s="213"/>
      <c r="G31" s="213"/>
      <c r="H31" s="38" t="str">
        <f>IF(I22="","",$I$14)</f>
        <v>SCOUTING</v>
      </c>
      <c r="I31" s="213"/>
      <c r="J31" s="213"/>
      <c r="K31" s="213"/>
      <c r="L31" s="213"/>
      <c r="M31" s="213"/>
      <c r="N31" s="213"/>
      <c r="O31" s="5"/>
      <c r="P31" s="5"/>
      <c r="Q31" s="84">
        <f>IF(AND(OR(L22="MISSING",L22="PART OF A SEQUENCE",L22="NOT HAPPENED"),OR(M22=$AE$37,M22=$AE$38,M22=$AE$43,M22=$AE$40,M22=$AE$25)),1,0)</f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>COUNTIF($M$17:$M$106,AE31)</f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" x14ac:dyDescent="0.15">
      <c r="A32" s="20"/>
      <c r="B32" s="31" t="str">
        <f t="shared" si="2"/>
        <v>U2025</v>
      </c>
      <c r="C32" s="31">
        <f>IF(I23="","",$C$2)</f>
        <v>62</v>
      </c>
      <c r="D32" s="213"/>
      <c r="E32" s="213"/>
      <c r="F32" s="213"/>
      <c r="G32" s="213"/>
      <c r="H32" s="38" t="str">
        <f>IF(I23="","",$I$14)</f>
        <v>SCOUTING</v>
      </c>
      <c r="I32" s="213"/>
      <c r="J32" s="213"/>
      <c r="K32" s="213"/>
      <c r="L32" s="213"/>
      <c r="M32" s="213"/>
      <c r="N32" s="213"/>
      <c r="O32" s="5"/>
      <c r="P32" s="5"/>
      <c r="Q32" s="84">
        <f>IF(AND(OR(L23="MISSING",L23="PART OF A SEQUENCE",L23="NOT HAPPENED"),OR(M23=$AE$37,M23=$AE$38,M23=$AE$43,M23=$AE$40,M23=$AE$25)),1,0)</f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>COUNTIF($M$17:$M$106,AE32)</f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" x14ac:dyDescent="0.15">
      <c r="A33" s="20"/>
      <c r="B33" s="31" t="str">
        <f t="shared" si="2"/>
        <v>U2025</v>
      </c>
      <c r="C33" s="31">
        <f>IF(I24="","",$C$2)</f>
        <v>62</v>
      </c>
      <c r="D33" s="213"/>
      <c r="E33" s="213"/>
      <c r="F33" s="213"/>
      <c r="G33" s="213"/>
      <c r="H33" s="38" t="str">
        <f>IF(I24="","",$I$14)</f>
        <v>SCOUTING</v>
      </c>
      <c r="I33" s="213"/>
      <c r="J33" s="213"/>
      <c r="K33" s="213"/>
      <c r="L33" s="213"/>
      <c r="M33" s="213"/>
      <c r="N33" s="213"/>
      <c r="O33" s="5"/>
      <c r="P33" s="5"/>
      <c r="Q33" s="84">
        <f>IF(AND(OR(L24="MISSING",L24="PART OF A SEQUENCE",L24="NOT HAPPENED"),OR(M24=$AE$37,M24=$AE$38,M24=$AE$43,M24=$AE$40,M24=$AE$25)),1,0)</f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>COUNTIF($M$17:$M$106,AE33)</f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" x14ac:dyDescent="0.15">
      <c r="A34" s="20"/>
      <c r="B34" s="31" t="str">
        <f t="shared" si="2"/>
        <v>U2025</v>
      </c>
      <c r="C34" s="31">
        <f>IF(I25="","",$C$2)</f>
        <v>62</v>
      </c>
      <c r="D34" s="213"/>
      <c r="E34" s="213"/>
      <c r="F34" s="213"/>
      <c r="G34" s="213"/>
      <c r="H34" s="38" t="str">
        <f>IF(I25="","",$I$14)</f>
        <v>SCOUTING</v>
      </c>
      <c r="I34" s="213"/>
      <c r="J34" s="213"/>
      <c r="K34" s="213"/>
      <c r="L34" s="213"/>
      <c r="M34" s="213"/>
      <c r="N34" s="213"/>
      <c r="O34" s="5"/>
      <c r="P34" s="5"/>
      <c r="Q34" s="84">
        <f>IF(AND(OR(L25="MISSING",L25="PART OF A SEQUENCE",L25="NOT HAPPENED"),OR(M25=$AE$37,M25=$AE$38,M25=$AE$43,M25=$AE$40,M25=$AE$25)),1,0)</f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>COUNTIF($M$17:$M$106,AE34)</f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" x14ac:dyDescent="0.15">
      <c r="A35" s="20"/>
      <c r="B35" s="31" t="str">
        <f t="shared" si="2"/>
        <v>U2025</v>
      </c>
      <c r="C35" s="31">
        <f>IF(I26="","",$C$2)</f>
        <v>62</v>
      </c>
      <c r="D35" s="213"/>
      <c r="E35" s="213"/>
      <c r="F35" s="213"/>
      <c r="G35" s="213"/>
      <c r="H35" s="38" t="str">
        <f>IF(I26="","",$I$14)</f>
        <v>SCOUTING</v>
      </c>
      <c r="I35" s="213"/>
      <c r="J35" s="213"/>
      <c r="K35" s="213"/>
      <c r="L35" s="213"/>
      <c r="M35" s="213"/>
      <c r="N35" s="213"/>
      <c r="O35" s="5"/>
      <c r="P35" s="5"/>
      <c r="Q35" s="84">
        <f>IF(AND(OR(L26="MISSING",L26="PART OF A SEQUENCE",L26="NOT HAPPENED"),OR(M26=$AE$37,M26=$AE$38,M26=$AE$43,M26=$AE$40,M26=$AE$25)),1,0)</f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>COUNTIF($M$17:$M$106,AE35)</f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" x14ac:dyDescent="0.15">
      <c r="A36" s="20"/>
      <c r="B36" s="31" t="str">
        <f t="shared" si="2"/>
        <v/>
      </c>
      <c r="C36" s="31" t="str">
        <f t="shared" ref="C17:C48" si="4">IF(I36="","",$C$2)</f>
        <v/>
      </c>
      <c r="D36" s="32"/>
      <c r="E36" s="33"/>
      <c r="F36" s="36"/>
      <c r="G36" s="36"/>
      <c r="H36" s="38" t="str">
        <f t="shared" ref="H18:H81" si="5">IF(I36="","",$I$14)</f>
        <v/>
      </c>
      <c r="I36" s="34"/>
      <c r="J36" s="13"/>
      <c r="K36" s="13"/>
      <c r="L36" s="13"/>
      <c r="M36" s="13"/>
      <c r="N36" s="35"/>
      <c r="O36" s="5"/>
      <c r="P36" s="5"/>
      <c r="Q36" s="84">
        <f t="shared" ref="Q17:Q48" si="6">IF(AND(OR(L36="MISSING",L36="PART OF A SEQUENCE",L36="NOT HAPPENED"),OR(M36=$AE$37,M36=$AE$38,M36=$AE$43,M36=$AE$40,M36=$AE$25)),1,0)</f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>COUNTIF($M$17:$M$106,AE36)</f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" x14ac:dyDescent="0.15">
      <c r="A37" s="20"/>
      <c r="B37" s="31" t="str">
        <f t="shared" si="2"/>
        <v/>
      </c>
      <c r="C37" s="31" t="str">
        <f t="shared" si="4"/>
        <v/>
      </c>
      <c r="D37" s="32"/>
      <c r="E37" s="33"/>
      <c r="F37" s="36"/>
      <c r="G37" s="36"/>
      <c r="H37" s="38" t="str">
        <f t="shared" si="5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6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>COUNTIF($M$17:$M$106,AE37)</f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" x14ac:dyDescent="0.15">
      <c r="A38" s="20"/>
      <c r="B38" s="31" t="str">
        <f t="shared" si="2"/>
        <v/>
      </c>
      <c r="C38" s="31" t="str">
        <f t="shared" si="4"/>
        <v/>
      </c>
      <c r="D38" s="32"/>
      <c r="E38" s="33"/>
      <c r="F38" s="36"/>
      <c r="G38" s="36"/>
      <c r="H38" s="38" t="str">
        <f t="shared" si="5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6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>COUNTIF($M$17:$M$106,AE38)</f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" x14ac:dyDescent="0.15">
      <c r="A39" s="20"/>
      <c r="B39" s="31" t="str">
        <f t="shared" si="2"/>
        <v/>
      </c>
      <c r="C39" s="31" t="str">
        <f t="shared" si="4"/>
        <v/>
      </c>
      <c r="D39" s="32"/>
      <c r="E39" s="33"/>
      <c r="F39" s="36"/>
      <c r="G39" s="36"/>
      <c r="H39" s="38" t="str">
        <f t="shared" si="5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6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>COUNTIF($M$17:$M$106,AE39)</f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" x14ac:dyDescent="0.15">
      <c r="A40" s="20"/>
      <c r="B40" s="31" t="str">
        <f t="shared" si="2"/>
        <v/>
      </c>
      <c r="C40" s="31" t="str">
        <f t="shared" si="4"/>
        <v/>
      </c>
      <c r="D40" s="32"/>
      <c r="E40" s="33"/>
      <c r="F40" s="36"/>
      <c r="G40" s="36"/>
      <c r="H40" s="38" t="str">
        <f t="shared" si="5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6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>COUNTIF($M$17:$M$106,AE40)</f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" x14ac:dyDescent="0.15">
      <c r="A41" s="20"/>
      <c r="B41" s="31" t="str">
        <f t="shared" si="2"/>
        <v/>
      </c>
      <c r="C41" s="31" t="str">
        <f t="shared" si="4"/>
        <v/>
      </c>
      <c r="D41" s="32"/>
      <c r="E41" s="33"/>
      <c r="F41" s="36"/>
      <c r="G41" s="36"/>
      <c r="H41" s="38" t="str">
        <f t="shared" si="5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6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>COUNTIF($M$17:$M$106,AE41)</f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" x14ac:dyDescent="0.15">
      <c r="A42" s="20"/>
      <c r="B42" s="31" t="str">
        <f t="shared" si="2"/>
        <v/>
      </c>
      <c r="C42" s="31" t="str">
        <f t="shared" si="4"/>
        <v/>
      </c>
      <c r="D42" s="32"/>
      <c r="E42" s="33"/>
      <c r="F42" s="36"/>
      <c r="G42" s="36"/>
      <c r="H42" s="38" t="str">
        <f t="shared" si="5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6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>COUNTIF($M$17:$M$106,AE42)</f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" x14ac:dyDescent="0.15">
      <c r="A43" s="20"/>
      <c r="B43" s="31" t="str">
        <f t="shared" si="2"/>
        <v/>
      </c>
      <c r="C43" s="31" t="str">
        <f t="shared" si="4"/>
        <v/>
      </c>
      <c r="D43" s="32"/>
      <c r="E43" s="33"/>
      <c r="F43" s="36"/>
      <c r="G43" s="36"/>
      <c r="H43" s="38" t="str">
        <f t="shared" si="5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6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>COUNTIF($M$17:$M$106,AE43)</f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" x14ac:dyDescent="0.15">
      <c r="A44" s="20"/>
      <c r="B44" s="31" t="str">
        <f t="shared" si="2"/>
        <v/>
      </c>
      <c r="C44" s="31" t="str">
        <f t="shared" si="4"/>
        <v/>
      </c>
      <c r="D44" s="32"/>
      <c r="E44" s="33"/>
      <c r="F44" s="36"/>
      <c r="G44" s="36"/>
      <c r="H44" s="38" t="str">
        <f t="shared" si="5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6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>COUNTIF($M$17:$M$106,AE44)</f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" x14ac:dyDescent="0.15">
      <c r="A45" s="20"/>
      <c r="B45" s="31" t="str">
        <f t="shared" si="2"/>
        <v/>
      </c>
      <c r="C45" s="31" t="str">
        <f t="shared" si="4"/>
        <v/>
      </c>
      <c r="D45" s="32"/>
      <c r="E45" s="33"/>
      <c r="F45" s="36"/>
      <c r="G45" s="36"/>
      <c r="H45" s="38" t="str">
        <f t="shared" si="5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6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>COUNTIF($M$17:$M$106,AE45)</f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" x14ac:dyDescent="0.15">
      <c r="A46" s="20"/>
      <c r="B46" s="31" t="str">
        <f t="shared" si="2"/>
        <v/>
      </c>
      <c r="C46" s="31" t="str">
        <f t="shared" si="4"/>
        <v/>
      </c>
      <c r="D46" s="32"/>
      <c r="E46" s="33"/>
      <c r="F46" s="36"/>
      <c r="G46" s="36"/>
      <c r="H46" s="38" t="str">
        <f t="shared" si="5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6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>COUNTIF($M$17:$M$106,AE46)</f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" x14ac:dyDescent="0.15">
      <c r="A47" s="20"/>
      <c r="B47" s="31" t="str">
        <f t="shared" si="2"/>
        <v/>
      </c>
      <c r="C47" s="31" t="str">
        <f t="shared" si="4"/>
        <v/>
      </c>
      <c r="D47" s="32"/>
      <c r="E47" s="33"/>
      <c r="F47" s="36"/>
      <c r="G47" s="36"/>
      <c r="H47" s="38" t="str">
        <f t="shared" si="5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6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>COUNTIF($M$17:$M$106,AE47)</f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" x14ac:dyDescent="0.15">
      <c r="A48" s="20"/>
      <c r="B48" s="31" t="str">
        <f t="shared" si="2"/>
        <v/>
      </c>
      <c r="C48" s="31" t="str">
        <f t="shared" si="4"/>
        <v/>
      </c>
      <c r="D48" s="32"/>
      <c r="E48" s="33"/>
      <c r="F48" s="36"/>
      <c r="G48" s="36"/>
      <c r="H48" s="38" t="str">
        <f t="shared" si="5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6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>COUNTIF($M$17:$M$106,AE48)</f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" x14ac:dyDescent="0.15">
      <c r="A49" s="20"/>
      <c r="B49" s="31" t="str">
        <f t="shared" ref="B49:B80" si="7">IF(C49="","",$B$2)</f>
        <v/>
      </c>
      <c r="C49" s="31" t="str">
        <f t="shared" ref="C49:C80" si="8">IF(I49="","",$C$2)</f>
        <v/>
      </c>
      <c r="D49" s="32"/>
      <c r="E49" s="33"/>
      <c r="F49" s="36"/>
      <c r="G49" s="36"/>
      <c r="H49" s="38" t="str">
        <f t="shared" si="5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9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" x14ac:dyDescent="0.15">
      <c r="A50" s="20"/>
      <c r="B50" s="31" t="str">
        <f t="shared" si="7"/>
        <v/>
      </c>
      <c r="C50" s="31" t="str">
        <f t="shared" si="8"/>
        <v/>
      </c>
      <c r="D50" s="32"/>
      <c r="E50" s="33"/>
      <c r="F50" s="36"/>
      <c r="G50" s="36"/>
      <c r="H50" s="38" t="str">
        <f t="shared" si="5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9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" x14ac:dyDescent="0.15">
      <c r="A51" s="20"/>
      <c r="B51" s="31" t="str">
        <f t="shared" si="7"/>
        <v/>
      </c>
      <c r="C51" s="31" t="str">
        <f t="shared" si="8"/>
        <v/>
      </c>
      <c r="D51" s="32"/>
      <c r="E51" s="33"/>
      <c r="F51" s="36"/>
      <c r="G51" s="36"/>
      <c r="H51" s="38" t="str">
        <f t="shared" si="5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9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" x14ac:dyDescent="0.15">
      <c r="A52" s="20"/>
      <c r="B52" s="31" t="str">
        <f t="shared" si="7"/>
        <v/>
      </c>
      <c r="C52" s="31" t="str">
        <f t="shared" si="8"/>
        <v/>
      </c>
      <c r="D52" s="32"/>
      <c r="E52" s="33"/>
      <c r="F52" s="36"/>
      <c r="G52" s="36"/>
      <c r="H52" s="38" t="str">
        <f t="shared" si="5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9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" x14ac:dyDescent="0.15">
      <c r="A53" s="20"/>
      <c r="B53" s="31" t="str">
        <f t="shared" si="7"/>
        <v/>
      </c>
      <c r="C53" s="31" t="str">
        <f t="shared" si="8"/>
        <v/>
      </c>
      <c r="D53" s="32"/>
      <c r="E53" s="33"/>
      <c r="F53" s="36"/>
      <c r="G53" s="36"/>
      <c r="H53" s="38" t="str">
        <f t="shared" si="5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9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" x14ac:dyDescent="0.15">
      <c r="A54" s="20"/>
      <c r="B54" s="31" t="str">
        <f t="shared" si="7"/>
        <v/>
      </c>
      <c r="C54" s="31" t="str">
        <f t="shared" si="8"/>
        <v/>
      </c>
      <c r="D54" s="32"/>
      <c r="E54" s="33"/>
      <c r="F54" s="36"/>
      <c r="G54" s="36"/>
      <c r="H54" s="38" t="str">
        <f t="shared" si="5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9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" x14ac:dyDescent="0.15">
      <c r="A55" s="20"/>
      <c r="B55" s="31" t="str">
        <f t="shared" si="7"/>
        <v/>
      </c>
      <c r="C55" s="31" t="str">
        <f t="shared" si="8"/>
        <v/>
      </c>
      <c r="D55" s="32"/>
      <c r="E55" s="33"/>
      <c r="F55" s="36"/>
      <c r="G55" s="36"/>
      <c r="H55" s="38" t="str">
        <f t="shared" si="5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9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" x14ac:dyDescent="0.15">
      <c r="A56" s="20"/>
      <c r="B56" s="31" t="str">
        <f t="shared" si="7"/>
        <v/>
      </c>
      <c r="C56" s="31" t="str">
        <f t="shared" si="8"/>
        <v/>
      </c>
      <c r="D56" s="32"/>
      <c r="E56" s="33"/>
      <c r="F56" s="36"/>
      <c r="G56" s="36"/>
      <c r="H56" s="38" t="str">
        <f t="shared" si="5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9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" x14ac:dyDescent="0.15">
      <c r="A57" s="20"/>
      <c r="B57" s="31" t="str">
        <f t="shared" si="7"/>
        <v/>
      </c>
      <c r="C57" s="31" t="str">
        <f t="shared" si="8"/>
        <v/>
      </c>
      <c r="D57" s="32"/>
      <c r="E57" s="33"/>
      <c r="F57" s="36"/>
      <c r="G57" s="36"/>
      <c r="H57" s="38" t="str">
        <f t="shared" si="5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9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" x14ac:dyDescent="0.15">
      <c r="A58" s="20"/>
      <c r="B58" s="31" t="str">
        <f t="shared" si="7"/>
        <v/>
      </c>
      <c r="C58" s="31" t="str">
        <f t="shared" si="8"/>
        <v/>
      </c>
      <c r="D58" s="32"/>
      <c r="E58" s="33"/>
      <c r="F58" s="36"/>
      <c r="G58" s="36"/>
      <c r="H58" s="38" t="str">
        <f t="shared" si="5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9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" x14ac:dyDescent="0.15">
      <c r="A59" s="20"/>
      <c r="B59" s="31" t="str">
        <f t="shared" si="7"/>
        <v/>
      </c>
      <c r="C59" s="31" t="str">
        <f t="shared" si="8"/>
        <v/>
      </c>
      <c r="D59" s="32"/>
      <c r="E59" s="33"/>
      <c r="F59" s="36"/>
      <c r="G59" s="36"/>
      <c r="H59" s="38" t="str">
        <f t="shared" si="5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9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" x14ac:dyDescent="0.15">
      <c r="A60" s="20"/>
      <c r="B60" s="31" t="str">
        <f t="shared" si="7"/>
        <v/>
      </c>
      <c r="C60" s="31" t="str">
        <f t="shared" si="8"/>
        <v/>
      </c>
      <c r="D60" s="32"/>
      <c r="E60" s="33"/>
      <c r="F60" s="36"/>
      <c r="G60" s="36"/>
      <c r="H60" s="38" t="str">
        <f t="shared" si="5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9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" x14ac:dyDescent="0.15">
      <c r="A61" s="20"/>
      <c r="B61" s="31" t="str">
        <f t="shared" si="7"/>
        <v/>
      </c>
      <c r="C61" s="31" t="str">
        <f t="shared" si="8"/>
        <v/>
      </c>
      <c r="D61" s="32"/>
      <c r="E61" s="33"/>
      <c r="F61" s="36"/>
      <c r="G61" s="36"/>
      <c r="H61" s="38" t="str">
        <f t="shared" si="5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9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" x14ac:dyDescent="0.15">
      <c r="A62" s="20"/>
      <c r="B62" s="31" t="str">
        <f t="shared" si="7"/>
        <v/>
      </c>
      <c r="C62" s="31" t="str">
        <f t="shared" si="8"/>
        <v/>
      </c>
      <c r="D62" s="32"/>
      <c r="E62" s="33"/>
      <c r="F62" s="36"/>
      <c r="G62" s="36"/>
      <c r="H62" s="38" t="str">
        <f t="shared" si="5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9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" x14ac:dyDescent="0.15">
      <c r="A63" s="20"/>
      <c r="B63" s="31" t="str">
        <f t="shared" si="7"/>
        <v/>
      </c>
      <c r="C63" s="31" t="str">
        <f t="shared" si="8"/>
        <v/>
      </c>
      <c r="D63" s="32"/>
      <c r="E63" s="33"/>
      <c r="F63" s="36"/>
      <c r="G63" s="36"/>
      <c r="H63" s="38" t="str">
        <f t="shared" si="5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9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" x14ac:dyDescent="0.15">
      <c r="A64" s="20"/>
      <c r="B64" s="31" t="str">
        <f t="shared" si="7"/>
        <v/>
      </c>
      <c r="C64" s="31" t="str">
        <f t="shared" si="8"/>
        <v/>
      </c>
      <c r="D64" s="32"/>
      <c r="E64" s="33"/>
      <c r="F64" s="36"/>
      <c r="G64" s="36"/>
      <c r="H64" s="38" t="str">
        <f t="shared" si="5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9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" x14ac:dyDescent="0.15">
      <c r="A65" s="20"/>
      <c r="B65" s="31" t="str">
        <f t="shared" si="7"/>
        <v/>
      </c>
      <c r="C65" s="31" t="str">
        <f t="shared" si="8"/>
        <v/>
      </c>
      <c r="D65" s="32"/>
      <c r="E65" s="33"/>
      <c r="F65" s="36"/>
      <c r="G65" s="36"/>
      <c r="H65" s="38" t="str">
        <f t="shared" si="5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9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" x14ac:dyDescent="0.15">
      <c r="A66" s="20"/>
      <c r="B66" s="31" t="str">
        <f t="shared" si="7"/>
        <v/>
      </c>
      <c r="C66" s="31" t="str">
        <f t="shared" si="8"/>
        <v/>
      </c>
      <c r="D66" s="32"/>
      <c r="E66" s="33"/>
      <c r="F66" s="36"/>
      <c r="G66" s="36"/>
      <c r="H66" s="38" t="str">
        <f t="shared" si="5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9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" x14ac:dyDescent="0.15">
      <c r="A67" s="20"/>
      <c r="B67" s="31" t="str">
        <f t="shared" si="7"/>
        <v/>
      </c>
      <c r="C67" s="31" t="str">
        <f t="shared" si="8"/>
        <v/>
      </c>
      <c r="D67" s="32"/>
      <c r="E67" s="33"/>
      <c r="F67" s="36"/>
      <c r="G67" s="36"/>
      <c r="H67" s="38" t="str">
        <f t="shared" si="5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9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" x14ac:dyDescent="0.15">
      <c r="A68" s="20"/>
      <c r="B68" s="31" t="str">
        <f t="shared" si="7"/>
        <v/>
      </c>
      <c r="C68" s="31" t="str">
        <f t="shared" si="8"/>
        <v/>
      </c>
      <c r="D68" s="32"/>
      <c r="E68" s="33"/>
      <c r="F68" s="36"/>
      <c r="G68" s="36"/>
      <c r="H68" s="38" t="str">
        <f t="shared" si="5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9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" x14ac:dyDescent="0.15">
      <c r="A69" s="20"/>
      <c r="B69" s="31" t="str">
        <f t="shared" si="7"/>
        <v/>
      </c>
      <c r="C69" s="31" t="str">
        <f t="shared" si="8"/>
        <v/>
      </c>
      <c r="D69" s="32"/>
      <c r="E69" s="33"/>
      <c r="F69" s="36"/>
      <c r="G69" s="36"/>
      <c r="H69" s="38" t="str">
        <f t="shared" si="5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9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" x14ac:dyDescent="0.15">
      <c r="A70" s="20"/>
      <c r="B70" s="31" t="str">
        <f t="shared" si="7"/>
        <v/>
      </c>
      <c r="C70" s="31" t="str">
        <f t="shared" si="8"/>
        <v/>
      </c>
      <c r="D70" s="32"/>
      <c r="E70" s="33"/>
      <c r="F70" s="36"/>
      <c r="G70" s="36"/>
      <c r="H70" s="38" t="str">
        <f t="shared" si="5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9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" x14ac:dyDescent="0.15">
      <c r="A71" s="20"/>
      <c r="B71" s="31" t="str">
        <f t="shared" si="7"/>
        <v/>
      </c>
      <c r="C71" s="31" t="str">
        <f t="shared" si="8"/>
        <v/>
      </c>
      <c r="D71" s="32"/>
      <c r="E71" s="33"/>
      <c r="F71" s="36"/>
      <c r="G71" s="36"/>
      <c r="H71" s="38" t="str">
        <f t="shared" si="5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9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" x14ac:dyDescent="0.15">
      <c r="A72" s="20"/>
      <c r="B72" s="31" t="str">
        <f t="shared" si="7"/>
        <v/>
      </c>
      <c r="C72" s="31" t="str">
        <f t="shared" si="8"/>
        <v/>
      </c>
      <c r="D72" s="32"/>
      <c r="E72" s="33"/>
      <c r="F72" s="36"/>
      <c r="G72" s="36"/>
      <c r="H72" s="38" t="str">
        <f t="shared" si="5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9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" x14ac:dyDescent="0.15">
      <c r="A73" s="20"/>
      <c r="B73" s="31" t="str">
        <f t="shared" si="7"/>
        <v/>
      </c>
      <c r="C73" s="31" t="str">
        <f t="shared" si="8"/>
        <v/>
      </c>
      <c r="D73" s="32"/>
      <c r="E73" s="33"/>
      <c r="F73" s="36"/>
      <c r="G73" s="36"/>
      <c r="H73" s="38" t="str">
        <f t="shared" si="5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9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" x14ac:dyDescent="0.15">
      <c r="A74" s="20"/>
      <c r="B74" s="31" t="str">
        <f t="shared" si="7"/>
        <v/>
      </c>
      <c r="C74" s="31" t="str">
        <f t="shared" si="8"/>
        <v/>
      </c>
      <c r="D74" s="32"/>
      <c r="E74" s="33"/>
      <c r="F74" s="36"/>
      <c r="G74" s="36"/>
      <c r="H74" s="38" t="str">
        <f t="shared" si="5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9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" x14ac:dyDescent="0.15">
      <c r="A75" s="20"/>
      <c r="B75" s="31" t="str">
        <f t="shared" si="7"/>
        <v/>
      </c>
      <c r="C75" s="31" t="str">
        <f t="shared" si="8"/>
        <v/>
      </c>
      <c r="D75" s="32"/>
      <c r="E75" s="33"/>
      <c r="F75" s="36"/>
      <c r="G75" s="36"/>
      <c r="H75" s="38" t="str">
        <f t="shared" si="5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9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" x14ac:dyDescent="0.15">
      <c r="A76" s="20"/>
      <c r="B76" s="31" t="str">
        <f t="shared" si="7"/>
        <v/>
      </c>
      <c r="C76" s="31" t="str">
        <f t="shared" si="8"/>
        <v/>
      </c>
      <c r="D76" s="32"/>
      <c r="E76" s="33"/>
      <c r="F76" s="36"/>
      <c r="G76" s="36"/>
      <c r="H76" s="38" t="str">
        <f t="shared" si="5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9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" x14ac:dyDescent="0.15">
      <c r="A77" s="20"/>
      <c r="B77" s="31" t="str">
        <f t="shared" si="7"/>
        <v/>
      </c>
      <c r="C77" s="31" t="str">
        <f t="shared" si="8"/>
        <v/>
      </c>
      <c r="D77" s="32"/>
      <c r="E77" s="33"/>
      <c r="F77" s="36"/>
      <c r="G77" s="36"/>
      <c r="H77" s="38" t="str">
        <f t="shared" si="5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9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" x14ac:dyDescent="0.15">
      <c r="A78" s="20"/>
      <c r="B78" s="31" t="str">
        <f t="shared" si="7"/>
        <v/>
      </c>
      <c r="C78" s="31" t="str">
        <f t="shared" si="8"/>
        <v/>
      </c>
      <c r="D78" s="32"/>
      <c r="E78" s="33"/>
      <c r="F78" s="36"/>
      <c r="G78" s="36"/>
      <c r="H78" s="38" t="str">
        <f t="shared" si="5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9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" x14ac:dyDescent="0.15">
      <c r="A79" s="20"/>
      <c r="B79" s="31" t="str">
        <f t="shared" si="7"/>
        <v/>
      </c>
      <c r="C79" s="31" t="str">
        <f t="shared" si="8"/>
        <v/>
      </c>
      <c r="D79" s="32"/>
      <c r="E79" s="33"/>
      <c r="F79" s="36"/>
      <c r="G79" s="36"/>
      <c r="H79" s="38" t="str">
        <f t="shared" si="5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9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" x14ac:dyDescent="0.15">
      <c r="A80" s="20"/>
      <c r="B80" s="31" t="str">
        <f t="shared" si="7"/>
        <v/>
      </c>
      <c r="C80" s="31" t="str">
        <f t="shared" si="8"/>
        <v/>
      </c>
      <c r="D80" s="32"/>
      <c r="E80" s="33"/>
      <c r="F80" s="36"/>
      <c r="G80" s="36"/>
      <c r="H80" s="38" t="str">
        <f t="shared" si="5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9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" x14ac:dyDescent="0.15">
      <c r="A81" s="20"/>
      <c r="B81" s="31" t="str">
        <f t="shared" ref="B81:B106" si="10">IF(C81="","",$B$2)</f>
        <v/>
      </c>
      <c r="C81" s="31" t="str">
        <f t="shared" ref="C81:C106" si="11">IF(I81="","",$C$2)</f>
        <v/>
      </c>
      <c r="D81" s="32"/>
      <c r="E81" s="33"/>
      <c r="F81" s="36"/>
      <c r="G81" s="36"/>
      <c r="H81" s="38" t="str">
        <f t="shared" si="5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2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" x14ac:dyDescent="0.15">
      <c r="A82" s="20"/>
      <c r="B82" s="31" t="str">
        <f t="shared" si="10"/>
        <v/>
      </c>
      <c r="C82" s="31" t="str">
        <f t="shared" si="11"/>
        <v/>
      </c>
      <c r="D82" s="32"/>
      <c r="E82" s="33"/>
      <c r="F82" s="36"/>
      <c r="G82" s="36"/>
      <c r="H82" s="38" t="str">
        <f t="shared" ref="H82:H106" si="13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2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" x14ac:dyDescent="0.15">
      <c r="A83" s="20"/>
      <c r="B83" s="31" t="str">
        <f t="shared" si="10"/>
        <v/>
      </c>
      <c r="C83" s="31" t="str">
        <f t="shared" si="11"/>
        <v/>
      </c>
      <c r="D83" s="32"/>
      <c r="E83" s="33"/>
      <c r="F83" s="36"/>
      <c r="G83" s="36"/>
      <c r="H83" s="38" t="str">
        <f t="shared" si="13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2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" x14ac:dyDescent="0.15">
      <c r="A84" s="20"/>
      <c r="B84" s="31" t="str">
        <f t="shared" si="10"/>
        <v/>
      </c>
      <c r="C84" s="31" t="str">
        <f t="shared" si="11"/>
        <v/>
      </c>
      <c r="D84" s="32"/>
      <c r="E84" s="33"/>
      <c r="F84" s="36"/>
      <c r="G84" s="36"/>
      <c r="H84" s="38" t="str">
        <f t="shared" si="13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2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" x14ac:dyDescent="0.15">
      <c r="A85" s="20"/>
      <c r="B85" s="31" t="str">
        <f t="shared" si="10"/>
        <v/>
      </c>
      <c r="C85" s="31" t="str">
        <f t="shared" si="11"/>
        <v/>
      </c>
      <c r="D85" s="32"/>
      <c r="E85" s="33"/>
      <c r="F85" s="36"/>
      <c r="G85" s="36"/>
      <c r="H85" s="38" t="str">
        <f t="shared" si="13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2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" x14ac:dyDescent="0.15">
      <c r="A86" s="20"/>
      <c r="B86" s="31" t="str">
        <f t="shared" si="10"/>
        <v/>
      </c>
      <c r="C86" s="31" t="str">
        <f t="shared" si="11"/>
        <v/>
      </c>
      <c r="D86" s="32"/>
      <c r="E86" s="33"/>
      <c r="F86" s="36"/>
      <c r="G86" s="36"/>
      <c r="H86" s="38" t="str">
        <f t="shared" si="13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2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" x14ac:dyDescent="0.15">
      <c r="A87" s="20"/>
      <c r="B87" s="31" t="str">
        <f t="shared" si="10"/>
        <v/>
      </c>
      <c r="C87" s="31" t="str">
        <f t="shared" si="11"/>
        <v/>
      </c>
      <c r="D87" s="32"/>
      <c r="E87" s="33"/>
      <c r="F87" s="36"/>
      <c r="G87" s="36"/>
      <c r="H87" s="38" t="str">
        <f t="shared" si="13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2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" x14ac:dyDescent="0.15">
      <c r="A88" s="20"/>
      <c r="B88" s="31" t="str">
        <f t="shared" si="10"/>
        <v/>
      </c>
      <c r="C88" s="31" t="str">
        <f t="shared" si="11"/>
        <v/>
      </c>
      <c r="D88" s="32"/>
      <c r="E88" s="33"/>
      <c r="F88" s="36"/>
      <c r="G88" s="36"/>
      <c r="H88" s="38" t="str">
        <f t="shared" si="13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2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" x14ac:dyDescent="0.15">
      <c r="A89" s="20"/>
      <c r="B89" s="31" t="str">
        <f t="shared" si="10"/>
        <v/>
      </c>
      <c r="C89" s="31" t="str">
        <f t="shared" si="11"/>
        <v/>
      </c>
      <c r="D89" s="32"/>
      <c r="E89" s="33"/>
      <c r="F89" s="36"/>
      <c r="G89" s="36"/>
      <c r="H89" s="38" t="str">
        <f t="shared" si="13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2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" x14ac:dyDescent="0.15">
      <c r="A90" s="20"/>
      <c r="B90" s="31" t="str">
        <f t="shared" si="10"/>
        <v/>
      </c>
      <c r="C90" s="31" t="str">
        <f t="shared" si="11"/>
        <v/>
      </c>
      <c r="D90" s="32"/>
      <c r="E90" s="33"/>
      <c r="F90" s="36"/>
      <c r="G90" s="36"/>
      <c r="H90" s="38" t="str">
        <f t="shared" si="13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2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" x14ac:dyDescent="0.15">
      <c r="A91" s="20"/>
      <c r="B91" s="31" t="str">
        <f t="shared" si="10"/>
        <v/>
      </c>
      <c r="C91" s="31" t="str">
        <f t="shared" si="11"/>
        <v/>
      </c>
      <c r="D91" s="32"/>
      <c r="E91" s="33"/>
      <c r="F91" s="36"/>
      <c r="G91" s="36"/>
      <c r="H91" s="38" t="str">
        <f t="shared" si="13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2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" x14ac:dyDescent="0.15">
      <c r="A92" s="20"/>
      <c r="B92" s="31" t="str">
        <f t="shared" si="10"/>
        <v/>
      </c>
      <c r="C92" s="31" t="str">
        <f t="shared" si="11"/>
        <v/>
      </c>
      <c r="D92" s="32"/>
      <c r="E92" s="33"/>
      <c r="F92" s="36"/>
      <c r="G92" s="36"/>
      <c r="H92" s="38" t="str">
        <f t="shared" si="13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2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" x14ac:dyDescent="0.15">
      <c r="A93" s="20"/>
      <c r="B93" s="31" t="str">
        <f t="shared" si="10"/>
        <v/>
      </c>
      <c r="C93" s="31" t="str">
        <f t="shared" si="11"/>
        <v/>
      </c>
      <c r="D93" s="32"/>
      <c r="E93" s="33"/>
      <c r="F93" s="36"/>
      <c r="G93" s="36"/>
      <c r="H93" s="38" t="str">
        <f t="shared" si="13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2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" x14ac:dyDescent="0.15">
      <c r="A94" s="20"/>
      <c r="B94" s="31" t="str">
        <f t="shared" si="10"/>
        <v/>
      </c>
      <c r="C94" s="31" t="str">
        <f t="shared" si="11"/>
        <v/>
      </c>
      <c r="D94" s="32"/>
      <c r="E94" s="33"/>
      <c r="F94" s="36"/>
      <c r="G94" s="36"/>
      <c r="H94" s="38" t="str">
        <f t="shared" si="13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2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" x14ac:dyDescent="0.15">
      <c r="A95" s="20"/>
      <c r="B95" s="31" t="str">
        <f t="shared" si="10"/>
        <v/>
      </c>
      <c r="C95" s="31" t="str">
        <f t="shared" si="11"/>
        <v/>
      </c>
      <c r="D95" s="32"/>
      <c r="E95" s="33"/>
      <c r="F95" s="36"/>
      <c r="G95" s="36"/>
      <c r="H95" s="38" t="str">
        <f t="shared" si="13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2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" x14ac:dyDescent="0.15">
      <c r="A96" s="20"/>
      <c r="B96" s="31" t="str">
        <f t="shared" si="10"/>
        <v/>
      </c>
      <c r="C96" s="31" t="str">
        <f t="shared" si="11"/>
        <v/>
      </c>
      <c r="D96" s="32"/>
      <c r="E96" s="33"/>
      <c r="F96" s="36"/>
      <c r="G96" s="36"/>
      <c r="H96" s="38" t="str">
        <f t="shared" si="13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2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" x14ac:dyDescent="0.15">
      <c r="A97" s="20"/>
      <c r="B97" s="31" t="str">
        <f t="shared" si="10"/>
        <v/>
      </c>
      <c r="C97" s="31" t="str">
        <f t="shared" si="11"/>
        <v/>
      </c>
      <c r="D97" s="32"/>
      <c r="E97" s="33"/>
      <c r="F97" s="36"/>
      <c r="G97" s="36"/>
      <c r="H97" s="38" t="str">
        <f t="shared" si="13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2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" x14ac:dyDescent="0.15">
      <c r="A98" s="20"/>
      <c r="B98" s="31" t="str">
        <f t="shared" si="10"/>
        <v/>
      </c>
      <c r="C98" s="31" t="str">
        <f t="shared" si="11"/>
        <v/>
      </c>
      <c r="D98" s="32"/>
      <c r="E98" s="33"/>
      <c r="F98" s="36"/>
      <c r="G98" s="36"/>
      <c r="H98" s="38" t="str">
        <f t="shared" si="13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2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" x14ac:dyDescent="0.15">
      <c r="A99" s="20"/>
      <c r="B99" s="31" t="str">
        <f t="shared" si="10"/>
        <v/>
      </c>
      <c r="C99" s="31" t="str">
        <f t="shared" si="11"/>
        <v/>
      </c>
      <c r="D99" s="32"/>
      <c r="E99" s="33"/>
      <c r="F99" s="36"/>
      <c r="G99" s="36"/>
      <c r="H99" s="38" t="str">
        <f t="shared" si="13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2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" x14ac:dyDescent="0.15">
      <c r="A100" s="20"/>
      <c r="B100" s="31" t="str">
        <f t="shared" si="10"/>
        <v/>
      </c>
      <c r="C100" s="31" t="str">
        <f t="shared" si="11"/>
        <v/>
      </c>
      <c r="D100" s="32"/>
      <c r="E100" s="33"/>
      <c r="F100" s="36"/>
      <c r="G100" s="36"/>
      <c r="H100" s="38" t="str">
        <f t="shared" si="13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2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" x14ac:dyDescent="0.15">
      <c r="A101" s="20"/>
      <c r="B101" s="31" t="str">
        <f t="shared" si="10"/>
        <v/>
      </c>
      <c r="C101" s="31" t="str">
        <f t="shared" si="11"/>
        <v/>
      </c>
      <c r="D101" s="32"/>
      <c r="E101" s="33"/>
      <c r="F101" s="36"/>
      <c r="G101" s="36"/>
      <c r="H101" s="38" t="str">
        <f t="shared" si="13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2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" x14ac:dyDescent="0.15">
      <c r="A102" s="20"/>
      <c r="B102" s="31" t="str">
        <f t="shared" si="10"/>
        <v/>
      </c>
      <c r="C102" s="31" t="str">
        <f t="shared" si="11"/>
        <v/>
      </c>
      <c r="D102" s="32"/>
      <c r="E102" s="33"/>
      <c r="F102" s="36"/>
      <c r="G102" s="36"/>
      <c r="H102" s="38" t="str">
        <f t="shared" si="13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2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" x14ac:dyDescent="0.15">
      <c r="A103" s="20"/>
      <c r="B103" s="31" t="str">
        <f t="shared" si="10"/>
        <v/>
      </c>
      <c r="C103" s="31" t="str">
        <f t="shared" si="11"/>
        <v/>
      </c>
      <c r="D103" s="32"/>
      <c r="E103" s="33"/>
      <c r="F103" s="36"/>
      <c r="G103" s="36"/>
      <c r="H103" s="38" t="str">
        <f t="shared" si="13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2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" x14ac:dyDescent="0.15">
      <c r="A104" s="20"/>
      <c r="B104" s="31" t="str">
        <f t="shared" si="10"/>
        <v/>
      </c>
      <c r="C104" s="31" t="str">
        <f t="shared" si="11"/>
        <v/>
      </c>
      <c r="D104" s="32"/>
      <c r="E104" s="33"/>
      <c r="F104" s="36"/>
      <c r="G104" s="36"/>
      <c r="H104" s="38" t="str">
        <f t="shared" si="13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2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" x14ac:dyDescent="0.15">
      <c r="A105" s="20"/>
      <c r="B105" s="31" t="str">
        <f t="shared" si="10"/>
        <v/>
      </c>
      <c r="C105" s="31" t="str">
        <f t="shared" si="11"/>
        <v/>
      </c>
      <c r="D105" s="32"/>
      <c r="E105" s="33"/>
      <c r="F105" s="36"/>
      <c r="G105" s="36"/>
      <c r="H105" s="38" t="str">
        <f t="shared" si="13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2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" x14ac:dyDescent="0.15">
      <c r="A106" s="20"/>
      <c r="B106" s="31" t="str">
        <f t="shared" si="10"/>
        <v/>
      </c>
      <c r="C106" s="31" t="str">
        <f t="shared" si="11"/>
        <v/>
      </c>
      <c r="D106" s="32"/>
      <c r="E106" s="33"/>
      <c r="F106" s="36"/>
      <c r="G106" s="36"/>
      <c r="H106" s="38" t="str">
        <f t="shared" si="13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2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1" x14ac:dyDescent="0.1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1" x14ac:dyDescent="0.1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E36:E106 E17:E26" xr:uid="{188C7F93-0849-4F67-B34B-30A551E8AF8C}">
      <formula1>$AN$17:$AN$21</formula1>
    </dataValidation>
    <dataValidation type="list" errorStyle="information" allowBlank="1" showInputMessage="1" showErrorMessage="1" errorTitle="CLOSED LIST" error="Choose existent" sqref="J36:J106 J17:J26" xr:uid="{6E6E87EB-6B2E-4115-AC72-27BF42D43D52}">
      <formula1>X$17:X$18</formula1>
    </dataValidation>
    <dataValidation type="list" allowBlank="1" showInputMessage="1" showErrorMessage="1" sqref="K36:K106 K17:K2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36:M106 M17:M2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36:L106 L17:L2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3203125" defaultRowHeight="13" x14ac:dyDescent="0.15"/>
  <cols>
    <col min="1" max="1" width="0.6640625" customWidth="1"/>
    <col min="2" max="2" width="3.6640625" style="150" customWidth="1"/>
    <col min="3" max="3" width="23.5" style="150" bestFit="1" customWidth="1"/>
    <col min="4" max="15" width="14" style="25" customWidth="1"/>
  </cols>
  <sheetData>
    <row r="1" spans="2:15" ht="14" thickBot="1" x14ac:dyDescent="0.2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" thickBot="1" x14ac:dyDescent="0.2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1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1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1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1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1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1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1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1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1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1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1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1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1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1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1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1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1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1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1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" thickBot="1" x14ac:dyDescent="0.2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1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1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1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1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1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1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1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1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1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1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1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1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1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1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1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1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1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1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1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1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1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" thickBot="1" x14ac:dyDescent="0.2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" thickBot="1" x14ac:dyDescent="0.2"/>
    <row r="46" spans="2:15" x14ac:dyDescent="0.1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3203125" defaultRowHeight="13" x14ac:dyDescent="0.15"/>
  <cols>
    <col min="2" max="2" width="11.83203125" bestFit="1" customWidth="1"/>
    <col min="3" max="3" width="6.1640625" bestFit="1" customWidth="1"/>
    <col min="4" max="4" width="3.5" bestFit="1" customWidth="1"/>
    <col min="5" max="5" width="15.33203125" bestFit="1" customWidth="1"/>
    <col min="6" max="7" width="14.1640625" bestFit="1" customWidth="1"/>
    <col min="8" max="8" width="14.83203125" bestFit="1" customWidth="1"/>
    <col min="9" max="9" width="20.83203125" bestFit="1" customWidth="1"/>
  </cols>
  <sheetData>
    <row r="2" spans="1:9" ht="15" x14ac:dyDescent="0.2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6" x14ac:dyDescent="0.2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6" x14ac:dyDescent="0.2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6" x14ac:dyDescent="0.2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6" x14ac:dyDescent="0.2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6" x14ac:dyDescent="0.2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6" x14ac:dyDescent="0.2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6" x14ac:dyDescent="0.2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6" x14ac:dyDescent="0.2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6" x14ac:dyDescent="0.2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6" x14ac:dyDescent="0.2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6" x14ac:dyDescent="0.2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6" x14ac:dyDescent="0.2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6" x14ac:dyDescent="0.2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6" x14ac:dyDescent="0.2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6" x14ac:dyDescent="0.2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6" x14ac:dyDescent="0.2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6" x14ac:dyDescent="0.2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6" x14ac:dyDescent="0.2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6" x14ac:dyDescent="0.2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6" x14ac:dyDescent="0.2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6" x14ac:dyDescent="0.2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6" x14ac:dyDescent="0.2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6" x14ac:dyDescent="0.2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6" x14ac:dyDescent="0.2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6" x14ac:dyDescent="0.2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6" x14ac:dyDescent="0.2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6" x14ac:dyDescent="0.2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6" x14ac:dyDescent="0.2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6" x14ac:dyDescent="0.2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6" x14ac:dyDescent="0.2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6" x14ac:dyDescent="0.2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6" x14ac:dyDescent="0.2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6" x14ac:dyDescent="0.2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6" x14ac:dyDescent="0.2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6" x14ac:dyDescent="0.2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6" x14ac:dyDescent="0.2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6" x14ac:dyDescent="0.2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6" x14ac:dyDescent="0.2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6" x14ac:dyDescent="0.2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6" x14ac:dyDescent="0.2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6" x14ac:dyDescent="0.2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6" x14ac:dyDescent="0.2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6" x14ac:dyDescent="0.2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6" x14ac:dyDescent="0.2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6" x14ac:dyDescent="0.2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6" x14ac:dyDescent="0.2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6" x14ac:dyDescent="0.2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6" x14ac:dyDescent="0.2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6" x14ac:dyDescent="0.2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6" x14ac:dyDescent="0.2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6" x14ac:dyDescent="0.2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6" x14ac:dyDescent="0.2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6" x14ac:dyDescent="0.2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6" x14ac:dyDescent="0.2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6" x14ac:dyDescent="0.2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6" x14ac:dyDescent="0.2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6" x14ac:dyDescent="0.2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6" x14ac:dyDescent="0.2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6" x14ac:dyDescent="0.2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6" x14ac:dyDescent="0.2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6" x14ac:dyDescent="0.2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6" x14ac:dyDescent="0.2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6" x14ac:dyDescent="0.2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6" x14ac:dyDescent="0.2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6" x14ac:dyDescent="0.2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6" x14ac:dyDescent="0.2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6" x14ac:dyDescent="0.2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6" x14ac:dyDescent="0.2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6" x14ac:dyDescent="0.2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6" x14ac:dyDescent="0.2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6" x14ac:dyDescent="0.2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6" x14ac:dyDescent="0.2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6" x14ac:dyDescent="0.2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6" x14ac:dyDescent="0.2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6" x14ac:dyDescent="0.2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6" x14ac:dyDescent="0.2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6" x14ac:dyDescent="0.2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6" x14ac:dyDescent="0.2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6" x14ac:dyDescent="0.2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6" x14ac:dyDescent="0.2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6" x14ac:dyDescent="0.2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6" x14ac:dyDescent="0.2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6" x14ac:dyDescent="0.2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6" x14ac:dyDescent="0.2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6" x14ac:dyDescent="0.2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6" x14ac:dyDescent="0.2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6" x14ac:dyDescent="0.2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6" x14ac:dyDescent="0.2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6" x14ac:dyDescent="0.2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6" x14ac:dyDescent="0.2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6" x14ac:dyDescent="0.2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6" x14ac:dyDescent="0.2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6" x14ac:dyDescent="0.2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6" x14ac:dyDescent="0.2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6" x14ac:dyDescent="0.2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6" x14ac:dyDescent="0.2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6" x14ac:dyDescent="0.2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6" x14ac:dyDescent="0.2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6" x14ac:dyDescent="0.2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6" x14ac:dyDescent="0.2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6" x14ac:dyDescent="0.2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6" x14ac:dyDescent="0.2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6" x14ac:dyDescent="0.2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6" x14ac:dyDescent="0.2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6" x14ac:dyDescent="0.2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6" x14ac:dyDescent="0.2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6" x14ac:dyDescent="0.2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6" x14ac:dyDescent="0.2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6" x14ac:dyDescent="0.2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6" x14ac:dyDescent="0.2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6" x14ac:dyDescent="0.2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6" x14ac:dyDescent="0.2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6" x14ac:dyDescent="0.2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6" x14ac:dyDescent="0.2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6" x14ac:dyDescent="0.2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6" x14ac:dyDescent="0.2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6" x14ac:dyDescent="0.2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6" x14ac:dyDescent="0.2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6" x14ac:dyDescent="0.2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6" x14ac:dyDescent="0.2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6" x14ac:dyDescent="0.2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6" x14ac:dyDescent="0.2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6" x14ac:dyDescent="0.2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6" x14ac:dyDescent="0.2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6" x14ac:dyDescent="0.2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6" x14ac:dyDescent="0.2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6" x14ac:dyDescent="0.2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6" x14ac:dyDescent="0.2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6" x14ac:dyDescent="0.2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6" x14ac:dyDescent="0.2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6" x14ac:dyDescent="0.2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6" x14ac:dyDescent="0.2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6" x14ac:dyDescent="0.2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6" x14ac:dyDescent="0.2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6" x14ac:dyDescent="0.2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6" x14ac:dyDescent="0.2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6" x14ac:dyDescent="0.2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6" x14ac:dyDescent="0.2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6" x14ac:dyDescent="0.2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6" x14ac:dyDescent="0.2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6" x14ac:dyDescent="0.2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6" x14ac:dyDescent="0.2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6" x14ac:dyDescent="0.2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6" x14ac:dyDescent="0.2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6" x14ac:dyDescent="0.2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6" x14ac:dyDescent="0.2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6" x14ac:dyDescent="0.2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6" x14ac:dyDescent="0.2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6" x14ac:dyDescent="0.2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6" x14ac:dyDescent="0.2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6" x14ac:dyDescent="0.2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6" x14ac:dyDescent="0.2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6" x14ac:dyDescent="0.2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6" x14ac:dyDescent="0.2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6" x14ac:dyDescent="0.2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6" x14ac:dyDescent="0.2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6" x14ac:dyDescent="0.2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6" x14ac:dyDescent="0.2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6" x14ac:dyDescent="0.2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6" x14ac:dyDescent="0.2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6" x14ac:dyDescent="0.2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6" x14ac:dyDescent="0.2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6" x14ac:dyDescent="0.2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6" x14ac:dyDescent="0.2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6" x14ac:dyDescent="0.2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6" x14ac:dyDescent="0.2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6" x14ac:dyDescent="0.2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6" x14ac:dyDescent="0.2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6" x14ac:dyDescent="0.2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6" x14ac:dyDescent="0.2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6" x14ac:dyDescent="0.2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6" x14ac:dyDescent="0.2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6" x14ac:dyDescent="0.2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6" x14ac:dyDescent="0.2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6" x14ac:dyDescent="0.2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6" x14ac:dyDescent="0.2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6" x14ac:dyDescent="0.2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6" x14ac:dyDescent="0.2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6" x14ac:dyDescent="0.2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6" x14ac:dyDescent="0.2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6" x14ac:dyDescent="0.2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6" x14ac:dyDescent="0.2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6" x14ac:dyDescent="0.2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6" x14ac:dyDescent="0.2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6" x14ac:dyDescent="0.2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6" x14ac:dyDescent="0.2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6" x14ac:dyDescent="0.2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6" x14ac:dyDescent="0.2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6" x14ac:dyDescent="0.2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6" x14ac:dyDescent="0.2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6" x14ac:dyDescent="0.2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6" x14ac:dyDescent="0.2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6" x14ac:dyDescent="0.2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6" x14ac:dyDescent="0.2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6" x14ac:dyDescent="0.2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6" x14ac:dyDescent="0.2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6" x14ac:dyDescent="0.2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6" x14ac:dyDescent="0.2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6" x14ac:dyDescent="0.2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6" x14ac:dyDescent="0.2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6" x14ac:dyDescent="0.2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6" x14ac:dyDescent="0.2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6" x14ac:dyDescent="0.2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6" x14ac:dyDescent="0.2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6" x14ac:dyDescent="0.2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6" x14ac:dyDescent="0.2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6" x14ac:dyDescent="0.2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6" x14ac:dyDescent="0.2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6" x14ac:dyDescent="0.2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6" x14ac:dyDescent="0.2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6" x14ac:dyDescent="0.2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6" x14ac:dyDescent="0.2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6" x14ac:dyDescent="0.2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6" x14ac:dyDescent="0.2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6" x14ac:dyDescent="0.2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6" x14ac:dyDescent="0.2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6" x14ac:dyDescent="0.2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6" x14ac:dyDescent="0.2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6" x14ac:dyDescent="0.2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6" x14ac:dyDescent="0.2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6" x14ac:dyDescent="0.2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6" x14ac:dyDescent="0.2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6" x14ac:dyDescent="0.2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6" x14ac:dyDescent="0.2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6" x14ac:dyDescent="0.2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6" x14ac:dyDescent="0.2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6" x14ac:dyDescent="0.2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6" x14ac:dyDescent="0.2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6" x14ac:dyDescent="0.2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6" x14ac:dyDescent="0.2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6" x14ac:dyDescent="0.2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6" x14ac:dyDescent="0.2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6" x14ac:dyDescent="0.2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6" x14ac:dyDescent="0.2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6" x14ac:dyDescent="0.2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6" x14ac:dyDescent="0.2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6" x14ac:dyDescent="0.2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6" x14ac:dyDescent="0.2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6" x14ac:dyDescent="0.2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6" x14ac:dyDescent="0.2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6" x14ac:dyDescent="0.2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6" x14ac:dyDescent="0.2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6" x14ac:dyDescent="0.2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6" x14ac:dyDescent="0.2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6" x14ac:dyDescent="0.2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6" x14ac:dyDescent="0.2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6" x14ac:dyDescent="0.2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6" x14ac:dyDescent="0.2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6" x14ac:dyDescent="0.2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6" x14ac:dyDescent="0.2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6" x14ac:dyDescent="0.2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6" x14ac:dyDescent="0.2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6" x14ac:dyDescent="0.2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6" x14ac:dyDescent="0.2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6" x14ac:dyDescent="0.2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6" x14ac:dyDescent="0.2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6" x14ac:dyDescent="0.2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6" x14ac:dyDescent="0.2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6" x14ac:dyDescent="0.2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6" x14ac:dyDescent="0.2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6" x14ac:dyDescent="0.2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6" x14ac:dyDescent="0.2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6" x14ac:dyDescent="0.2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6" x14ac:dyDescent="0.2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6" x14ac:dyDescent="0.2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6" x14ac:dyDescent="0.2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6" x14ac:dyDescent="0.2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6" x14ac:dyDescent="0.2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6" x14ac:dyDescent="0.2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6" x14ac:dyDescent="0.2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6" x14ac:dyDescent="0.2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6" x14ac:dyDescent="0.2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6" x14ac:dyDescent="0.2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6" x14ac:dyDescent="0.2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6" x14ac:dyDescent="0.2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6" x14ac:dyDescent="0.2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6" x14ac:dyDescent="0.2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6" x14ac:dyDescent="0.2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6" x14ac:dyDescent="0.2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6" x14ac:dyDescent="0.2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6" x14ac:dyDescent="0.2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6" x14ac:dyDescent="0.2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6" x14ac:dyDescent="0.2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6" x14ac:dyDescent="0.2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6" x14ac:dyDescent="0.2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6" x14ac:dyDescent="0.2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6" x14ac:dyDescent="0.2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6" x14ac:dyDescent="0.2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6" x14ac:dyDescent="0.2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6" x14ac:dyDescent="0.2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6" x14ac:dyDescent="0.2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6" x14ac:dyDescent="0.2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6" x14ac:dyDescent="0.2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6" x14ac:dyDescent="0.2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6" x14ac:dyDescent="0.2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6" x14ac:dyDescent="0.2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6" x14ac:dyDescent="0.2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6" x14ac:dyDescent="0.2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6" x14ac:dyDescent="0.2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6" x14ac:dyDescent="0.2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6" x14ac:dyDescent="0.2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6" x14ac:dyDescent="0.2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6" x14ac:dyDescent="0.2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6" x14ac:dyDescent="0.2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6" x14ac:dyDescent="0.2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6" x14ac:dyDescent="0.2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6" x14ac:dyDescent="0.2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6" x14ac:dyDescent="0.2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6" x14ac:dyDescent="0.2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6" x14ac:dyDescent="0.2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6" x14ac:dyDescent="0.2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6" x14ac:dyDescent="0.2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6" x14ac:dyDescent="0.2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6" x14ac:dyDescent="0.2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6" x14ac:dyDescent="0.2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6" x14ac:dyDescent="0.2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6" x14ac:dyDescent="0.2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6" x14ac:dyDescent="0.2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6" x14ac:dyDescent="0.2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6" x14ac:dyDescent="0.2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6" x14ac:dyDescent="0.2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6" x14ac:dyDescent="0.2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6" x14ac:dyDescent="0.2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6" x14ac:dyDescent="0.2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6" x14ac:dyDescent="0.2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6" x14ac:dyDescent="0.2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6" x14ac:dyDescent="0.2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6" x14ac:dyDescent="0.2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6" x14ac:dyDescent="0.2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6" x14ac:dyDescent="0.2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6" x14ac:dyDescent="0.2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6" x14ac:dyDescent="0.2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6" x14ac:dyDescent="0.2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6" x14ac:dyDescent="0.2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6" x14ac:dyDescent="0.2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6" x14ac:dyDescent="0.2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6" x14ac:dyDescent="0.2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6" x14ac:dyDescent="0.2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6" x14ac:dyDescent="0.2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6" x14ac:dyDescent="0.2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6" x14ac:dyDescent="0.2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6" x14ac:dyDescent="0.2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6" x14ac:dyDescent="0.2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6" x14ac:dyDescent="0.2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6" x14ac:dyDescent="0.2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6" x14ac:dyDescent="0.2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6" x14ac:dyDescent="0.2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6" x14ac:dyDescent="0.2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6" x14ac:dyDescent="0.2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6" x14ac:dyDescent="0.2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6" x14ac:dyDescent="0.2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6" x14ac:dyDescent="0.2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6" x14ac:dyDescent="0.2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6" x14ac:dyDescent="0.2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6" x14ac:dyDescent="0.2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6" x14ac:dyDescent="0.2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6" x14ac:dyDescent="0.2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6" x14ac:dyDescent="0.2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6" x14ac:dyDescent="0.2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6" x14ac:dyDescent="0.2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6" x14ac:dyDescent="0.2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6" x14ac:dyDescent="0.2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6" x14ac:dyDescent="0.2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6" x14ac:dyDescent="0.2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6" x14ac:dyDescent="0.2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6" x14ac:dyDescent="0.2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6" x14ac:dyDescent="0.2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6" x14ac:dyDescent="0.2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6" x14ac:dyDescent="0.2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6" x14ac:dyDescent="0.2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6" x14ac:dyDescent="0.2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6" x14ac:dyDescent="0.2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6" x14ac:dyDescent="0.2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6" x14ac:dyDescent="0.2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6" x14ac:dyDescent="0.2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6" x14ac:dyDescent="0.2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6" x14ac:dyDescent="0.2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6" x14ac:dyDescent="0.2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6" x14ac:dyDescent="0.2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6" x14ac:dyDescent="0.2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6" x14ac:dyDescent="0.2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6" x14ac:dyDescent="0.2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6" x14ac:dyDescent="0.2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6" x14ac:dyDescent="0.2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6" x14ac:dyDescent="0.2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6" x14ac:dyDescent="0.2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6" x14ac:dyDescent="0.2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6" x14ac:dyDescent="0.2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6" x14ac:dyDescent="0.2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6" x14ac:dyDescent="0.2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6" x14ac:dyDescent="0.2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6" x14ac:dyDescent="0.2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6" x14ac:dyDescent="0.2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6" x14ac:dyDescent="0.2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6" x14ac:dyDescent="0.2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6" x14ac:dyDescent="0.2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6" x14ac:dyDescent="0.2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6" x14ac:dyDescent="0.2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6" x14ac:dyDescent="0.2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6" x14ac:dyDescent="0.2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6" x14ac:dyDescent="0.2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6" x14ac:dyDescent="0.2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6" x14ac:dyDescent="0.2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6" x14ac:dyDescent="0.2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6" x14ac:dyDescent="0.2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6" x14ac:dyDescent="0.2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6" x14ac:dyDescent="0.2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6" x14ac:dyDescent="0.2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6" x14ac:dyDescent="0.2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6" x14ac:dyDescent="0.2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6" x14ac:dyDescent="0.2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6" x14ac:dyDescent="0.2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6" x14ac:dyDescent="0.2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6" x14ac:dyDescent="0.2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6" x14ac:dyDescent="0.2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6" x14ac:dyDescent="0.2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6" x14ac:dyDescent="0.2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6" x14ac:dyDescent="0.2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6" x14ac:dyDescent="0.2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6" x14ac:dyDescent="0.2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6" x14ac:dyDescent="0.2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6" x14ac:dyDescent="0.2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6" x14ac:dyDescent="0.2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6" x14ac:dyDescent="0.2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6" x14ac:dyDescent="0.2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6" x14ac:dyDescent="0.2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6" x14ac:dyDescent="0.2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6" x14ac:dyDescent="0.2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6" x14ac:dyDescent="0.2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6" x14ac:dyDescent="0.2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6" x14ac:dyDescent="0.2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6" x14ac:dyDescent="0.2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6" x14ac:dyDescent="0.2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6" x14ac:dyDescent="0.2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6" x14ac:dyDescent="0.2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6" x14ac:dyDescent="0.2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6" x14ac:dyDescent="0.2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6" x14ac:dyDescent="0.2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6" x14ac:dyDescent="0.2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6" x14ac:dyDescent="0.2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6" x14ac:dyDescent="0.2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6" x14ac:dyDescent="0.2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6" x14ac:dyDescent="0.2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6" x14ac:dyDescent="0.2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6" x14ac:dyDescent="0.2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6" x14ac:dyDescent="0.2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6" x14ac:dyDescent="0.2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6" x14ac:dyDescent="0.2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6" x14ac:dyDescent="0.2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6" x14ac:dyDescent="0.2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6" x14ac:dyDescent="0.2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6" x14ac:dyDescent="0.2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6" x14ac:dyDescent="0.2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6" x14ac:dyDescent="0.2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6" x14ac:dyDescent="0.2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6" x14ac:dyDescent="0.2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6" x14ac:dyDescent="0.2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6" x14ac:dyDescent="0.2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6" x14ac:dyDescent="0.2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6" x14ac:dyDescent="0.2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6" x14ac:dyDescent="0.2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6" x14ac:dyDescent="0.2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6" x14ac:dyDescent="0.2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6" x14ac:dyDescent="0.2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6" x14ac:dyDescent="0.2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6" x14ac:dyDescent="0.2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6" x14ac:dyDescent="0.2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6" x14ac:dyDescent="0.2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6" x14ac:dyDescent="0.2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6" x14ac:dyDescent="0.2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6" x14ac:dyDescent="0.2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6" x14ac:dyDescent="0.2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6" x14ac:dyDescent="0.2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6" x14ac:dyDescent="0.2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6" x14ac:dyDescent="0.2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6" x14ac:dyDescent="0.2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6" x14ac:dyDescent="0.2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6" x14ac:dyDescent="0.2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6" x14ac:dyDescent="0.2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6" x14ac:dyDescent="0.2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6" x14ac:dyDescent="0.2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6" x14ac:dyDescent="0.2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6" x14ac:dyDescent="0.2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6" x14ac:dyDescent="0.2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6" x14ac:dyDescent="0.2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6" x14ac:dyDescent="0.2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6" x14ac:dyDescent="0.2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6" x14ac:dyDescent="0.2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6" x14ac:dyDescent="0.2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6" x14ac:dyDescent="0.2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6" x14ac:dyDescent="0.2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6" x14ac:dyDescent="0.2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6" x14ac:dyDescent="0.2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6" x14ac:dyDescent="0.2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6" x14ac:dyDescent="0.2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6" x14ac:dyDescent="0.2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6" x14ac:dyDescent="0.2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6" x14ac:dyDescent="0.2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6" x14ac:dyDescent="0.2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6" x14ac:dyDescent="0.2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6" x14ac:dyDescent="0.2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6" x14ac:dyDescent="0.2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6" x14ac:dyDescent="0.2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6" x14ac:dyDescent="0.2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6" x14ac:dyDescent="0.2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6" x14ac:dyDescent="0.2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6" x14ac:dyDescent="0.2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6" x14ac:dyDescent="0.2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6" x14ac:dyDescent="0.2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6" x14ac:dyDescent="0.2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6" x14ac:dyDescent="0.2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6" x14ac:dyDescent="0.2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6" x14ac:dyDescent="0.2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6" x14ac:dyDescent="0.2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6" x14ac:dyDescent="0.2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6" x14ac:dyDescent="0.2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6" x14ac:dyDescent="0.2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6" x14ac:dyDescent="0.2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6" x14ac:dyDescent="0.2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6" x14ac:dyDescent="0.2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6" x14ac:dyDescent="0.2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6" x14ac:dyDescent="0.2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6" x14ac:dyDescent="0.2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6" x14ac:dyDescent="0.2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6" x14ac:dyDescent="0.2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6" x14ac:dyDescent="0.2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6" x14ac:dyDescent="0.2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6" x14ac:dyDescent="0.2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6" x14ac:dyDescent="0.2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6" x14ac:dyDescent="0.2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6" x14ac:dyDescent="0.2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6" x14ac:dyDescent="0.2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6" x14ac:dyDescent="0.2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6" x14ac:dyDescent="0.2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6" x14ac:dyDescent="0.2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6" x14ac:dyDescent="0.2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6" x14ac:dyDescent="0.2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6" x14ac:dyDescent="0.2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6" x14ac:dyDescent="0.2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6" x14ac:dyDescent="0.2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6" x14ac:dyDescent="0.2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6" x14ac:dyDescent="0.2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6" x14ac:dyDescent="0.2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6" x14ac:dyDescent="0.2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6" x14ac:dyDescent="0.2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6" x14ac:dyDescent="0.2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6" x14ac:dyDescent="0.2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6" x14ac:dyDescent="0.2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6" x14ac:dyDescent="0.2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6" x14ac:dyDescent="0.2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6" x14ac:dyDescent="0.2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6" x14ac:dyDescent="0.2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6" x14ac:dyDescent="0.2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6" x14ac:dyDescent="0.2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6" x14ac:dyDescent="0.2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6" x14ac:dyDescent="0.2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6" x14ac:dyDescent="0.2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6" x14ac:dyDescent="0.2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6" x14ac:dyDescent="0.2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6" x14ac:dyDescent="0.2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15"/>
  <cols>
    <col min="1" max="1" width="3.1640625" style="43" customWidth="1"/>
    <col min="2" max="2" width="13.83203125" style="43" bestFit="1" customWidth="1"/>
    <col min="3" max="3" width="24.83203125" style="43" bestFit="1" customWidth="1"/>
    <col min="4" max="4" width="6.5" style="43" bestFit="1" customWidth="1"/>
    <col min="5" max="5" width="1.5" style="43" customWidth="1"/>
    <col min="6" max="6" width="34.5" style="43" bestFit="1" customWidth="1"/>
    <col min="7" max="7" width="1.5" style="43" customWidth="1"/>
    <col min="8" max="16382" width="10.83203125" style="43" hidden="1"/>
    <col min="16383" max="16384" width="52.5" style="43" hidden="1" customWidth="1"/>
  </cols>
  <sheetData>
    <row r="1" spans="2:6" x14ac:dyDescent="0.15">
      <c r="F1" s="44" t="str">
        <f>"REPORT_"&amp;'SCOUT &amp; LOGISTICS'!B2&amp;TEXT('SCOUT &amp; LOGISTICS'!C2,"000")</f>
        <v>REPORT_U2025062</v>
      </c>
    </row>
    <row r="2" spans="2:6" x14ac:dyDescent="0.15">
      <c r="F2" s="45" t="s">
        <v>157</v>
      </c>
    </row>
    <row r="3" spans="2:6" x14ac:dyDescent="0.15">
      <c r="B3" s="43" t="s">
        <v>156</v>
      </c>
      <c r="C3" s="43" t="str">
        <f>""""&amp;'SCOUT &amp; LOGISTICS'!B2&amp;TEXT('SCOUT &amp; LOGISTICS'!C2,"000")&amp;""""</f>
        <v>"U2025062"</v>
      </c>
      <c r="F3" s="45" t="str">
        <f t="shared" ref="F3:F16" si="0">""""&amp;B3&amp;"""" &amp; " : " &amp;C3&amp;","</f>
        <v>"name" : "U2025062",</v>
      </c>
    </row>
    <row r="4" spans="2:6" x14ac:dyDescent="0.15">
      <c r="B4" s="43" t="s">
        <v>119</v>
      </c>
      <c r="C4" s="43" t="str">
        <f>""""&amp;LEFT('SCOUT &amp; LOGISTICS'!B2,1) &amp; TEXT('SCOUT &amp; LOGISTICS'!C2,"000")&amp;""""</f>
        <v>"U062"</v>
      </c>
      <c r="F4" s="45" t="str">
        <f t="shared" si="0"/>
        <v>"cod" : "U062",</v>
      </c>
    </row>
    <row r="5" spans="2:6" x14ac:dyDescent="0.1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15">
      <c r="B6" s="43" t="s">
        <v>118</v>
      </c>
      <c r="C6" s="43" t="str">
        <f>TEXT('SCOUT &amp; LOGISTICS'!C2,"000")</f>
        <v>062</v>
      </c>
      <c r="F6" s="45" t="str">
        <f t="shared" si="0"/>
        <v>"number" : 062,</v>
      </c>
    </row>
    <row r="7" spans="2:6" x14ac:dyDescent="0.15">
      <c r="B7" s="43" t="s">
        <v>116</v>
      </c>
      <c r="C7" s="43" t="str">
        <f ca="1">""""&amp;TEXT('SCOUT &amp; LOGISTICS'!B3,"dd/mm/aaaa")&amp;""""</f>
        <v>"12/11/2025"</v>
      </c>
      <c r="F7" s="45" t="str">
        <f t="shared" ca="1" si="0"/>
        <v>"date" : "12/11/2025",</v>
      </c>
    </row>
    <row r="8" spans="2:6" x14ac:dyDescent="0.15">
      <c r="B8" s="43" t="s">
        <v>125</v>
      </c>
      <c r="C8" s="43" t="str">
        <f>""""&amp;'SCOUT &amp; LOGISTICS'!D4 &amp;""""</f>
        <v>"Cedevita Olimpija Ljubljana"</v>
      </c>
      <c r="F8" s="45" t="str">
        <f t="shared" si="0"/>
        <v>"home_team" : "Cedevita Olimpija Ljubljana",</v>
      </c>
    </row>
    <row r="9" spans="2:6" x14ac:dyDescent="0.15">
      <c r="B9" s="43" t="s">
        <v>126</v>
      </c>
      <c r="C9" s="43" t="str">
        <f>""""&amp;'SCOUT &amp; LOGISTICS'!D5&amp;""""</f>
        <v>"Umana Reyer Venice"</v>
      </c>
      <c r="F9" s="45" t="str">
        <f t="shared" si="0"/>
        <v>"away_team" : "Umana Reyer Venice",</v>
      </c>
    </row>
    <row r="10" spans="2:6" x14ac:dyDescent="0.15">
      <c r="B10" s="43" t="s">
        <v>127</v>
      </c>
      <c r="C10" s="43" t="str">
        <f>""""&amp;IF('SCOUT &amp; LOGISTICS'!D6="","",'SCOUT &amp; LOGISTICS'!D6)&amp;""""</f>
        <v>"ZIGA BENKO"</v>
      </c>
      <c r="F10" s="45" t="str">
        <f t="shared" si="0"/>
        <v>"Data_entry" : "ZIGA BENKO",</v>
      </c>
    </row>
    <row r="11" spans="2:6" x14ac:dyDescent="0.15">
      <c r="B11" s="43" t="s">
        <v>128</v>
      </c>
      <c r="C11" s="43" t="str">
        <f>""""&amp;IF('SCOUT &amp; LOGISTICS'!D7="","",'SCOUT &amp; LOGISTICS'!D7)&amp;""""</f>
        <v>"MATIC MARKIC"</v>
      </c>
      <c r="F11" s="45" t="str">
        <f t="shared" si="0"/>
        <v>"Caller_1" : "MATIC MARKIC",</v>
      </c>
    </row>
    <row r="12" spans="2:6" x14ac:dyDescent="0.15">
      <c r="B12" s="43" t="s">
        <v>129</v>
      </c>
      <c r="C12" s="43" t="str">
        <f>""""&amp;IF('SCOUT &amp; LOGISTICS'!D8="","",'SCOUT &amp; LOGISTICS'!D8)&amp;""""</f>
        <v>"ANDREJ STRUKELJ"</v>
      </c>
      <c r="F12" s="45" t="str">
        <f t="shared" si="0"/>
        <v>"Caller_2" : "ANDREJ STRUKELJ",</v>
      </c>
    </row>
    <row r="13" spans="2:6" x14ac:dyDescent="0.15">
      <c r="B13" s="43" t="s">
        <v>98</v>
      </c>
      <c r="C13" s="43" t="str">
        <f>""""&amp;IF('SCOUT &amp; LOGISTICS'!D9="","",'SCOUT &amp; LOGISTICS'!D9)&amp;""""</f>
        <v>"GORAN HODZIC"</v>
      </c>
      <c r="F13" s="45" t="str">
        <f t="shared" si="0"/>
        <v>"Timerkeeper" : "GORAN HODZIC",</v>
      </c>
    </row>
    <row r="14" spans="2:6" x14ac:dyDescent="0.15">
      <c r="B14" s="43" t="s">
        <v>99</v>
      </c>
      <c r="C14" s="43" t="str">
        <f>""""&amp;IF('SCOUT &amp; LOGISTICS'!D10="","",'SCOUT &amp; LOGISTICS'!D10)&amp;""""</f>
        <v>"GASPER KOLMAN"</v>
      </c>
      <c r="F14" s="45" t="str">
        <f t="shared" si="0"/>
        <v>"Shotclock" : "GASPER KOLMAN",</v>
      </c>
    </row>
    <row r="15" spans="2:6" x14ac:dyDescent="0.1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15">
      <c r="B16" s="43" t="s">
        <v>130</v>
      </c>
      <c r="C16" s="43" t="str">
        <f>""""&amp;IF('SCOUT &amp; LOGISTICS'!D14=0,"",'SCOUT &amp; LOGISTICS'!D14)&amp;""""</f>
        <v>"PABLO CAMPOY"</v>
      </c>
      <c r="F16" s="45" t="str">
        <f t="shared" si="0"/>
        <v>"Live_Game_Manager" : "PABLO CAMPOY",</v>
      </c>
    </row>
    <row r="17" spans="2:6" x14ac:dyDescent="0.1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1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1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1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1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1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15">
      <c r="F23" s="45" t="s">
        <v>158</v>
      </c>
    </row>
    <row r="24" spans="2:6" x14ac:dyDescent="0.1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15">
      <c r="C25" s="43" t="s">
        <v>131</v>
      </c>
      <c r="D25" s="43">
        <f>'SCOUT &amp; LOGISTICS'!D3</f>
        <v>600</v>
      </c>
      <c r="F25" s="45" t="str">
        <f t="shared" ref="F25:F48" si="1">""""&amp;C25&amp;"""" &amp; " : " &amp;D25&amp;","</f>
        <v>"total_actions" : 600,</v>
      </c>
    </row>
    <row r="26" spans="2:6" x14ac:dyDescent="0.15">
      <c r="C26" s="43" t="s">
        <v>132</v>
      </c>
      <c r="D26" s="43">
        <f>'SCOUT &amp; LOGISTICS'!F3</f>
        <v>10</v>
      </c>
      <c r="F26" s="45" t="str">
        <f t="shared" si="1"/>
        <v>"total_correcions" : 10,</v>
      </c>
    </row>
    <row r="27" spans="2:6" x14ac:dyDescent="0.15">
      <c r="C27" s="43" t="s">
        <v>133</v>
      </c>
      <c r="D27" s="43" t="str">
        <f>""""&amp;IF(OR(D25="",D25=0),"",TEXT(D26/D25,"0,0%"))&amp;""""</f>
        <v>"1,7%"</v>
      </c>
      <c r="F27" s="45" t="str">
        <f t="shared" si="1"/>
        <v>"%_corrections" : "1,7%",</v>
      </c>
    </row>
    <row r="28" spans="2:6" x14ac:dyDescent="0.1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15">
      <c r="C29" s="43" t="s">
        <v>134</v>
      </c>
      <c r="D29" s="43">
        <f>IF('SCOUT &amp; LOGISTICS'!AA18="","",'SCOUT &amp; LOGISTICS'!AA18)</f>
        <v>6</v>
      </c>
      <c r="F29" s="45" t="str">
        <f t="shared" si="1"/>
        <v>"no_team" : 6,</v>
      </c>
    </row>
    <row r="30" spans="2:6" x14ac:dyDescent="0.1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1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15">
      <c r="C32" s="43" t="s">
        <v>136</v>
      </c>
      <c r="D32" s="43">
        <f>'SCOUT &amp; LOGISTICS'!AG18</f>
        <v>4</v>
      </c>
      <c r="F32" s="45" t="str">
        <f t="shared" si="1"/>
        <v>"q2" : 4,</v>
      </c>
    </row>
    <row r="33" spans="3:6" x14ac:dyDescent="0.1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15">
      <c r="C34" s="43" t="s">
        <v>138</v>
      </c>
      <c r="D34" s="43">
        <f>'SCOUT &amp; LOGISTICS'!AG20</f>
        <v>3</v>
      </c>
      <c r="F34" s="45" t="str">
        <f t="shared" si="1"/>
        <v>"q4" : 3,</v>
      </c>
    </row>
    <row r="35" spans="3:6" x14ac:dyDescent="0.1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1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15">
      <c r="C37" s="43" t="s">
        <v>140</v>
      </c>
      <c r="D37" s="43">
        <f>'SCOUT &amp; LOGISTICS'!Y16</f>
        <v>10</v>
      </c>
      <c r="F37" s="45" t="str">
        <f t="shared" si="1"/>
        <v>"scoresheet_corrections" : 10,</v>
      </c>
    </row>
    <row r="38" spans="3:6" x14ac:dyDescent="0.1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1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1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1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1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1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1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1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ht="11" x14ac:dyDescent="0.15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1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1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15">
      <c r="C49" s="43" t="s">
        <v>151</v>
      </c>
      <c r="D49" s="43" t="e">
        <f>'SCOUT &amp; LOGISTICS'!R16</f>
        <v>#REF!</v>
      </c>
      <c r="F49" s="45" t="e">
        <f>""""&amp;C49&amp;"""" &amp; " : " &amp;D49</f>
        <v>#REF!</v>
      </c>
    </row>
    <row r="50" spans="2:6" x14ac:dyDescent="0.15">
      <c r="F50" s="45" t="s">
        <v>158</v>
      </c>
    </row>
    <row r="51" spans="2:6" x14ac:dyDescent="0.15">
      <c r="B51" s="43" t="s">
        <v>152</v>
      </c>
      <c r="C51" s="43" t="str">
        <f>""""&amp;IF('SCOUT &amp; LOGISTICS'!M4="","",'SCOUT &amp; LOGISTICS'!M4)&amp;""""</f>
        <v>"Good work. The scorers ought to ask the Live Managers about Fouls Drawn when they are not sure."</v>
      </c>
      <c r="F51" s="45" t="str">
        <f>""""&amp;B51&amp;"""" &amp; " : " &amp;C51&amp;","</f>
        <v>"comments" : "Good work. The scorers ought to ask the Live Managers about Fouls Drawn when they are not sure.",</v>
      </c>
    </row>
    <row r="52" spans="2:6" x14ac:dyDescent="0.15">
      <c r="B52" s="43" t="s">
        <v>153</v>
      </c>
      <c r="C52" s="43" t="str">
        <f>TEXT('SCOUT &amp; LOGISTICS'!F1,"0,0")</f>
        <v>07_062_LJU_VNC_U2025</v>
      </c>
      <c r="F52" s="45" t="str">
        <f>""""&amp;B52&amp;"""" &amp; " : " &amp;C52</f>
        <v>"result" : 07_062_LJU_VNC_U2025</v>
      </c>
    </row>
    <row r="53" spans="2:6" x14ac:dyDescent="0.15">
      <c r="F53" s="45" t="s">
        <v>155</v>
      </c>
    </row>
    <row r="54" spans="2:6" x14ac:dyDescent="0.1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" zeroHeight="1" x14ac:dyDescent="0.15"/>
  <cols>
    <col min="1" max="1" width="5.1640625" style="47" customWidth="1"/>
    <col min="2" max="2" width="2.83203125" style="47" customWidth="1"/>
    <col min="3" max="31" width="3.1640625" style="47" customWidth="1"/>
    <col min="32" max="32" width="5.5" style="47" customWidth="1"/>
    <col min="33" max="16384" width="6.5" style="47" hidden="1"/>
  </cols>
  <sheetData>
    <row r="1" spans="1:33" s="48" customFormat="1" ht="11.25" customHeight="1" x14ac:dyDescent="0.15"/>
    <row r="2" spans="1:33" ht="42.75" customHeight="1" thickBot="1" x14ac:dyDescent="0.2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">
      <c r="A3" s="48"/>
      <c r="B3" s="208" t="str">
        <f>"GAME: "&amp; LEFT('SCOUT &amp; LOGISTICS'!B2,1) &amp; TEXT('SCOUT &amp; LOGISTICS'!C2,"000") &amp; " " &amp; IF(LEFT('SCOUT &amp; LOGISTICS'!B2,1)="U","(EUROCUP)","(EUROLEAGUE)")</f>
        <v>GAME: U062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">
      <c r="A4" s="48"/>
      <c r="B4" s="194" t="str">
        <f ca="1">"DATE: " &amp; TEXT('SCOUT &amp; LOGISTICS'!B3,"dd/mm")</f>
        <v>DATE: 12/11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25" customHeight="1" thickBot="1" x14ac:dyDescent="0.2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25" customHeight="1" thickBot="1" x14ac:dyDescent="0.2">
      <c r="A6" s="48"/>
      <c r="B6" s="212" t="str">
        <f>PROPER('SCOUT &amp; LOGISTICS'!D4)</f>
        <v>Cedevita Olimpija Ljubljana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Umana Reyer Venice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">
      <c r="A8" s="48"/>
      <c r="B8" s="206" t="str">
        <f>IF('SCOUT &amp; LOGISTICS'!D6="","",'SCOUT &amp; LOGISTICS'!D6)</f>
        <v>ZIGA BENKO</v>
      </c>
      <c r="C8" s="206"/>
      <c r="D8" s="206"/>
      <c r="E8" s="206"/>
      <c r="F8" s="206"/>
      <c r="G8" s="206" t="str">
        <f>IF('SCOUT &amp; LOGISTICS'!D7="","",'SCOUT &amp; LOGISTICS'!D7)</f>
        <v>MATIC MARKIC</v>
      </c>
      <c r="H8" s="206"/>
      <c r="I8" s="206"/>
      <c r="J8" s="206"/>
      <c r="K8" s="206"/>
      <c r="L8" s="206" t="str">
        <f>IF('SCOUT &amp; LOGISTICS'!D8="","",'SCOUT &amp; LOGISTICS'!D8)</f>
        <v>ANDREJ STRUKELJ</v>
      </c>
      <c r="M8" s="206"/>
      <c r="N8" s="206"/>
      <c r="O8" s="206"/>
      <c r="P8" s="206"/>
      <c r="Q8" s="206" t="str">
        <f>IF('SCOUT &amp; LOGISTICS'!D9="","",'SCOUT &amp; LOGISTICS'!D9)</f>
        <v>GORAN HODZIC</v>
      </c>
      <c r="R8" s="206"/>
      <c r="S8" s="206"/>
      <c r="T8" s="206"/>
      <c r="U8" s="206"/>
      <c r="V8" s="206" t="str">
        <f>IF('SCOUT &amp; LOGISTICS'!D10="","",'SCOUT &amp; LOGISTICS'!D10)</f>
        <v>GASPER KOLMAN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3" thickBot="1" x14ac:dyDescent="0.2">
      <c r="A9" s="48"/>
      <c r="B9" s="200" t="str">
        <f>IF(OR('SCOUT &amp; LOGISTICS'!D14="",'SCOUT &amp; LOGISTICS'!D14=0),"",'SCOUT &amp; LOGISTICS'!B14 &amp; ": " &amp; 'SCOUT &amp; LOGISTICS'!D14) &amp; "     "</f>
        <v xml:space="preserve">L G M: : PABLO CAMPOY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2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25" customHeight="1" thickBot="1" x14ac:dyDescent="0.2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25" customHeight="1" thickBot="1" x14ac:dyDescent="0.2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2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25" customHeight="1" thickBot="1" x14ac:dyDescent="0.2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25" customHeight="1" thickBot="1" x14ac:dyDescent="0.2">
      <c r="A17" s="48"/>
      <c r="B17" s="204">
        <f>'SCOUT &amp; LOGISTICS'!D3</f>
        <v>600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1.6666666666666666E-2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2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25" customHeight="1" thickBot="1" x14ac:dyDescent="0.2">
      <c r="A20" s="48"/>
      <c r="B20" s="197">
        <f>IF('SCOUT &amp; LOGISTICS'!AA17="","",'SCOUT &amp; LOGISTICS'!AA17)</f>
        <v>4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6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25" customHeight="1" thickBot="1" x14ac:dyDescent="0.2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4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3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2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25" customHeight="1" thickBot="1" x14ac:dyDescent="0.2">
      <c r="A25" s="48"/>
      <c r="B25" s="197">
        <f>'SCOUT &amp; LOGISTICS'!Y17</f>
        <v>10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25" customHeight="1" thickBot="1" x14ac:dyDescent="0.2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7</v>
      </c>
      <c r="H27" s="197"/>
      <c r="I27" s="197"/>
      <c r="J27" s="197"/>
      <c r="K27" s="197"/>
      <c r="L27" s="197">
        <f>'SCOUT &amp; LOGISTICS'!AC23</f>
        <v>2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25" customHeight="1" thickBot="1" x14ac:dyDescent="0.2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2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25" customHeight="1" thickBot="1" x14ac:dyDescent="0.2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75" customHeight="1" thickBot="1" x14ac:dyDescent="0.2">
      <c r="A32" s="48"/>
      <c r="B32" s="195" t="str">
        <f>IF('SCOUT &amp; LOGISTICS'!M4="","",'SCOUT &amp; LOGISTICS'!M4)</f>
        <v>Good work. The scorers ought to ask the Live Managers about Fouls Drawn when they are not sure.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25" customHeight="1" thickBot="1" x14ac:dyDescent="0.2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25" customHeight="1" thickBot="1" x14ac:dyDescent="0.2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">
      <c r="A35" s="48"/>
      <c r="B35" s="196">
        <f>'SCOUT &amp; LOGISTICS'!M7</f>
        <v>14.166666666666666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25" customHeight="1" x14ac:dyDescent="0.1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088D08C-207F-4942-BA41-E552922C8FF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 Ponsarnau</cp:lastModifiedBy>
  <cp:lastPrinted>2025-11-11T14:15:23Z</cp:lastPrinted>
  <dcterms:created xsi:type="dcterms:W3CDTF">2023-09-19T19:50:35Z</dcterms:created>
  <dcterms:modified xsi:type="dcterms:W3CDTF">2026-03-23T17:24:20Z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