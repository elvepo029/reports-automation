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4" documentId="8_{64EE33B9-BA23-4035-BB2A-ABED00FEFD05}" xr6:coauthVersionLast="47" xr6:coauthVersionMax="47" xr10:uidLastSave="{14165B48-1A55-4AC6-98B6-9BA39CABD327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<sst xmlns="http://schemas.openxmlformats.org/spreadsheetml/2006/main" count="3303" uniqueCount="776">
  <si>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</si>
  <si>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</si>
  <si>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</si>
  <si>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</si>
  <si>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</si>
  <si>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</si>
  <si>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</si>
  <si>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</si>
  <si>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</si>
  <si>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</si>
  <si>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</si>
  <si>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</si>
  <si>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</si>
  <si>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</si>
  <si>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</si>
  <si>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</si>
  <si>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</si>
  <si>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</si>
  <si>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</si>
  <si>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</si>
  <si>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</si>
  <si>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</si>
  <si>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</si>
  <si>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</si>
  <si>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</si>
  <si>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</si>
  <si>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</si>
  <si>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</si>
  <si>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</si>
  <si>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</si>
  <si>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</si>
  <si>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</si>
  <si>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</si>
  <si>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</si>
  <si>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</si>
  <si>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</si>
  <si>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</si>
  <si>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</si>
  <si>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</si>
  <si>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</si>
  <si>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</si>
  <si>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</si>
  <si>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</si>
  <si>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</si>
  <si>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</si>
  <si>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</si>
  <si>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</si>
  <si>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</si>
  <si>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</si>
  <si>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</si>
  <si>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</si>
  <si>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</si>
  <si>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</si>
  <si>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</si>
  <si>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</si>
  <si>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</si>
  <si>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</si>
  <si>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</si>
  <si>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</si>
  <si>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</si>
  <si>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</si>
  <si>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</si>
  <si>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</si>
  <si>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</si>
  <si>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</si>
  <si>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</si>
  <si>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</si>
  <si>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</si>
  <si>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</si>
  <si>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</si>
  <si>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</si>
  <si>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</si>
  <si>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</si>
  <si>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</si>
  <si>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</si>
  <si>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</si>
  <si>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</si>
  <si>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</si>
  <si>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</si>
  <si>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</si>
  <si>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</si>
  <si>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</si>
  <si>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</si>
  <si>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</si>
  <si>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</si>
  <si>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</si>
  <si>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</si>
  <si>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</si>
  <si>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</si>
  <si>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</si>
  <si>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</si>
  <si>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</si>
  <si>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</si>
  <si>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</si>
  <si>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</si>
  <si>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</si>
  <si>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</si>
  <si>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</si>
  <si>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</si>
  <si>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</si>
  <si>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</si>
  <si>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</si>
  <si>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</si>
  <si>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</si>
  <si>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</si>
  <si>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</si>
  <si>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</si>
  <si>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</si>
  <si>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</si>
  <si>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</si>
  <si>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</si>
  <si>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</si>
  <si>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</si>
  <si>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</si>
  <si>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</si>
  <si>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</si>
  <si>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</si>
  <si>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</si>
  <si>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</si>
  <si>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</si>
  <si>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</si>
  <si>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</si>
  <si>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</si>
  <si>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</si>
  <si>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</si>
  <si>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</si>
  <si>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</si>
  <si>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</si>
  <si>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</si>
  <si>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</si>
  <si>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</si>
  <si>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</si>
  <si>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</si>
  <si>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</si>
  <si>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</si>
  <si>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</si>
  <si>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</si>
  <si>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</si>
  <si>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</si>
  <si>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</si>
  <si>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</si>
  <si>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</si>
  <si>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</si>
  <si>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</si>
  <si>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</si>
  <si>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</si>
  <si>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</si>
  <si>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</si>
  <si>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</si>
  <si>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</si>
  <si>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</si>
  <si>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</si>
  <si>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</si>
  <si>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</si>
  <si>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</si>
  <si>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</si>
  <si>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</si>
  <si>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</si>
  <si>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</si>
  <si>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</si>
  <si>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</si>
  <si>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</si>
  <si>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</si>
  <si>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</si>
  <si>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</si>
  <si>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</si>
  <si>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</si>
  <si>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</si>
  <si>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</si>
  <si>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</si>
  <si>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</si>
  <si>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</si>
  <si>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</si>
  <si>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</si>
  <si>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</si>
  <si>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</si>
  <si>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</si>
  <si>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</si>
  <si>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</si>
  <si>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</si>
  <si>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</si>
  <si>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</si>
  <si>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</si>
  <si>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</si>
  <si>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</si>
  <si>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</si>
  <si>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</si>
  <si>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</si>
  <si>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</si>
  <si>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</si>
  <si>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</si>
  <si>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</si>
  <si>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</si>
  <si>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</si>
  <si>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</si>
  <si>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</si>
  <si>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</si>
  <si>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</si>
  <si>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</si>
  <si>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</si>
  <si>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</si>
  <si>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</si>
  <si>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</si>
  <si>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</si>
  <si>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</si>
  <si>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</si>
  <si>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</si>
  <si>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</si>
  <si>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</si>
  <si>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</si>
  <si>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</si>
  <si>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</si>
  <si>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</si>
  <si>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</si>
  <si>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</si>
  <si>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</si>
  <si>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</si>
  <si>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</si>
  <si>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</si>
  <si>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</si>
  <si>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</si>
  <si>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</si>
  <si>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</si>
  <si>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</si>
  <si>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</si>
  <si>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</si>
  <si>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</si>
  <si>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</si>
  <si>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</si>
  <si>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</si>
  <si>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</si>
  <si>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</si>
  <si>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</si>
  <si>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</si>
  <si>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</si>
  <si>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</si>
  <si>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</si>
  <si>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</si>
  <si>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</si>
  <si>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</si>
  <si>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</si>
  <si>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</si>
  <si>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</si>
  <si>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</si>
  <si>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</si>
  <si>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</si>
  <si>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</si>
  <si>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</si>
  <si>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</si>
  <si>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</si>
  <si>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</si>
  <si>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</si>
  <si>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</si>
  <si>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</si>
  <si>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</si>
  <si>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</si>
  <si>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</si>
  <si>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</si>
  <si>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</si>
  <si>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</si>
  <si>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</si>
  <si>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</si>
  <si>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</si>
  <si>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</si>
  <si>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</si>
  <si>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</si>
  <si>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</si>
  <si>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</si>
  <si>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</si>
  <si>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</si>
  <si>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</si>
  <si>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</si>
  <si>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</si>
  <si>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</si>
  <si>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</si>
  <si>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</si>
  <si>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</si>
  <si>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</si>
  <si>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</si>
  <si>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</si>
  <si>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</si>
  <si>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</si>
  <si>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</si>
  <si>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</si>
  <si>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</si>
  <si>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</si>
  <si>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</si>
  <si>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</si>
  <si>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</si>
  <si>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</si>
  <si>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</si>
  <si>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</si>
  <si>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</si>
  <si>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</si>
  <si>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</si>
  <si>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</si>
  <si>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</si>
  <si>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</si>
  <si>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</si>
  <si>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</si>
  <si>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</si>
  <si>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</si>
  <si>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</si>
  <si>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</si>
  <si>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</si>
  <si>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</si>
  <si>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</si>
  <si>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</si>
  <si>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</si>
  <si>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</si>
  <si>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</si>
  <si>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</si>
  <si>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</si>
  <si>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</si>
  <si>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</si>
  <si>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</si>
  <si>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</si>
  <si>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</si>
  <si>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</si>
  <si>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</si>
  <si>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</si>
  <si>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</si>
  <si>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</si>
  <si>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</si>
  <si>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</si>
  <si>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</si>
  <si>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</si>
  <si>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</si>
  <si>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</si>
  <si>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</si>
  <si>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</si>
  <si>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</si>
  <si>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</si>
  <si>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</si>
  <si>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</si>
  <si>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</si>
  <si>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</si>
  <si>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</si>
  <si>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</si>
  <si>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</si>
  <si>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</si>
  <si>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</si>
  <si>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</si>
  <si>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</si>
  <si>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</si>
  <si>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</si>
  <si>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</si>
  <si>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</si>
  <si>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</si>
  <si>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</si>
  <si>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</si>
  <si>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</si>
  <si>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</si>
  <si>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</si>
  <si>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</si>
  <si>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</si>
  <si>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</si>
  <si>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</si>
  <si>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</si>
  <si>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</si>
  <si>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</si>
  <si>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</si>
  <si>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</si>
  <si>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</si>
  <si>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</si>
  <si>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</si>
  <si>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</si>
  <si>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</si>
  <si>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</si>
  <si>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</si>
  <si>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</si>
  <si>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</si>
  <si>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</si>
  <si>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</si>
  <si>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</si>
  <si>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</si>
  <si>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</si>
  <si>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</si>
  <si>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</si>
  <si>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</si>
  <si>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</si>
  <si>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</si>
  <si>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</si>
  <si>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</si>
  <si>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</si>
  <si>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</si>
  <si>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</si>
  <si>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</si>
  <si>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</si>
  <si>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</si>
  <si>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</si>
  <si>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</si>
  <si>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</si>
  <si>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</si>
  <si>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</si>
  <si>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</si>
  <si>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</si>
  <si>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</si>
  <si>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</si>
  <si>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</si>
  <si>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</si>
  <si>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</si>
  <si>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</si>
  <si>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</si>
  <si>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</si>
  <si>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</si>
  <si>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</si>
  <si>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</si>
  <si>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</si>
  <si>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</si>
  <si>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</si>
  <si>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</si>
  <si>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</si>
  <si>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</si>
  <si>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</si>
  <si>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</si>
  <si>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</si>
  <si>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</si>
  <si>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</si>
  <si>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</si>
  <si>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</si>
  <si>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</si>
  <si>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</si>
  <si>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</si>
  <si>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</si>
  <si>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</si>
  <si>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</si>
  <si>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</si>
  <si>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</si>
  <si>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</si>
  <si>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</si>
  <si>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</si>
  <si>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</si>
  <si>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</si>
  <si>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</si>
  <si>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</si>
  <si>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</si>
  <si>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</si>
  <si>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</si>
  <si>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</si>
  <si>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</si>
  <si>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</si>
  <si>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</si>
  <si>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</si>
  <si>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</si>
  <si>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</si>
  <si>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</si>
  <si>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</si>
  <si>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</si>
  <si>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</si>
  <si>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</si>
  <si>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</si>
  <si>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</si>
  <si>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</si>
  <si>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</si>
  <si>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</si>
  <si>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</si>
  <si>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</si>
  <si>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</si>
  <si>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</si>
  <si>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</si>
  <si>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</si>
  <si>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</si>
  <si>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</si>
  <si>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</si>
  <si>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</si>
  <si>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</si>
  <si>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</si>
  <si>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</si>
  <si>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</si>
  <si>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</si>
  <si>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</si>
  <si>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</si>
  <si>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</si>
  <si>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</si>
  <si>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</si>
  <si>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</si>
  <si>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</si>
  <si>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</si>
  <si>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</si>
  <si>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</si>
  <si>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</si>
  <si>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</si>
  <si>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</si>
  <si>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</si>
  <si>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</si>
  <si>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</si>
  <si>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</si>
  <si>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</si>
  <si>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</si>
  <si>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</si>
  <si>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</si>
  <si>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</si>
  <si>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</si>
  <si>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</si>
  <si>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</si>
  <si>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</si>
  <si>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</si>
  <si>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</si>
  <si>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</si>
  <si>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</si>
  <si>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</si>
  <si>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</si>
  <si>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</si>
  <si>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</si>
  <si>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</si>
  <si>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</si>
  <si>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</si>
  <si>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</si>
  <si>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</si>
  <si>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</si>
  <si>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</si>
  <si>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</si>
  <si>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</si>
  <si>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</si>
  <si>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</si>
  <si>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</si>
  <si>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</si>
  <si>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</si>
  <si>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</si>
  <si>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</si>
  <si>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</si>
  <si>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</si>
  <si>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</si>
  <si>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</si>
  <si>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</si>
  <si>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</si>
  <si>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</si>
  <si>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</si>
  <si>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</si>
  <si>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</si>
  <si>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</si>
  <si>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</si>
  <si>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</si>
  <si>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</si>
  <si>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</si>
  <si>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</si>
  <si>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</si>
  <si>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</si>
  <si>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</si>
  <si>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</si>
  <si>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</si>
  <si>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</si>
  <si>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</si>
  <si>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</si>
  <si>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</si>
  <si>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</si>
  <si>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</si>
  <si>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</si>
  <si>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</si>
  <si>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</si>
  <si>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</si>
  <si>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</si>
  <si>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</si>
  <si>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</si>
  <si>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</si>
  <si>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</si>
  <si>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</si>
  <si>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</si>
  <si>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</si>
  <si>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</si>
  <si>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</si>
  <si>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</si>
  <si>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</si>
  <si>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</si>
  <si>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</si>
  <si>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</si>
  <si>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</si>
  <si>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</si>
  <si>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</si>
  <si>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</si>
  <si>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</si>
  <si>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</si>
  <si>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</si>
  <si>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</si>
  <si>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</si>
  <si>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</si>
  <si>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</si>
  <si>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</si>
  <si>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</si>
  <si>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</si>
  <si>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</si>
  <si>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</si>
  <si>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</si>
  <si>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</si>
  <si>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</si>
  <si>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</si>
  <si>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</si>
  <si>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</si>
  <si>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</si>
  <si>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</si>
  <si>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</si>
  <si>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</si>
  <si>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</si>
  <si>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</si>
  <si>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</si>
  <si>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</si>
  <si>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</si>
  <si>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</si>
  <si>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</si>
  <si>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</si>
  <si>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</si>
  <si>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</si>
  <si>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</si>
  <si>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</si>
  <si>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</si>
  <si>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</si>
  <si>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</si>
  <si>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</si>
  <si>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</si>
  <si>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</si>
  <si>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</si>
  <si>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</si>
  <si>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</si>
  <si>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</si>
  <si>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</si>
  <si>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</si>
  <si>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</si>
  <si>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</si>
  <si>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</si>
  <si>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</si>
  <si>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</si>
  <si>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</si>
  <si>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</si>
  <si>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</si>
  <si>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</si>
  <si>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</si>
  <si>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</si>
  <si>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</si>
  <si>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</si>
  <si>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</si>
  <si>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</si>
  <si>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</si>
  <si>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</si>
  <si>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</si>
  <si>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</si>
  <si>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</si>
  <si>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</si>
  <si>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</si>
  <si>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</si>
  <si>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</si>
  <si>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</si>
  <si>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</si>
  <si>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</si>
  <si>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</si>
  <si>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</si>
  <si>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</si>
  <si>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</si>
  <si>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</si>
  <si>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</si>
  <si>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</si>
  <si>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</si>
  <si>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</si>
  <si>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</si>
  <si>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</si>
  <si>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</si>
  <si>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</si>
  <si>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</si>
  <si>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</si>
  <si>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</si>
  <si>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</si>
  <si>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</si>
  <si>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</si>
  <si>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</si>
  <si>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</si>
  <si>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</si>
  <si>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</si>
  <si>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</si>
  <si>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</si>
  <si>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</si>
  <si>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</si>
  <si>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</si>
  <si>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</si>
  <si>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</si>
  <si>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</si>
  <si>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</si>
  <si>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</si>
  <si>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</si>
  <si>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</si>
  <si>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</si>
  <si>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</si>
  <si>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</si>
  <si>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</si>
  <si>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</si>
  <si>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</si>
  <si>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</si>
  <si>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</si>
  <si>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</si>
  <si>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</si>
  <si>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</si>
  <si>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</si>
  <si>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</si>
  <si>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</si>
  <si>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</si>
  <si>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</si>
  <si>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</si>
  <si>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</si>
  <si>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</si>
  <si>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</si>
  <si>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</si>
  <si>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</si>
  <si>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</si>
  <si>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</si>
  <si>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</si>
  <si>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</si>
  <si>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</si>
  <si>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</si>
  <si>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</si>
  <si>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</si>
  <si>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</si>
  <si>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</si>
  <si>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</si>
  <si>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</si>
  <si>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</si>
  <si>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</si>
  <si>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</si>
  <si>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</si>
  <si>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</si>
  <si>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</si>
  <si>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</si>
  <si>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</si>
  <si>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</si>
  <si>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</si>
  <si>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</si>
  <si>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</si>
  <si>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</si>
  <si>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</si>
  <si>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</si>
  <si>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</si>
  <si>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</si>
  <si>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</si>
  <si>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</si>
  <si>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</si>
  <si>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</si>
  <si>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</si>
  <si>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</si>
  <si>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</si>
  <si>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</si>
  <si>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</si>
  <si>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</si>
  <si>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</si>
  <si>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</si>
  <si>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</si>
  <si>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</si>
  <si>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</si>
  <si>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</si>
  <si>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</si>
  <si>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</si>
  <si>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</si>
  <si>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ZIGA BENKO</t>
  </si>
  <si>
    <t>MATIC MARKIC</t>
  </si>
  <si>
    <t>ANDREJ STRUKELJ</t>
  </si>
  <si>
    <t>GORAN HODZIC</t>
  </si>
  <si>
    <t>GASPER KOLMAN</t>
  </si>
  <si>
    <t>C:\Users\pablo.campoy\EUROLEAGUE\EB STATS - General\SEASON 2025-26\Reports\Eurocup\Excel Reports fets</t>
  </si>
  <si>
    <t>C:\Users\pablo.campoy\EUROLEAGUE\EB STATS - General\SEASON 2025-26\Reports\Eurocup\PDF</t>
  </si>
  <si>
    <t>04:16</t>
  </si>
  <si>
    <t>Deflection molt difícil de veure sota la cistella.</t>
  </si>
  <si>
    <t>09:44</t>
  </si>
  <si>
    <t>Assistència CLARÍSSIMA no apuntada</t>
  </si>
  <si>
    <t>05:55</t>
  </si>
  <si>
    <t>Dos jugadors que salten junts. No és error greu.</t>
  </si>
  <si>
    <t>00:24</t>
  </si>
  <si>
    <t>Molt difícil de veure</t>
  </si>
  <si>
    <t>00:02</t>
  </si>
  <si>
    <t>Falta rebuda claríssima mal apuntada.</t>
  </si>
  <si>
    <t>08:21</t>
  </si>
  <si>
    <t>Desviament intencionat d'un rebot cap a un company</t>
  </si>
  <si>
    <t>06:34</t>
  </si>
  <si>
    <t>05:45</t>
  </si>
  <si>
    <t>Assistència CLARÍSSIMA apuntada al jugador equivocat</t>
  </si>
  <si>
    <t>05:24</t>
  </si>
  <si>
    <t>Rebot claríssim apuntat al jugador equivocat</t>
  </si>
  <si>
    <t>01:07</t>
  </si>
  <si>
    <t>Assistència per tir lliure anotat no apuntada.</t>
  </si>
  <si>
    <t>Good work. The scorers ought to ask the Live Managers about Fouls Drawn when they are not 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</si>
</sst>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31" activePane="bottomRight" state="frozen"/>
      <selection pane="topRight" activeCell="H1" sqref="H1"/>
      <selection pane="bottomLeft" activeCell="A17" sqref="A17"/>
      <selection pane="bottomRight" activeCell="L12" sqref="L12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07_062_LJU_VNC_U2025</v>
      </c>
      <c r="G1" s="5"/>
      <c r="H1" s="5"/>
      <c r="I1" s="5"/>
      <c r="J1" s="8" t="s">
        <v>707</v>
      </c>
      <c r="K1" s="121" t="s">
        <v>754</v>
      </c>
      <c r="L1" s="121"/>
      <c r="M1" s="122" t="s">
        <v>239</v>
      </c>
      <c r="N1" s="121" t="s">
        <v>755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62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45973.770833333336</v>
      </c>
      <c r="C3" s="178"/>
      <c r="D3" s="39">
        <v>600</v>
      </c>
      <c r="E3" s="29"/>
      <c r="F3" s="26">
        <f>SUBTOTAL(3,I17:I106)</f>
        <v>10</v>
      </c>
      <c r="G3" s="27">
        <f>IF(OR(D3="",D3=0),"",F3/D3)</f>
        <v>1.6666666666666666E-2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Cedevita Olimpija Ljubljana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LJU</v>
      </c>
      <c r="I4" s="5"/>
      <c r="J4" s="119" t="s">
        <v>714</v>
      </c>
      <c r="K4" s="54" t="s">
        <v>742</v>
      </c>
      <c r="L4" s="5"/>
      <c r="M4" s="185" t="s">
        <v>775</v>
      </c>
      <c r="N4" s="186"/>
      <c r="O4" s="2"/>
      <c r="P4" s="2"/>
      <c r="Q4" s="84" t="s">
        <v>175</v>
      </c>
      <c r="R4" s="94">
        <f>(IF(G3="",0,G3))</f>
        <v>1.6666666666666666E-2</v>
      </c>
      <c r="S4" s="61">
        <f>SUM(I13:M13)</f>
        <v>0</v>
      </c>
      <c r="T4" s="78"/>
      <c r="U4" s="61">
        <f>AC18</f>
        <v>1</v>
      </c>
      <c r="V4" s="61">
        <f>+AC22</f>
        <v>7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Umana Reyer Venice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VNC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1.6666666666666667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7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749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14.166666666666666</v>
      </c>
      <c r="N7" s="58"/>
      <c r="O7" s="2"/>
      <c r="P7" s="2"/>
      <c r="Q7" s="86">
        <f>SUM(R5,S5,AC16)</f>
        <v>14.166666666666666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14.166666666666668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62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12.5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10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4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3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7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62</v>
      </c>
      <c r="D26" s="32" t="s">
        <v>756</v>
      </c>
      <c r="E26" s="33">
        <v>1</v>
      </c>
      <c r="F26" s="36">
        <v>11</v>
      </c>
      <c r="G26" s="36">
        <v>10</v>
      </c>
      <c r="H26" s="38" t="str">
        <f t="shared" si="8"/>
        <v>SCOUTING</v>
      </c>
      <c r="I26" s="34">
        <v>52</v>
      </c>
      <c r="J26" s="13" t="s">
        <v>4</v>
      </c>
      <c r="K26" s="13" t="s">
        <v>63</v>
      </c>
      <c r="L26" s="13" t="s">
        <v>6</v>
      </c>
      <c r="M26" s="13" t="s">
        <v>10</v>
      </c>
      <c r="N26" s="35" t="s">
        <v>757</v>
      </c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62</v>
      </c>
      <c r="D27" s="32" t="s">
        <v>758</v>
      </c>
      <c r="E27" s="33">
        <v>2</v>
      </c>
      <c r="F27" s="36">
        <v>19</v>
      </c>
      <c r="G27" s="36">
        <v>15</v>
      </c>
      <c r="H27" s="38" t="str">
        <f t="shared" si="8"/>
        <v>SCOUTING</v>
      </c>
      <c r="I27" s="34">
        <v>149</v>
      </c>
      <c r="J27" s="13" t="s">
        <v>4</v>
      </c>
      <c r="K27" s="13" t="s">
        <v>63</v>
      </c>
      <c r="L27" s="13" t="s">
        <v>7</v>
      </c>
      <c r="M27" s="13" t="s">
        <v>11</v>
      </c>
      <c r="N27" s="35" t="s">
        <v>759</v>
      </c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U2025</v>
      </c>
      <c r="C28" s="31">
        <f t="shared" si="3"/>
        <v>62</v>
      </c>
      <c r="D28" s="32" t="s">
        <v>760</v>
      </c>
      <c r="E28" s="33">
        <v>2</v>
      </c>
      <c r="F28" s="36">
        <v>25</v>
      </c>
      <c r="G28" s="36">
        <v>27</v>
      </c>
      <c r="H28" s="38" t="str">
        <f t="shared" si="8"/>
        <v>SCOUTING</v>
      </c>
      <c r="I28" s="34">
        <v>191</v>
      </c>
      <c r="J28" s="13" t="s">
        <v>4</v>
      </c>
      <c r="K28" s="13" t="s">
        <v>63</v>
      </c>
      <c r="L28" s="13" t="s">
        <v>6</v>
      </c>
      <c r="M28" s="13" t="s">
        <v>168</v>
      </c>
      <c r="N28" s="35" t="s">
        <v>761</v>
      </c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U2025</v>
      </c>
      <c r="C29" s="31">
        <f t="shared" si="3"/>
        <v>62</v>
      </c>
      <c r="D29" s="32" t="s">
        <v>762</v>
      </c>
      <c r="E29" s="33">
        <v>2</v>
      </c>
      <c r="F29" s="36">
        <v>40</v>
      </c>
      <c r="G29" s="36">
        <v>37</v>
      </c>
      <c r="H29" s="38" t="str">
        <f t="shared" si="8"/>
        <v>SCOUTING</v>
      </c>
      <c r="I29" s="34">
        <v>275</v>
      </c>
      <c r="J29" s="13" t="s">
        <v>4</v>
      </c>
      <c r="K29" s="13" t="s">
        <v>62</v>
      </c>
      <c r="L29" s="13" t="s">
        <v>6</v>
      </c>
      <c r="M29" s="13" t="s">
        <v>10</v>
      </c>
      <c r="N29" s="35" t="s">
        <v>763</v>
      </c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U2025</v>
      </c>
      <c r="C30" s="31">
        <f t="shared" si="3"/>
        <v>62</v>
      </c>
      <c r="D30" s="32" t="s">
        <v>764</v>
      </c>
      <c r="E30" s="33">
        <v>2</v>
      </c>
      <c r="F30" s="36">
        <v>42</v>
      </c>
      <c r="G30" s="36">
        <v>37</v>
      </c>
      <c r="H30" s="38" t="str">
        <f t="shared" si="8"/>
        <v>SCOUTING</v>
      </c>
      <c r="I30" s="34">
        <v>279</v>
      </c>
      <c r="J30" s="13" t="s">
        <v>4</v>
      </c>
      <c r="K30" s="13" t="s">
        <v>62</v>
      </c>
      <c r="L30" s="13" t="s">
        <v>6</v>
      </c>
      <c r="M30" s="13" t="s">
        <v>22</v>
      </c>
      <c r="N30" s="35" t="s">
        <v>765</v>
      </c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>U2025</v>
      </c>
      <c r="C31" s="31">
        <f t="shared" si="3"/>
        <v>62</v>
      </c>
      <c r="D31" s="32" t="s">
        <v>766</v>
      </c>
      <c r="E31" s="33">
        <v>3</v>
      </c>
      <c r="F31" s="36">
        <v>45</v>
      </c>
      <c r="G31" s="36">
        <v>39</v>
      </c>
      <c r="H31" s="38" t="str">
        <f t="shared" si="8"/>
        <v>SCOUTING</v>
      </c>
      <c r="I31" s="34">
        <v>309</v>
      </c>
      <c r="J31" s="13" t="s">
        <v>4</v>
      </c>
      <c r="K31" s="13" t="s">
        <v>63</v>
      </c>
      <c r="L31" s="13" t="s">
        <v>5</v>
      </c>
      <c r="M31" s="13" t="s">
        <v>168</v>
      </c>
      <c r="N31" s="35" t="s">
        <v>767</v>
      </c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>U2025</v>
      </c>
      <c r="C32" s="31">
        <f t="shared" si="3"/>
        <v>62</v>
      </c>
      <c r="D32" s="32" t="s">
        <v>768</v>
      </c>
      <c r="E32" s="33">
        <v>3</v>
      </c>
      <c r="F32" s="36">
        <v>47</v>
      </c>
      <c r="G32" s="36">
        <v>43</v>
      </c>
      <c r="H32" s="38" t="str">
        <f t="shared" si="8"/>
        <v>SCOUTING</v>
      </c>
      <c r="I32" s="34">
        <v>338</v>
      </c>
      <c r="J32" s="13" t="s">
        <v>4</v>
      </c>
      <c r="K32" s="13" t="s">
        <v>62</v>
      </c>
      <c r="L32" s="13" t="s">
        <v>6</v>
      </c>
      <c r="M32" s="13" t="s">
        <v>22</v>
      </c>
      <c r="N32" s="35" t="s">
        <v>765</v>
      </c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>U2025</v>
      </c>
      <c r="C33" s="31">
        <f t="shared" si="3"/>
        <v>62</v>
      </c>
      <c r="D33" s="32" t="s">
        <v>769</v>
      </c>
      <c r="E33" s="33">
        <v>4</v>
      </c>
      <c r="F33" s="36">
        <v>79</v>
      </c>
      <c r="G33" s="36">
        <v>57</v>
      </c>
      <c r="H33" s="38" t="str">
        <f t="shared" si="8"/>
        <v>SCOUTING</v>
      </c>
      <c r="I33" s="34">
        <v>512</v>
      </c>
      <c r="J33" s="13" t="s">
        <v>4</v>
      </c>
      <c r="K33" s="13" t="s">
        <v>62</v>
      </c>
      <c r="L33" s="13" t="s">
        <v>6</v>
      </c>
      <c r="M33" s="13" t="s">
        <v>11</v>
      </c>
      <c r="N33" s="35" t="s">
        <v>770</v>
      </c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>U2025</v>
      </c>
      <c r="C34" s="31">
        <f t="shared" si="3"/>
        <v>62</v>
      </c>
      <c r="D34" s="32" t="s">
        <v>771</v>
      </c>
      <c r="E34" s="33">
        <v>4</v>
      </c>
      <c r="F34" s="36">
        <v>79</v>
      </c>
      <c r="G34" s="36">
        <v>57</v>
      </c>
      <c r="H34" s="38" t="str">
        <f t="shared" si="8"/>
        <v>SCOUTING</v>
      </c>
      <c r="I34" s="34">
        <v>514</v>
      </c>
      <c r="J34" s="13" t="s">
        <v>4</v>
      </c>
      <c r="K34" s="13" t="s">
        <v>62</v>
      </c>
      <c r="L34" s="13" t="s">
        <v>6</v>
      </c>
      <c r="M34" s="13" t="s">
        <v>168</v>
      </c>
      <c r="N34" s="35" t="s">
        <v>772</v>
      </c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>U2025</v>
      </c>
      <c r="C35" s="31">
        <f t="shared" si="3"/>
        <v>62</v>
      </c>
      <c r="D35" s="32" t="s">
        <v>773</v>
      </c>
      <c r="E35" s="33">
        <v>4</v>
      </c>
      <c r="F35" s="36">
        <v>91</v>
      </c>
      <c r="G35" s="36">
        <v>65</v>
      </c>
      <c r="H35" s="38" t="str">
        <f t="shared" si="8"/>
        <v>SCOUTING</v>
      </c>
      <c r="I35" s="34">
        <v>588</v>
      </c>
      <c r="J35" s="13" t="s">
        <v>4</v>
      </c>
      <c r="K35" s="13" t="s">
        <v>62</v>
      </c>
      <c r="L35" s="13" t="s">
        <v>7</v>
      </c>
      <c r="M35" s="13" t="s">
        <v>11</v>
      </c>
      <c r="N35" s="35" t="s">
        <v>774</v>
      </c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REPORT_U2025062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"U2025062"</v>
      </c>
      <c r="F3" s="45" t="str">
        <f t="shared" ref="F3:F16" si="0">""""&amp;B3&amp;"""" &amp; " : " &amp;C3&amp;","</f>
        <v>"name" : "U2025062",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"U062"</v>
      </c>
      <c r="F4" s="45" t="str">
        <f t="shared" si="0"/>
        <v>"cod" : "U062",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062</v>
      </c>
      <c r="F6" s="45" t="str">
        <f t="shared" si="0"/>
        <v>"number" : 062,</v>
      </c>
    </row>
    <row r="7" spans="2:6" x14ac:dyDescent="0.25">
      <c r="B7" s="43" t="s">
        <v>116</v>
      </c>
      <c r="C7" s="43" t="str">
        <f ca="1">""""&amp;TEXT('SCOUT &amp; LOGISTICS'!B3,"dd/mm/aaaa")&amp;""""</f>
        <v>"12/11/2025"</v>
      </c>
      <c r="F7" s="45" t="str">
        <f t="shared" ca="1" si="0"/>
        <v>"date" : "12/11/2025",</v>
      </c>
    </row>
    <row r="8" spans="2:6" x14ac:dyDescent="0.25">
      <c r="B8" s="43" t="s">
        <v>125</v>
      </c>
      <c r="C8" s="43" t="str">
        <f>""""&amp;'SCOUT &amp; LOGISTICS'!D4 &amp;""""</f>
        <v>"Cedevita Olimpija Ljubljana"</v>
      </c>
      <c r="F8" s="45" t="str">
        <f t="shared" si="0"/>
        <v>"home_team" : "Cedevita Olimpija Ljubljana",</v>
      </c>
    </row>
    <row r="9" spans="2:6" x14ac:dyDescent="0.25">
      <c r="B9" s="43" t="s">
        <v>126</v>
      </c>
      <c r="C9" s="43" t="str">
        <f>""""&amp;'SCOUT &amp; LOGISTICS'!D5&amp;""""</f>
        <v>"Umana Reyer Venice"</v>
      </c>
      <c r="F9" s="45" t="str">
        <f t="shared" si="0"/>
        <v>"away_team" : "Umana Reyer Venice",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"ZIGA BENKO"</v>
      </c>
      <c r="F10" s="45" t="str">
        <f t="shared" si="0"/>
        <v>"Data_entry" : "ZIGA BENKO",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"MATIC MARKIC"</v>
      </c>
      <c r="F11" s="45" t="str">
        <f t="shared" si="0"/>
        <v>"Caller_1" : "MATIC MARKIC",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"ANDREJ STRUKELJ"</v>
      </c>
      <c r="F12" s="45" t="str">
        <f t="shared" si="0"/>
        <v>"Caller_2" : "ANDREJ STRUKELJ",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"GORAN HODZIC"</v>
      </c>
      <c r="F13" s="45" t="str">
        <f t="shared" si="0"/>
        <v>"Timerkeeper" : "GORAN HODZIC",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"GASPER KOLMAN"</v>
      </c>
      <c r="F14" s="45" t="str">
        <f t="shared" si="0"/>
        <v>"Shotclock" : "GASPER KOLMAN",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600</v>
      </c>
      <c r="F25" s="45" t="str">
        <f t="shared" ref="F25:F48" si="1">""""&amp;C25&amp;"""" &amp; " : " &amp;D25&amp;","</f>
        <v>"total_actions" : 600,</v>
      </c>
    </row>
    <row r="26" spans="2:6" x14ac:dyDescent="0.25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25">
      <c r="C27" s="43" t="s">
        <v>133</v>
      </c>
      <c r="D27" s="43" t="str">
        <f>""""&amp;IF(OR(D25="",D25=0),"",TEXT(D26/D25,"0,0%"))&amp;""""</f>
        <v>"1,7%"</v>
      </c>
      <c r="F27" s="45" t="str">
        <f t="shared" si="1"/>
        <v>"%_corrections" : "1,7%",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4</v>
      </c>
      <c r="F32" s="45" t="str">
        <f t="shared" si="1"/>
        <v>"q2" : 4,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work. The scorers ought to ask the Live Managers about Fouls Drawn when they are not sure."</v>
      </c>
      <c r="F51" s="45" t="str">
        <f>""""&amp;B51&amp;"""" &amp; " : " &amp;C51&amp;","</f>
        <v>"comments" : "Good work. The scorers ought to ask the Live Managers about Fouls Drawn when they are not sure.",</v>
      </c>
    </row>
    <row r="52" spans="2:6" x14ac:dyDescent="0.25">
      <c r="B52" s="43" t="s">
        <v>153</v>
      </c>
      <c r="C52" s="43" t="str">
        <f>TEXT('SCOUT &amp; LOGISTICS'!F1,"0,0")</f>
        <v>07_062_LJU_VNC_U2025</v>
      </c>
      <c r="F52" s="45" t="str">
        <f>""""&amp;B52&amp;"""" &amp; " : " &amp;C52</f>
        <v>"result" : 07_062_LJU_VNC_U2025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U062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12/11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Cedevita Olimpija Ljubljana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Umana Reyer Venice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ZIGA BENKO</v>
      </c>
      <c r="C8" s="201"/>
      <c r="D8" s="201"/>
      <c r="E8" s="201"/>
      <c r="F8" s="201"/>
      <c r="G8" s="201" t="str">
        <f>IF('SCOUT &amp; LOGISTICS'!D7="","",'SCOUT &amp; LOGISTICS'!D7)</f>
        <v>MATIC MARKIC</v>
      </c>
      <c r="H8" s="201"/>
      <c r="I8" s="201"/>
      <c r="J8" s="201"/>
      <c r="K8" s="201"/>
      <c r="L8" s="201" t="str">
        <f>IF('SCOUT &amp; LOGISTICS'!D8="","",'SCOUT &amp; LOGISTICS'!D8)</f>
        <v>ANDREJ STRUKELJ</v>
      </c>
      <c r="M8" s="201"/>
      <c r="N8" s="201"/>
      <c r="O8" s="201"/>
      <c r="P8" s="201"/>
      <c r="Q8" s="201" t="str">
        <f>IF('SCOUT &amp; LOGISTICS'!D9="","",'SCOUT &amp; LOGISTICS'!D9)</f>
        <v>GORAN HODZIC</v>
      </c>
      <c r="R8" s="201"/>
      <c r="S8" s="201"/>
      <c r="T8" s="201"/>
      <c r="U8" s="201"/>
      <c r="V8" s="201" t="str">
        <f>IF('SCOUT &amp; LOGISTICS'!D10="","",'SCOUT &amp; LOGISTICS'!D10)</f>
        <v>GASPER KOLMAN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600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1.6666666666666666E-2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6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4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3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10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7</v>
      </c>
      <c r="H27" s="199"/>
      <c r="I27" s="199"/>
      <c r="J27" s="199"/>
      <c r="K27" s="199"/>
      <c r="L27" s="199">
        <f>'SCOUT &amp; LOGISTICS'!AC23</f>
        <v>2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Good work. The scorers ought to ask the Live Managers about Fouls Drawn when they are not sure.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14.166666666666666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088D08C-207F-4942-BA41-E552922C8FF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2025-11-11T14:15:23Z</cp:lastPrinted>
  <dcterms:created xsi:type="dcterms:W3CDTF">2023-09-19T19:50:35Z</dcterms:created>
  <dcterms:modified xsi:type="dcterms:W3CDTF">2025-11-12T19:44:22Z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