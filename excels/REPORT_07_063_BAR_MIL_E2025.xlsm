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4" documentId="8_{3BB4FDEE-8A2A-4917-84A3-DC5A0F6C3E28}" xr6:coauthVersionLast="47" xr6:coauthVersionMax="47" xr10:uidLastSave="{8486B22B-5402-4027-90F0-C4CB11ED1898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<sst xmlns="http://schemas.openxmlformats.org/spreadsheetml/2006/main" count="3273" uniqueCount="765">
  <si>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</si>
  <si>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</si>
  <si>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</si>
  <si>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</si>
  <si>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</si>
  <si>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</si>
  <si>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</si>
  <si>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</si>
  <si>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</si>
  <si>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</si>
  <si>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</si>
  <si>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</si>
  <si>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</si>
  <si>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</si>
  <si>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</si>
  <si>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</si>
  <si>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</si>
  <si>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</si>
  <si>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</si>
  <si>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</si>
  <si>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</si>
  <si>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</si>
  <si>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</si>
  <si>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</si>
  <si>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</si>
  <si>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</si>
  <si>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</si>
  <si>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</si>
  <si>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</si>
  <si>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</si>
  <si>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</si>
  <si>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</si>
  <si>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</si>
  <si>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</si>
  <si>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</si>
  <si>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</si>
  <si>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</si>
  <si>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</si>
  <si>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</si>
  <si>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</si>
  <si>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</si>
  <si>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</si>
  <si>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</si>
  <si>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</si>
  <si>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</si>
  <si>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</si>
  <si>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</si>
  <si>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</si>
  <si>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</si>
  <si>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</si>
  <si>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</si>
  <si>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</si>
  <si>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</si>
  <si>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</si>
  <si>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</si>
  <si>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</si>
  <si>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</si>
  <si>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</si>
  <si>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</si>
  <si>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</si>
  <si>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</si>
  <si>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</si>
  <si>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</si>
  <si>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</si>
  <si>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</si>
  <si>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</si>
  <si>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</si>
  <si>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</si>
  <si>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</si>
  <si>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</si>
  <si>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</si>
  <si>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</si>
  <si>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</si>
  <si>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</si>
  <si>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</si>
  <si>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</si>
  <si>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</si>
  <si>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</si>
  <si>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</si>
  <si>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</si>
  <si>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</si>
  <si>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</si>
  <si>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</si>
  <si>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</si>
  <si>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</si>
  <si>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</si>
  <si>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</si>
  <si>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</si>
  <si>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</si>
  <si>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</si>
  <si>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</si>
  <si>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</si>
  <si>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</si>
  <si>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</si>
  <si>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</si>
  <si>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</si>
  <si>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</si>
  <si>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</si>
  <si>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</si>
  <si>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</si>
  <si>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</si>
  <si>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</si>
  <si>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</si>
  <si>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</si>
  <si>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</si>
  <si>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</si>
  <si>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</si>
  <si>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</si>
  <si>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</si>
  <si>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</si>
  <si>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</si>
  <si>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</si>
  <si>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</si>
  <si>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</si>
  <si>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</si>
  <si>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</si>
  <si>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</si>
  <si>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</si>
  <si>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</si>
  <si>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</si>
  <si>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</si>
  <si>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</si>
  <si>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</si>
  <si>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</si>
  <si>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</si>
  <si>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</si>
  <si>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</si>
  <si>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</si>
  <si>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</si>
  <si>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</si>
  <si>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</si>
  <si>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</si>
  <si>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</si>
  <si>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</si>
  <si>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</si>
  <si>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</si>
  <si>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</si>
  <si>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</si>
  <si>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</si>
  <si>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</si>
  <si>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</si>
  <si>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</si>
  <si>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</si>
  <si>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</si>
  <si>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</si>
  <si>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</si>
  <si>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</si>
  <si>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</si>
  <si>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</si>
  <si>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</si>
  <si>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</si>
  <si>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</si>
  <si>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</si>
  <si>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</si>
  <si>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</si>
  <si>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</si>
  <si>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</si>
  <si>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</si>
  <si>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</si>
  <si>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</si>
  <si>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</si>
  <si>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</si>
  <si>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</si>
  <si>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</si>
  <si>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</si>
  <si>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</si>
  <si>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</si>
  <si>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</si>
  <si>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</si>
  <si>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</si>
  <si>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</si>
  <si>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</si>
  <si>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</si>
  <si>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</si>
  <si>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</si>
  <si>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</si>
  <si>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</si>
  <si>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</si>
  <si>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</si>
  <si>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</si>
  <si>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</si>
  <si>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</si>
  <si>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</si>
  <si>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</si>
  <si>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</si>
  <si>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</si>
  <si>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</si>
  <si>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</si>
  <si>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</si>
  <si>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</si>
  <si>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</si>
  <si>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</si>
  <si>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</si>
  <si>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</si>
  <si>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</si>
  <si>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</si>
  <si>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</si>
  <si>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</si>
  <si>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</si>
  <si>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</si>
  <si>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</si>
  <si>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</si>
  <si>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</si>
  <si>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</si>
  <si>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</si>
  <si>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</si>
  <si>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</si>
  <si>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</si>
  <si>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</si>
  <si>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</si>
  <si>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</si>
  <si>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</si>
  <si>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</si>
  <si>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</si>
  <si>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</si>
  <si>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</si>
  <si>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</si>
  <si>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</si>
  <si>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</si>
  <si>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</si>
  <si>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</si>
  <si>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</si>
  <si>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</si>
  <si>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</si>
  <si>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</si>
  <si>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</si>
  <si>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</si>
  <si>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</si>
  <si>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</si>
  <si>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</si>
  <si>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</si>
  <si>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</si>
  <si>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</si>
  <si>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</si>
  <si>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</si>
  <si>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</si>
  <si>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</si>
  <si>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</si>
  <si>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</si>
  <si>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</si>
  <si>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</si>
  <si>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</si>
  <si>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</si>
  <si>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</si>
  <si>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</si>
  <si>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</si>
  <si>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</si>
  <si>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</si>
  <si>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</si>
  <si>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</si>
  <si>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</si>
  <si>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</si>
  <si>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</si>
  <si>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</si>
  <si>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</si>
  <si>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</si>
  <si>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</si>
  <si>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</si>
  <si>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</si>
  <si>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</si>
  <si>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</si>
  <si>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</si>
  <si>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</si>
  <si>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</si>
  <si>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</si>
  <si>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</si>
  <si>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</si>
  <si>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</si>
  <si>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</si>
  <si>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</si>
  <si>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</si>
  <si>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</si>
  <si>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</si>
  <si>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</si>
  <si>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</si>
  <si>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</si>
  <si>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</si>
  <si>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</si>
  <si>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</si>
  <si>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</si>
  <si>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</si>
  <si>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</si>
  <si>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</si>
  <si>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</si>
  <si>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</si>
  <si>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</si>
  <si>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</si>
  <si>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</si>
  <si>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</si>
  <si>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</si>
  <si>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</si>
  <si>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</si>
  <si>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</si>
  <si>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</si>
  <si>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</si>
  <si>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</si>
  <si>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</si>
  <si>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</si>
  <si>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</si>
  <si>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</si>
  <si>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</si>
  <si>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</si>
  <si>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</si>
  <si>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</si>
  <si>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</si>
  <si>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</si>
  <si>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</si>
  <si>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</si>
  <si>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</si>
  <si>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</si>
  <si>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</si>
  <si>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</si>
  <si>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</si>
  <si>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</si>
  <si>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</si>
  <si>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</si>
  <si>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</si>
  <si>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</si>
  <si>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</si>
  <si>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</si>
  <si>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</si>
  <si>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</si>
  <si>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</si>
  <si>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</si>
  <si>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</si>
  <si>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</si>
  <si>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</si>
  <si>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</si>
  <si>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</si>
  <si>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</si>
  <si>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</si>
  <si>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</si>
  <si>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</si>
  <si>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</si>
  <si>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</si>
  <si>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</si>
  <si>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</si>
  <si>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</si>
  <si>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</si>
  <si>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</si>
  <si>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</si>
  <si>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</si>
  <si>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</si>
  <si>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</si>
  <si>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</si>
  <si>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</si>
  <si>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</si>
  <si>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</si>
  <si>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</si>
  <si>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</si>
  <si>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</si>
  <si>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</si>
  <si>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</si>
  <si>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</si>
  <si>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</si>
  <si>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</si>
  <si>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</si>
  <si>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</si>
  <si>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</si>
  <si>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</si>
  <si>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</si>
  <si>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</si>
  <si>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</si>
  <si>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</si>
  <si>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</si>
  <si>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</si>
  <si>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</si>
  <si>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</si>
  <si>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</si>
  <si>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</si>
  <si>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</si>
  <si>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</si>
  <si>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</si>
  <si>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</si>
  <si>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</si>
  <si>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</si>
  <si>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</si>
  <si>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</si>
  <si>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</si>
  <si>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</si>
  <si>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</si>
  <si>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</si>
  <si>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</si>
  <si>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</si>
  <si>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</si>
  <si>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</si>
  <si>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</si>
  <si>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</si>
  <si>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</si>
  <si>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</si>
  <si>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</si>
  <si>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</si>
  <si>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</si>
  <si>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</si>
  <si>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</si>
  <si>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</si>
  <si>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</si>
  <si>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</si>
  <si>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</si>
  <si>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</si>
  <si>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</si>
  <si>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</si>
  <si>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</si>
  <si>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</si>
  <si>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</si>
  <si>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</si>
  <si>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</si>
  <si>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</si>
  <si>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</si>
  <si>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</si>
  <si>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</si>
  <si>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</si>
  <si>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</si>
  <si>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</si>
  <si>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</si>
  <si>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</si>
  <si>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</si>
  <si>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</si>
  <si>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</si>
  <si>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</si>
  <si>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</si>
  <si>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</si>
  <si>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</si>
  <si>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</si>
  <si>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</si>
  <si>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</si>
  <si>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</si>
  <si>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</si>
  <si>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</si>
  <si>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</si>
  <si>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</si>
  <si>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</si>
  <si>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</si>
  <si>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</si>
  <si>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</si>
  <si>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</si>
  <si>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</si>
  <si>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</si>
  <si>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</si>
  <si>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</si>
  <si>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</si>
  <si>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</si>
  <si>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</si>
  <si>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</si>
  <si>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</si>
  <si>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</si>
  <si>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</si>
  <si>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</si>
  <si>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</si>
  <si>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</si>
  <si>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</si>
  <si>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</si>
  <si>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</si>
  <si>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</si>
  <si>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</si>
  <si>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</si>
  <si>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</si>
  <si>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</si>
  <si>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</si>
  <si>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</si>
  <si>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</si>
  <si>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</si>
  <si>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</si>
  <si>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</si>
  <si>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</si>
  <si>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</si>
  <si>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</si>
  <si>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</si>
  <si>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</si>
  <si>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</si>
  <si>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</si>
  <si>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</si>
  <si>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</si>
  <si>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</si>
  <si>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</si>
  <si>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</si>
  <si>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</si>
  <si>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</si>
  <si>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</si>
  <si>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</si>
  <si>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</si>
  <si>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</si>
  <si>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</si>
  <si>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</si>
  <si>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</si>
  <si>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</si>
  <si>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</si>
  <si>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</si>
  <si>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</si>
  <si>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</si>
  <si>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</si>
  <si>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</si>
  <si>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</si>
  <si>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</si>
  <si>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</si>
  <si>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</si>
  <si>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</si>
  <si>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</si>
  <si>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</si>
  <si>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</si>
  <si>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</si>
  <si>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</si>
  <si>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</si>
  <si>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</si>
  <si>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</si>
  <si>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</si>
  <si>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</si>
  <si>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</si>
  <si>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</si>
  <si>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</si>
  <si>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</si>
  <si>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</si>
  <si>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</si>
  <si>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</si>
  <si>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</si>
  <si>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</si>
  <si>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</si>
  <si>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</si>
  <si>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</si>
  <si>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</si>
  <si>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</si>
  <si>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</si>
  <si>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</si>
  <si>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</si>
  <si>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</si>
  <si>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</si>
  <si>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</si>
  <si>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</si>
  <si>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</si>
  <si>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</si>
  <si>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</si>
  <si>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</si>
  <si>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</si>
  <si>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</si>
  <si>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</si>
  <si>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</si>
  <si>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</si>
  <si>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</si>
  <si>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</si>
  <si>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</si>
  <si>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</si>
  <si>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</si>
  <si>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</si>
  <si>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</si>
  <si>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</si>
  <si>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</si>
  <si>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</si>
  <si>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</si>
  <si>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</si>
  <si>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</si>
  <si>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</si>
  <si>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</si>
  <si>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</si>
  <si>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</si>
  <si>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</si>
  <si>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</si>
  <si>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</si>
  <si>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</si>
  <si>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</si>
  <si>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</si>
  <si>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</si>
  <si>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</si>
  <si>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</si>
  <si>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</si>
  <si>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</si>
  <si>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</si>
  <si>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</si>
  <si>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</si>
  <si>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</si>
  <si>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</si>
  <si>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</si>
  <si>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</si>
  <si>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</si>
  <si>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</si>
  <si>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</si>
  <si>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</si>
  <si>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</si>
  <si>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</si>
  <si>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</si>
  <si>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</si>
  <si>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</si>
  <si>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</si>
  <si>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</si>
  <si>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</si>
  <si>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</si>
  <si>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</si>
  <si>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</si>
  <si>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</si>
  <si>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</si>
  <si>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</si>
  <si>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</si>
  <si>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</si>
  <si>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</si>
  <si>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</si>
  <si>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</si>
  <si>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</si>
  <si>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</si>
  <si>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</si>
  <si>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</si>
  <si>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</si>
  <si>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</si>
  <si>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</si>
  <si>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</si>
  <si>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</si>
  <si>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</si>
  <si>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</si>
  <si>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</si>
  <si>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</si>
  <si>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</si>
  <si>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</si>
  <si>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</si>
  <si>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</si>
  <si>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</si>
  <si>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</si>
  <si>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</si>
  <si>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</si>
  <si>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</si>
  <si>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</si>
  <si>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</si>
  <si>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</si>
  <si>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</si>
  <si>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</si>
  <si>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</si>
  <si>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</si>
  <si>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</si>
  <si>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</si>
  <si>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</si>
  <si>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</si>
  <si>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</si>
  <si>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</si>
  <si>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</si>
  <si>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</si>
  <si>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</si>
  <si>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</si>
  <si>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</si>
  <si>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</si>
  <si>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</si>
  <si>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</si>
  <si>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</si>
  <si>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</si>
  <si>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</si>
  <si>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</si>
  <si>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</si>
  <si>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</si>
  <si>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</si>
  <si>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</si>
  <si>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</si>
  <si>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</si>
  <si>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</si>
  <si>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</si>
  <si>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</si>
  <si>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</si>
  <si>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</si>
  <si>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</si>
  <si>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</si>
  <si>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</si>
  <si>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</si>
  <si>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</si>
  <si>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</si>
  <si>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</si>
  <si>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</si>
  <si>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</si>
  <si>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</si>
  <si>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</si>
  <si>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</si>
  <si>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</si>
  <si>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</si>
  <si>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</si>
  <si>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</si>
  <si>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</si>
  <si>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</si>
  <si>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</si>
  <si>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</si>
  <si>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</si>
  <si>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</si>
  <si>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</si>
  <si>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</si>
  <si>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</si>
  <si>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</si>
  <si>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</si>
  <si>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</si>
  <si>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</si>
  <si>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</si>
  <si>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</si>
  <si>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</si>
  <si>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</si>
  <si>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</si>
  <si>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</si>
  <si>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</si>
  <si>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</si>
  <si>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</si>
  <si>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</si>
  <si>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</si>
  <si>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</si>
  <si>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</si>
  <si>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</si>
  <si>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</si>
  <si>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</si>
  <si>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</si>
  <si>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</si>
  <si>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</si>
  <si>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</si>
  <si>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</si>
  <si>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</si>
  <si>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</si>
  <si>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</si>
  <si>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</si>
  <si>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</si>
  <si>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</si>
  <si>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</si>
  <si>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</si>
  <si>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</si>
  <si>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</si>
  <si>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</si>
  <si>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</si>
  <si>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</si>
  <si>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</si>
  <si>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</si>
  <si>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</si>
  <si>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</si>
  <si>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</si>
  <si>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</si>
  <si>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</si>
  <si>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</si>
  <si>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</si>
  <si>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</si>
  <si>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</si>
  <si>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</si>
  <si>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</si>
  <si>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</si>
  <si>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</si>
  <si>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</si>
  <si>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</si>
  <si>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</si>
  <si>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</si>
  <si>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</si>
  <si>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</si>
  <si>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</si>
  <si>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</si>
  <si>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</si>
  <si>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</si>
  <si>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</si>
  <si>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</si>
  <si>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</si>
  <si>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</si>
  <si>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</si>
  <si>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</si>
  <si>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</si>
  <si>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</si>
  <si>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PABLO CAMPOY</t>
  </si>
  <si>
    <t>ADRIA RUBIROLA</t>
  </si>
  <si>
    <t>LLUIS ESPINOSA</t>
  </si>
  <si>
    <t>RICARD MONGE</t>
  </si>
  <si>
    <t>ROBERTO BAÑOS</t>
  </si>
  <si>
    <t>MARC BAYO</t>
  </si>
  <si>
    <t>POL FRANQUESA</t>
  </si>
  <si>
    <t>C:\Users\pablo.campoy\EUROLEAGUE\EB STATS - General\SEASON 2025-26\Reports\Euroleague</t>
  </si>
  <si>
    <t>02:32</t>
  </si>
  <si>
    <t>Jugada MOLT difícil de veure</t>
  </si>
  <si>
    <t>Assistència clara de finta de tir de tres</t>
  </si>
  <si>
    <t>01:48</t>
  </si>
  <si>
    <t>09:41</t>
  </si>
  <si>
    <t>08:45</t>
  </si>
  <si>
    <t>Al límit, però per mi és rebot ofensiu orientat</t>
  </si>
  <si>
    <t>Great job! Corrections in situations on the very edge. Great criteria in steals-turnovers.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</si>
</sst>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07_063_BAR_MIL_E2025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45958.854166666664</v>
      </c>
      <c r="C3" s="157"/>
      <c r="D3" s="39">
        <v>534</v>
      </c>
      <c r="E3" s="29"/>
      <c r="F3" s="26">
        <f>SUBTOTAL(3,I17:I106)</f>
        <v>5</v>
      </c>
      <c r="G3" s="27">
        <f>IF(OR(D3="",D3=0),"",F3/D3)</f>
        <v>9.3632958801498131E-3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9.3632958801498131E-3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0.93632958801498134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7.4363295880149813</v>
      </c>
      <c r="N7" s="58"/>
      <c r="O7" s="2"/>
      <c r="P7" s="2"/>
      <c r="Q7" s="86">
        <f>SUM(R5,S5,AC16)</f>
        <v>7.4363295880149813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7.4363295880149813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63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63</v>
      </c>
      <c r="D17" s="32" t="s">
        <v>757</v>
      </c>
      <c r="E17" s="33">
        <v>2</v>
      </c>
      <c r="F17" s="36">
        <v>28</v>
      </c>
      <c r="G17" s="36">
        <v>34</v>
      </c>
      <c r="H17" s="38" t="str">
        <f>IF(I17="","",$I$14)</f>
        <v>SCOUTING</v>
      </c>
      <c r="I17" s="34">
        <v>227</v>
      </c>
      <c r="J17" s="13" t="s">
        <v>4</v>
      </c>
      <c r="K17" s="13" t="s">
        <v>62</v>
      </c>
      <c r="L17" s="13" t="s">
        <v>5</v>
      </c>
      <c r="M17" s="13" t="s">
        <v>10</v>
      </c>
      <c r="N17" s="35" t="s">
        <v>758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63</v>
      </c>
      <c r="D18" s="32" t="s">
        <v>757</v>
      </c>
      <c r="E18" s="33">
        <v>2</v>
      </c>
      <c r="F18" s="36">
        <v>28</v>
      </c>
      <c r="G18" s="36">
        <v>34</v>
      </c>
      <c r="H18" s="38" t="str">
        <f t="shared" ref="H18:H81" si="8">IF(I18="","",$I$14)</f>
        <v>SCOUTING</v>
      </c>
      <c r="I18" s="34">
        <v>228</v>
      </c>
      <c r="J18" s="13" t="s">
        <v>4</v>
      </c>
      <c r="K18" s="13" t="s">
        <v>62</v>
      </c>
      <c r="L18" s="13" t="s">
        <v>7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63</v>
      </c>
      <c r="D19" s="32" t="s">
        <v>760</v>
      </c>
      <c r="E19" s="33">
        <v>3</v>
      </c>
      <c r="F19" s="36">
        <v>59</v>
      </c>
      <c r="G19" s="36">
        <v>59</v>
      </c>
      <c r="H19" s="38" t="str">
        <f t="shared" si="8"/>
        <v>SCOUTING</v>
      </c>
      <c r="I19" s="34">
        <v>363</v>
      </c>
      <c r="J19" s="13" t="s">
        <v>4</v>
      </c>
      <c r="K19" s="13" t="s">
        <v>63</v>
      </c>
      <c r="L19" s="13" t="s">
        <v>7</v>
      </c>
      <c r="M19" s="13" t="s">
        <v>11</v>
      </c>
      <c r="N19" s="35" t="s">
        <v>759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63</v>
      </c>
      <c r="D20" s="32" t="s">
        <v>761</v>
      </c>
      <c r="E20" s="33">
        <v>4</v>
      </c>
      <c r="F20" s="36">
        <v>64</v>
      </c>
      <c r="G20" s="36">
        <v>61</v>
      </c>
      <c r="H20" s="38" t="str">
        <f t="shared" si="8"/>
        <v>SCOUTING</v>
      </c>
      <c r="I20" s="34">
        <v>396</v>
      </c>
      <c r="J20" s="13" t="s">
        <v>4</v>
      </c>
      <c r="K20" s="13" t="s">
        <v>62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63</v>
      </c>
      <c r="D21" s="32" t="s">
        <v>762</v>
      </c>
      <c r="E21" s="33">
        <v>4</v>
      </c>
      <c r="F21" s="36">
        <v>64</v>
      </c>
      <c r="G21" s="36">
        <v>61</v>
      </c>
      <c r="H21" s="38" t="str">
        <f t="shared" si="8"/>
        <v>SCOUTING</v>
      </c>
      <c r="I21" s="34">
        <v>412</v>
      </c>
      <c r="J21" s="13" t="s">
        <v>4</v>
      </c>
      <c r="K21" s="13" t="s">
        <v>63</v>
      </c>
      <c r="L21" s="13" t="s">
        <v>5</v>
      </c>
      <c r="M21" s="13" t="s">
        <v>28</v>
      </c>
      <c r="N21" s="35" t="s">
        <v>763</v>
      </c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.2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REPORT_E2025063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"E2025063"</v>
      </c>
      <c r="F3" s="45" t="str">
        <f t="shared" ref="F3:F16" si="0">""""&amp;B3&amp;"""" &amp; " : " &amp;C3&amp;","</f>
        <v>"name" : "E2025063",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"E063"</v>
      </c>
      <c r="F4" s="45" t="str">
        <f t="shared" si="0"/>
        <v>"cod" : "E063",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063</v>
      </c>
      <c r="F6" s="45" t="str">
        <f t="shared" si="0"/>
        <v>"number" : 063,</v>
      </c>
    </row>
    <row r="7" spans="2:6" x14ac:dyDescent="0.25">
      <c r="B7" s="43" t="s">
        <v>116</v>
      </c>
      <c r="C7" s="43" t="str">
        <f ca="1">""""&amp;TEXT('SCOUT &amp; LOGISTICS'!B3,"dd/mm/aaaa")&amp;""""</f>
        <v>"28/10/2025"</v>
      </c>
      <c r="F7" s="45" t="str">
        <f t="shared" ca="1" si="0"/>
        <v>"date" : "28/10/2025",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"ADRIA RUBIROLA"</v>
      </c>
      <c r="F10" s="45" t="str">
        <f t="shared" si="0"/>
        <v>"Data_entry" : "ADRIA RUBIROLA",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"LLUIS ESPINOSA"</v>
      </c>
      <c r="F11" s="45" t="str">
        <f t="shared" si="0"/>
        <v>"Caller_1" : "LLUIS ESPINOSA",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"RICARD MONGE"</v>
      </c>
      <c r="F12" s="45" t="str">
        <f t="shared" si="0"/>
        <v>"Caller_2" : "RICARD MONGE",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"ROBERTO BAÑOS"</v>
      </c>
      <c r="F13" s="45" t="str">
        <f t="shared" si="0"/>
        <v>"Timerkeeper" : "ROBERTO BAÑOS",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"MARC BAYO"</v>
      </c>
      <c r="F14" s="45" t="str">
        <f t="shared" si="0"/>
        <v>"Shotclock" : "MARC BAYO",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"POL FRANQUESA"</v>
      </c>
      <c r="F15" s="45" t="str">
        <f t="shared" si="0"/>
        <v>"IRS" : "POL FRANQUESA",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534</v>
      </c>
      <c r="F25" s="45" t="str">
        <f t="shared" ref="F25:F48" si="1">""""&amp;C25&amp;"""" &amp; " : " &amp;D25&amp;","</f>
        <v>"total_actions" : 534,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"0,9%"</v>
      </c>
      <c r="F27" s="45" t="str">
        <f t="shared" si="1"/>
        <v>"%_corrections" : "0,9%",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job! Corrections in situations on the very edge. Great criteria in steals-turnovers."</v>
      </c>
      <c r="F51" s="45" t="str">
        <f>""""&amp;B51&amp;"""" &amp; " : " &amp;C51&amp;","</f>
        <v>"comments" : "Great job! Corrections in situations on the very edge. Great criteria in steals-turnovers.",</v>
      </c>
    </row>
    <row r="52" spans="2:6" x14ac:dyDescent="0.25">
      <c r="B52" s="43" t="s">
        <v>153</v>
      </c>
      <c r="C52" s="43" t="str">
        <f>TEXT('SCOUT &amp; LOGISTICS'!F1,"0,0")</f>
        <v>07_063_BAR_MIL_E2025</v>
      </c>
      <c r="F52" s="45" t="str">
        <f>""""&amp;B52&amp;"""" &amp; " : " &amp;C52</f>
        <v>"result" : 07_063_BAR_MIL_E2025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2" zeroHeight="1" x14ac:dyDescent="0.4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4"/>
    <row r="2" spans="1:33" ht="42.6" customHeight="1" thickBot="1" x14ac:dyDescent="0.4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5">
      <c r="A3" s="48"/>
      <c r="B3" s="208" t="str">
        <f>"GAME: "&amp; LEFT('SCOUT &amp; LOGISTICS'!B2,1) &amp; TEXT('SCOUT &amp; LOGISTICS'!C2,"000") &amp; " " &amp; IF(LEFT('SCOUT &amp; LOGISTICS'!B2,1)="U","(EUROCUP)","(EUROLEAGUE)")</f>
        <v>GAME: E063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5">
      <c r="A4" s="48"/>
      <c r="B4" s="194" t="str">
        <f ca="1">"DATE: " &amp; TEXT('SCOUT &amp; LOGISTICS'!B3,"dd/mm")</f>
        <v>DATE: 28/10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5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5">
      <c r="A8" s="48"/>
      <c r="B8" s="206" t="str">
        <f>IF('SCOUT &amp; LOGISTICS'!D6="","",'SCOUT &amp; LOGISTICS'!D6)</f>
        <v>ADRIA RUBIROLA</v>
      </c>
      <c r="C8" s="206"/>
      <c r="D8" s="206"/>
      <c r="E8" s="206"/>
      <c r="F8" s="206"/>
      <c r="G8" s="206" t="str">
        <f>IF('SCOUT &amp; LOGISTICS'!D7="","",'SCOUT &amp; LOGISTICS'!D7)</f>
        <v>LLUIS ESPINOSA</v>
      </c>
      <c r="H8" s="206"/>
      <c r="I8" s="206"/>
      <c r="J8" s="206"/>
      <c r="K8" s="206"/>
      <c r="L8" s="206" t="str">
        <f>IF('SCOUT &amp; LOGISTICS'!D8="","",'SCOUT &amp; LOGISTICS'!D8)</f>
        <v>RICARD MONGE</v>
      </c>
      <c r="M8" s="206"/>
      <c r="N8" s="206"/>
      <c r="O8" s="206"/>
      <c r="P8" s="206"/>
      <c r="Q8" s="206" t="str">
        <f>IF('SCOUT &amp; LOGISTICS'!D9="","",'SCOUT &amp; LOGISTICS'!D9)</f>
        <v>ROBERTO BAÑOS</v>
      </c>
      <c r="R8" s="206"/>
      <c r="S8" s="206"/>
      <c r="T8" s="206"/>
      <c r="U8" s="206"/>
      <c r="V8" s="206" t="str">
        <f>IF('SCOUT &amp; LOGISTICS'!D10="","",'SCOUT &amp; LOGISTICS'!D10)</f>
        <v>MARC BAYO</v>
      </c>
      <c r="W8" s="206"/>
      <c r="X8" s="206"/>
      <c r="Y8" s="206"/>
      <c r="Z8" s="206"/>
      <c r="AA8" s="206" t="str">
        <f>IF('SCOUT &amp; LOGISTICS'!D11="","",'SCOUT &amp; LOGISTICS'!D11)</f>
        <v>POL FRANQUESA</v>
      </c>
      <c r="AB8" s="206"/>
      <c r="AC8" s="206"/>
      <c r="AD8" s="206"/>
      <c r="AE8" s="206"/>
      <c r="AF8" s="48"/>
    </row>
    <row r="9" spans="1:33" ht="16.8" thickBot="1" x14ac:dyDescent="0.45">
      <c r="A9" s="48"/>
      <c r="B9" s="200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.8" thickBot="1" x14ac:dyDescent="0.4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.8" thickBot="1" x14ac:dyDescent="0.4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5">
      <c r="A17" s="48"/>
      <c r="B17" s="204">
        <f>'SCOUT &amp; LOGISTICS'!D3</f>
        <v>534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9.3632958801498131E-3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.8" thickBot="1" x14ac:dyDescent="0.4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.8" thickBot="1" x14ac:dyDescent="0.4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.8" thickBot="1" x14ac:dyDescent="0.4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5">
      <c r="A32" s="48"/>
      <c r="B32" s="195" t="str">
        <f>IF('SCOUT &amp; LOGISTICS'!M4="","",'SCOUT &amp; LOGISTICS'!M4)</f>
        <v>Great job! Corrections in situations on the very edge. Great criteria in steals-turnovers.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5">
      <c r="A35" s="48"/>
      <c r="B35" s="196">
        <f>'SCOUT &amp; LOGISTICS'!M7</f>
        <v>7.4363295880149813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4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384FE6-2F95-4EAD-A940-3AAF0B25A78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2025-10-28T21:30:20Z</cp:lastPrinted>
  <dcterms:created xsi:type="dcterms:W3CDTF">2023-09-19T19:50:35Z</dcterms:created>
  <dcterms:modified xsi:type="dcterms:W3CDTF">2025-10-28T21:32:23Z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