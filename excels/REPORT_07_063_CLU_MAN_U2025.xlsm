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80" documentId="8_{AC1D5950-6102-4781-BD50-A310FBD2CC05}" xr6:coauthVersionLast="47" xr6:coauthVersionMax="47" xr10:uidLastSave="{BD4E1E70-8AB4-420F-BEC0-091BE6B64A1B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<sst xmlns="http://schemas.openxmlformats.org/spreadsheetml/2006/main" count="3279" uniqueCount="764">
  <si>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</si>
  <si>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</si>
  <si>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</si>
  <si>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</si>
  <si>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</si>
  <si>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</si>
  <si>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</si>
  <si>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</si>
  <si>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</si>
  <si>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</si>
  <si>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</si>
  <si>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</si>
  <si>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</si>
  <si>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</si>
  <si>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</si>
  <si>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</si>
  <si>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</si>
  <si>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</si>
  <si>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</si>
  <si>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</si>
  <si>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</si>
  <si>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</si>
  <si>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</si>
  <si>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</si>
  <si>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</si>
  <si>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</si>
  <si>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</si>
  <si>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</si>
  <si>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</si>
  <si>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</si>
  <si>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</si>
  <si>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</si>
  <si>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</si>
  <si>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</si>
  <si>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</si>
  <si>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</si>
  <si>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</si>
  <si>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</si>
  <si>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</si>
  <si>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</si>
  <si>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</si>
  <si>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</si>
  <si>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</si>
  <si>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</si>
  <si>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</si>
  <si>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</si>
  <si>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</si>
  <si>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</si>
  <si>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</si>
  <si>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</si>
  <si>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</si>
  <si>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</si>
  <si>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</si>
  <si>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</si>
  <si>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</si>
  <si>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</si>
  <si>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</si>
  <si>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</si>
  <si>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</si>
  <si>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</si>
  <si>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</si>
  <si>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</si>
  <si>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</si>
  <si>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</si>
  <si>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</si>
  <si>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</si>
  <si>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</si>
  <si>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</si>
  <si>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</si>
  <si>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</si>
  <si>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</si>
  <si>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</si>
  <si>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</si>
  <si>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</si>
  <si>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</si>
  <si>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</si>
  <si>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</si>
  <si>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</si>
  <si>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</si>
  <si>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</si>
  <si>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</si>
  <si>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</si>
  <si>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</si>
  <si>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</si>
  <si>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</si>
  <si>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</si>
  <si>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</si>
  <si>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</si>
  <si>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</si>
  <si>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</si>
  <si>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</si>
  <si>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</si>
  <si>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</si>
  <si>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</si>
  <si>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</si>
  <si>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</si>
  <si>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</si>
  <si>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</si>
  <si>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</si>
  <si>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</si>
  <si>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</si>
  <si>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</si>
  <si>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</si>
  <si>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</si>
  <si>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</si>
  <si>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</si>
  <si>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</si>
  <si>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</si>
  <si>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</si>
  <si>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</si>
  <si>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</si>
  <si>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</si>
  <si>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</si>
  <si>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</si>
  <si>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</si>
  <si>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</si>
  <si>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</si>
  <si>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</si>
  <si>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</si>
  <si>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</si>
  <si>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</si>
  <si>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</si>
  <si>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</si>
  <si>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</si>
  <si>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</si>
  <si>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</si>
  <si>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</si>
  <si>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</si>
  <si>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</si>
  <si>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</si>
  <si>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</si>
  <si>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</si>
  <si>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</si>
  <si>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</si>
  <si>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</si>
  <si>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</si>
  <si>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</si>
  <si>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</si>
  <si>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</si>
  <si>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</si>
  <si>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</si>
  <si>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</si>
  <si>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</si>
  <si>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</si>
  <si>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</si>
  <si>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</si>
  <si>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</si>
  <si>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</si>
  <si>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</si>
  <si>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</si>
  <si>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</si>
  <si>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</si>
  <si>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</si>
  <si>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</si>
  <si>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</si>
  <si>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</si>
  <si>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</si>
  <si>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</si>
  <si>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</si>
  <si>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</si>
  <si>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</si>
  <si>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</si>
  <si>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</si>
  <si>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</si>
  <si>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</si>
  <si>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</si>
  <si>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</si>
  <si>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</si>
  <si>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</si>
  <si>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</si>
  <si>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</si>
  <si>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</si>
  <si>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</si>
  <si>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</si>
  <si>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</si>
  <si>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</si>
  <si>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</si>
  <si>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</si>
  <si>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</si>
  <si>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</si>
  <si>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</si>
  <si>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</si>
  <si>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</si>
  <si>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</si>
  <si>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</si>
  <si>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</si>
  <si>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</si>
  <si>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</si>
  <si>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</si>
  <si>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</si>
  <si>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</si>
  <si>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</si>
  <si>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</si>
  <si>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</si>
  <si>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</si>
  <si>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</si>
  <si>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</si>
  <si>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</si>
  <si>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</si>
  <si>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</si>
  <si>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</si>
  <si>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</si>
  <si>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</si>
  <si>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</si>
  <si>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</si>
  <si>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</si>
  <si>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</si>
  <si>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</si>
  <si>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</si>
  <si>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</si>
  <si>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</si>
  <si>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</si>
  <si>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</si>
  <si>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</si>
  <si>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</si>
  <si>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</si>
  <si>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</si>
  <si>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</si>
  <si>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</si>
  <si>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</si>
  <si>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</si>
  <si>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</si>
  <si>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</si>
  <si>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</si>
  <si>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</si>
  <si>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</si>
  <si>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</si>
  <si>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</si>
  <si>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</si>
  <si>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</si>
  <si>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</si>
  <si>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</si>
  <si>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</si>
  <si>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</si>
  <si>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</si>
  <si>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</si>
  <si>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</si>
  <si>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</si>
  <si>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</si>
  <si>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</si>
  <si>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</si>
  <si>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</si>
  <si>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</si>
  <si>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</si>
  <si>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</si>
  <si>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</si>
  <si>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</si>
  <si>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</si>
  <si>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</si>
  <si>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</si>
  <si>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</si>
  <si>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</si>
  <si>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</si>
  <si>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</si>
  <si>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</si>
  <si>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</si>
  <si>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</si>
  <si>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</si>
  <si>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</si>
  <si>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</si>
  <si>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</si>
  <si>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</si>
  <si>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</si>
  <si>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</si>
  <si>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</si>
  <si>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</si>
  <si>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</si>
  <si>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</si>
  <si>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</si>
  <si>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</si>
  <si>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</si>
  <si>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</si>
  <si>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</si>
  <si>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</si>
  <si>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</si>
  <si>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</si>
  <si>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</si>
  <si>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</si>
  <si>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</si>
  <si>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</si>
  <si>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</si>
  <si>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</si>
  <si>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</si>
  <si>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</si>
  <si>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</si>
  <si>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</si>
  <si>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</si>
  <si>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</si>
  <si>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</si>
  <si>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</si>
  <si>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</si>
  <si>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</si>
  <si>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</si>
  <si>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</si>
  <si>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</si>
  <si>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</si>
  <si>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</si>
  <si>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</si>
  <si>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</si>
  <si>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</si>
  <si>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</si>
  <si>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</si>
  <si>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</si>
  <si>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</si>
  <si>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</si>
  <si>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</si>
  <si>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</si>
  <si>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</si>
  <si>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</si>
  <si>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</si>
  <si>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</si>
  <si>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</si>
  <si>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</si>
  <si>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</si>
  <si>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</si>
  <si>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</si>
  <si>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</si>
  <si>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</si>
  <si>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</si>
  <si>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</si>
  <si>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</si>
  <si>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</si>
  <si>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</si>
  <si>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</si>
  <si>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</si>
  <si>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</si>
  <si>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</si>
  <si>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</si>
  <si>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</si>
  <si>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</si>
  <si>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</si>
  <si>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</si>
  <si>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</si>
  <si>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</si>
  <si>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</si>
  <si>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</si>
  <si>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</si>
  <si>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</si>
  <si>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</si>
  <si>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</si>
  <si>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</si>
  <si>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</si>
  <si>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</si>
  <si>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</si>
  <si>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</si>
  <si>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</si>
  <si>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</si>
  <si>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</si>
  <si>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</si>
  <si>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</si>
  <si>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</si>
  <si>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</si>
  <si>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</si>
  <si>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</si>
  <si>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</si>
  <si>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</si>
  <si>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</si>
  <si>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</si>
  <si>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</si>
  <si>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</si>
  <si>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</si>
  <si>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</si>
  <si>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</si>
  <si>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</si>
  <si>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</si>
  <si>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</si>
  <si>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</si>
  <si>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</si>
  <si>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</si>
  <si>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</si>
  <si>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</si>
  <si>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</si>
  <si>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</si>
  <si>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</si>
  <si>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</si>
  <si>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</si>
  <si>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</si>
  <si>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</si>
  <si>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</si>
  <si>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</si>
  <si>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</si>
  <si>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</si>
  <si>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</si>
  <si>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</si>
  <si>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</si>
  <si>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</si>
  <si>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</si>
  <si>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</si>
  <si>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</si>
  <si>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</si>
  <si>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</si>
  <si>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</si>
  <si>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</si>
  <si>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</si>
  <si>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</si>
  <si>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</si>
  <si>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</si>
  <si>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</si>
  <si>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</si>
  <si>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</si>
  <si>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</si>
  <si>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</si>
  <si>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</si>
  <si>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</si>
  <si>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</si>
  <si>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</si>
  <si>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</si>
  <si>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</si>
  <si>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</si>
  <si>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</si>
  <si>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</si>
  <si>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</si>
  <si>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</si>
  <si>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</si>
  <si>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</si>
  <si>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</si>
  <si>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</si>
  <si>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</si>
  <si>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</si>
  <si>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</si>
  <si>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</si>
  <si>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</si>
  <si>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</si>
  <si>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</si>
  <si>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</si>
  <si>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</si>
  <si>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</si>
  <si>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</si>
  <si>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</si>
  <si>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</si>
  <si>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</si>
  <si>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</si>
  <si>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</si>
  <si>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</si>
  <si>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</si>
  <si>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</si>
  <si>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</si>
  <si>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</si>
  <si>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</si>
  <si>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</si>
  <si>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</si>
  <si>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</si>
  <si>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</si>
  <si>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</si>
  <si>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</si>
  <si>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</si>
  <si>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</si>
  <si>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</si>
  <si>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</si>
  <si>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</si>
  <si>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</si>
  <si>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</si>
  <si>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</si>
  <si>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</si>
  <si>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</si>
  <si>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</si>
  <si>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</si>
  <si>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</si>
  <si>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</si>
  <si>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</si>
  <si>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</si>
  <si>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</si>
  <si>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</si>
  <si>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</si>
  <si>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</si>
  <si>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</si>
  <si>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</si>
  <si>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</si>
  <si>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</si>
  <si>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</si>
  <si>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</si>
  <si>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</si>
  <si>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</si>
  <si>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</si>
  <si>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</si>
  <si>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</si>
  <si>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</si>
  <si>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</si>
  <si>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</si>
  <si>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</si>
  <si>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</si>
  <si>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</si>
  <si>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</si>
  <si>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</si>
  <si>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</si>
  <si>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</si>
  <si>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</si>
  <si>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</si>
  <si>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</si>
  <si>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</si>
  <si>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</si>
  <si>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</si>
  <si>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</si>
  <si>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</si>
  <si>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</si>
  <si>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</si>
  <si>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</si>
  <si>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</si>
  <si>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</si>
  <si>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</si>
  <si>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</si>
  <si>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</si>
  <si>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</si>
  <si>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</si>
  <si>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</si>
  <si>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</si>
  <si>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</si>
  <si>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</si>
  <si>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</si>
  <si>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</si>
  <si>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</si>
  <si>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</si>
  <si>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</si>
  <si>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</si>
  <si>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</si>
  <si>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</si>
  <si>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</si>
  <si>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</si>
  <si>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</si>
  <si>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</si>
  <si>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</si>
  <si>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</si>
  <si>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</si>
  <si>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</si>
  <si>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</si>
  <si>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</si>
  <si>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</si>
  <si>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</si>
  <si>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</si>
  <si>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</si>
  <si>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</si>
  <si>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</si>
  <si>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</si>
  <si>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</si>
  <si>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</si>
  <si>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</si>
  <si>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</si>
  <si>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</si>
  <si>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</si>
  <si>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</si>
  <si>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</si>
  <si>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</si>
  <si>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</si>
  <si>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</si>
  <si>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</si>
  <si>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</si>
  <si>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</si>
  <si>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</si>
  <si>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</si>
  <si>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</si>
  <si>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</si>
  <si>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</si>
  <si>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</si>
  <si>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</si>
  <si>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</si>
  <si>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</si>
  <si>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</si>
  <si>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</si>
  <si>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</si>
  <si>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</si>
  <si>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</si>
  <si>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</si>
  <si>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</si>
  <si>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</si>
  <si>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</si>
  <si>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</si>
  <si>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</si>
  <si>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</si>
  <si>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</si>
  <si>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</si>
  <si>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</si>
  <si>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</si>
  <si>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</si>
  <si>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</si>
  <si>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</si>
  <si>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</si>
  <si>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</si>
  <si>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</si>
  <si>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</si>
  <si>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</si>
  <si>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</si>
  <si>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</si>
  <si>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</si>
  <si>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</si>
  <si>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</si>
  <si>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</si>
  <si>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</si>
  <si>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</si>
  <si>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</si>
  <si>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</si>
  <si>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</si>
  <si>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</si>
  <si>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</si>
  <si>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</si>
  <si>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</si>
  <si>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</si>
  <si>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</si>
  <si>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</si>
  <si>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</si>
  <si>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</si>
  <si>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</si>
  <si>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</si>
  <si>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</si>
  <si>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</si>
  <si>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</si>
  <si>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</si>
  <si>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</si>
  <si>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</si>
  <si>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</si>
  <si>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</si>
  <si>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</si>
  <si>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</si>
  <si>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</si>
  <si>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</si>
  <si>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</si>
  <si>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</si>
  <si>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</si>
  <si>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</si>
  <si>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</si>
  <si>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</si>
  <si>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</si>
  <si>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</si>
  <si>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</si>
  <si>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</si>
  <si>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</si>
  <si>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</si>
  <si>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</si>
  <si>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</si>
  <si>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</si>
  <si>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</si>
  <si>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</si>
  <si>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</si>
  <si>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</si>
  <si>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</si>
  <si>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</si>
  <si>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</si>
  <si>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</si>
  <si>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</si>
  <si>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</si>
  <si>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</si>
  <si>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</si>
  <si>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</si>
  <si>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</si>
  <si>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</si>
  <si>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</si>
  <si>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</si>
  <si>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</si>
  <si>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</si>
  <si>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</si>
  <si>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</si>
  <si>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</si>
  <si>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</si>
  <si>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</si>
  <si>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</si>
  <si>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</si>
  <si>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</si>
  <si>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</si>
  <si>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</si>
  <si>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</si>
  <si>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</si>
  <si>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</si>
  <si>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</si>
  <si>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</si>
  <si>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</si>
  <si>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</si>
  <si>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</si>
  <si>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</si>
  <si>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</si>
  <si>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</si>
  <si>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</si>
  <si>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</si>
  <si>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</si>
  <si>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</si>
  <si>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</si>
  <si>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</si>
  <si>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</si>
  <si>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</si>
  <si>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</si>
  <si>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</si>
  <si>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</si>
  <si>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</si>
  <si>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</si>
  <si>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</si>
  <si>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</si>
  <si>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</si>
  <si>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</si>
  <si>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</si>
  <si>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</si>
  <si>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</si>
  <si>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</si>
  <si>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</si>
  <si>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</si>
  <si>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</si>
  <si>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</si>
  <si>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</si>
  <si>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</si>
  <si>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</si>
  <si>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</si>
  <si>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</si>
  <si>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</si>
  <si>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</si>
  <si>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</si>
  <si>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</si>
  <si>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</si>
  <si>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</si>
  <si>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</si>
  <si>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</si>
  <si>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</si>
  <si>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</si>
  <si>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</si>
  <si>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</si>
  <si>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</si>
  <si>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</si>
  <si>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</si>
  <si>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</si>
  <si>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</si>
  <si>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</si>
  <si>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</si>
  <si>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</si>
  <si>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</si>
  <si>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</si>
  <si>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</si>
  <si>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</si>
  <si>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</si>
  <si>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</si>
  <si>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</si>
  <si>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</si>
  <si>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</si>
  <si>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</si>
  <si>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</si>
  <si>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</si>
  <si>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</si>
  <si>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</si>
  <si>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</si>
  <si>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</si>
  <si>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</si>
  <si>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</si>
  <si>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</si>
  <si>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</si>
  <si>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</si>
  <si>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</si>
  <si>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</si>
  <si>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</si>
  <si>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</si>
  <si>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</si>
  <si>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</si>
  <si>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</si>
  <si>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</si>
  <si>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</si>
  <si>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C:\Users\eloi.verge\OneDrive - EUROLEAGUE\Desktop\GAME REPORTS\25-26</t>
  </si>
  <si>
    <t>NOEMI CSIKI</t>
  </si>
  <si>
    <t>ZSOLT CSIKI</t>
  </si>
  <si>
    <t>GOERGE PRIDEA</t>
  </si>
  <si>
    <t>ANGEL CRISAN</t>
  </si>
  <si>
    <t>IOANA OLARIU</t>
  </si>
  <si>
    <t>ELOI VERGÉ</t>
  </si>
  <si>
    <t>07:55</t>
  </si>
  <si>
    <t>05:52</t>
  </si>
  <si>
    <t>07:56</t>
  </si>
  <si>
    <t>03:28</t>
  </si>
  <si>
    <t>02:39</t>
  </si>
  <si>
    <t>01:47</t>
  </si>
  <si>
    <t>00:34</t>
  </si>
  <si>
    <t>Solid performance, just watch better which players you scout the actions to.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</si>
</sst>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12" sqref="L12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07_063_CLU_MAN_U2025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63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45973.791666666664</v>
      </c>
      <c r="C3" s="178"/>
      <c r="D3" s="39">
        <v>659</v>
      </c>
      <c r="E3" s="29"/>
      <c r="F3" s="26">
        <f>SUBTOTAL(3,I17:I106)</f>
        <v>7</v>
      </c>
      <c r="G3" s="27">
        <f>IF(OR(D3="",D3=0),"",F3/D3)</f>
        <v>1.0622154779969651E-2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U-BT Cluj-Napoca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CLU</v>
      </c>
      <c r="I4" s="5"/>
      <c r="J4" s="119" t="s">
        <v>714</v>
      </c>
      <c r="K4" s="54" t="s">
        <v>742</v>
      </c>
      <c r="L4" s="5"/>
      <c r="M4" s="185" t="s">
        <v>763</v>
      </c>
      <c r="N4" s="186"/>
      <c r="O4" s="2"/>
      <c r="P4" s="2"/>
      <c r="Q4" s="84" t="s">
        <v>175</v>
      </c>
      <c r="R4" s="94">
        <f>(IF(G3="",0,G3))</f>
        <v>1.0622154779969651E-2</v>
      </c>
      <c r="S4" s="61">
        <f>SUM(I13:M13)</f>
        <v>0</v>
      </c>
      <c r="T4" s="78"/>
      <c r="U4" s="61">
        <f>AC18</f>
        <v>1</v>
      </c>
      <c r="V4" s="61">
        <f>+AC22</f>
        <v>5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BAXI Manresa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1.062215477996965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5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9.0622154779969648</v>
      </c>
      <c r="N7" s="58"/>
      <c r="O7" s="2"/>
      <c r="P7" s="2"/>
      <c r="Q7" s="86">
        <f>SUM(R5,S5,AC16)</f>
        <v>9.0622154779969648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9.0622154779969648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63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63</v>
      </c>
      <c r="D17" s="32" t="s">
        <v>756</v>
      </c>
      <c r="E17" s="33">
        <v>1</v>
      </c>
      <c r="F17" s="36">
        <v>8</v>
      </c>
      <c r="G17" s="36">
        <v>3</v>
      </c>
      <c r="H17" s="38" t="str">
        <f>IF(I17="","",$I$14)</f>
        <v>SCOUTING</v>
      </c>
      <c r="I17" s="34">
        <v>25</v>
      </c>
      <c r="J17" s="13" t="s">
        <v>4</v>
      </c>
      <c r="K17" s="13" t="s">
        <v>63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63</v>
      </c>
      <c r="D18" s="32" t="s">
        <v>757</v>
      </c>
      <c r="E18" s="33">
        <v>2</v>
      </c>
      <c r="F18" s="36">
        <v>40</v>
      </c>
      <c r="G18" s="36">
        <v>34</v>
      </c>
      <c r="H18" s="38" t="str">
        <f t="shared" ref="H18:H81" si="8">IF(I18="","",$I$14)</f>
        <v>SCOUTING</v>
      </c>
      <c r="I18" s="34">
        <v>250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63</v>
      </c>
      <c r="D19" s="32" t="s">
        <v>758</v>
      </c>
      <c r="E19" s="33">
        <v>3</v>
      </c>
      <c r="F19" s="36">
        <v>59</v>
      </c>
      <c r="G19" s="36">
        <v>50</v>
      </c>
      <c r="H19" s="38" t="str">
        <f t="shared" si="8"/>
        <v>SCOUTING</v>
      </c>
      <c r="I19" s="34">
        <v>370</v>
      </c>
      <c r="J19" s="13" t="s">
        <v>4</v>
      </c>
      <c r="K19" s="13" t="s">
        <v>62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63</v>
      </c>
      <c r="D20" s="32" t="s">
        <v>759</v>
      </c>
      <c r="E20" s="33">
        <v>3</v>
      </c>
      <c r="F20" s="36">
        <v>67</v>
      </c>
      <c r="G20" s="36">
        <v>58</v>
      </c>
      <c r="H20" s="38" t="str">
        <f t="shared" si="8"/>
        <v>SCOUTING</v>
      </c>
      <c r="I20" s="34">
        <v>431</v>
      </c>
      <c r="J20" s="13" t="s">
        <v>4</v>
      </c>
      <c r="K20" s="13" t="s">
        <v>63</v>
      </c>
      <c r="L20" s="13" t="s">
        <v>7</v>
      </c>
      <c r="M20" s="13" t="s">
        <v>27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63</v>
      </c>
      <c r="D21" s="32" t="s">
        <v>760</v>
      </c>
      <c r="E21" s="33">
        <v>3</v>
      </c>
      <c r="F21" s="36">
        <v>70</v>
      </c>
      <c r="G21" s="36">
        <v>58</v>
      </c>
      <c r="H21" s="38" t="str">
        <f t="shared" si="8"/>
        <v>SCOUTING</v>
      </c>
      <c r="I21" s="34">
        <v>441</v>
      </c>
      <c r="J21" s="13" t="s">
        <v>4</v>
      </c>
      <c r="K21" s="13" t="s">
        <v>63</v>
      </c>
      <c r="L21" s="13" t="s">
        <v>6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63</v>
      </c>
      <c r="D22" s="32" t="s">
        <v>761</v>
      </c>
      <c r="E22" s="33">
        <v>3</v>
      </c>
      <c r="F22" s="36">
        <v>74</v>
      </c>
      <c r="G22" s="36">
        <v>60</v>
      </c>
      <c r="H22" s="38" t="str">
        <f t="shared" si="8"/>
        <v>SCOUTING</v>
      </c>
      <c r="I22" s="34">
        <v>461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63</v>
      </c>
      <c r="D23" s="32" t="s">
        <v>762</v>
      </c>
      <c r="E23" s="33">
        <v>4</v>
      </c>
      <c r="F23" s="36">
        <v>100</v>
      </c>
      <c r="G23" s="36">
        <v>84</v>
      </c>
      <c r="H23" s="38" t="str">
        <f t="shared" si="8"/>
        <v>SCOUTING</v>
      </c>
      <c r="I23" s="34">
        <v>648</v>
      </c>
      <c r="J23" s="13" t="s">
        <v>4</v>
      </c>
      <c r="K23" s="13" t="s">
        <v>62</v>
      </c>
      <c r="L23" s="13" t="s">
        <v>6</v>
      </c>
      <c r="M23" s="13" t="s">
        <v>27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2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REPORT_U2025063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"U2025063"</v>
      </c>
      <c r="F3" s="45" t="str">
        <f t="shared" ref="F3:F16" si="0">""""&amp;B3&amp;"""" &amp; " : " &amp;C3&amp;","</f>
        <v>"name" : "U2025063",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"U063"</v>
      </c>
      <c r="F4" s="45" t="str">
        <f t="shared" si="0"/>
        <v>"cod" : "U063",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063</v>
      </c>
      <c r="F6" s="45" t="str">
        <f t="shared" si="0"/>
        <v>"number" : 063,</v>
      </c>
    </row>
    <row r="7" spans="2:6" x14ac:dyDescent="0.25">
      <c r="B7" s="43" t="s">
        <v>116</v>
      </c>
      <c r="C7" s="43" t="str">
        <f ca="1">""""&amp;TEXT('SCOUT &amp; LOGISTICS'!B3,"dd/mm/aaaa")&amp;""""</f>
        <v>"12/11/2025"</v>
      </c>
      <c r="F7" s="45" t="str">
        <f t="shared" ca="1" si="0"/>
        <v>"date" : "12/11/2025",</v>
      </c>
    </row>
    <row r="8" spans="2:6" x14ac:dyDescent="0.25">
      <c r="B8" s="43" t="s">
        <v>125</v>
      </c>
      <c r="C8" s="43" t="str">
        <f>""""&amp;'SCOUT &amp; LOGISTICS'!D4 &amp;""""</f>
        <v>"U-BT Cluj-Napoca"</v>
      </c>
      <c r="F8" s="45" t="str">
        <f t="shared" si="0"/>
        <v>"home_team" : "U-BT Cluj-Napoca",</v>
      </c>
    </row>
    <row r="9" spans="2:6" x14ac:dyDescent="0.25">
      <c r="B9" s="43" t="s">
        <v>126</v>
      </c>
      <c r="C9" s="43" t="str">
        <f>""""&amp;'SCOUT &amp; LOGISTICS'!D5&amp;""""</f>
        <v>"BAXI Manresa"</v>
      </c>
      <c r="F9" s="45" t="str">
        <f t="shared" si="0"/>
        <v>"away_team" : "BAXI Manresa",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"NOEMI CSIKI"</v>
      </c>
      <c r="F10" s="45" t="str">
        <f t="shared" si="0"/>
        <v>"Data_entry" : "NOEMI CSIKI",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"ZSOLT CSIKI"</v>
      </c>
      <c r="F11" s="45" t="str">
        <f t="shared" si="0"/>
        <v>"Caller_1" : "ZSOLT CSIKI",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"GOERGE PRIDEA"</v>
      </c>
      <c r="F12" s="45" t="str">
        <f t="shared" si="0"/>
        <v>"Caller_2" : "GOERGE PRIDEA",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 CRISAN"</v>
      </c>
      <c r="F13" s="45" t="str">
        <f t="shared" si="0"/>
        <v>"Timerkeeper" : "ANGEL CRISAN",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"IOANA OLARIU"</v>
      </c>
      <c r="F14" s="45" t="str">
        <f t="shared" si="0"/>
        <v>"Shotclock" : "IOANA OLARIU",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659</v>
      </c>
      <c r="F25" s="45" t="str">
        <f t="shared" ref="F25:F48" si="1">""""&amp;C25&amp;"""" &amp; " : " &amp;D25&amp;","</f>
        <v>"total_actions" : 659,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"1,1%"</v>
      </c>
      <c r="F27" s="45" t="str">
        <f t="shared" si="1"/>
        <v>"%_corrections" : "1,1%",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"Solid performance, just watch better which players you scout the actions to. Keep it up!"</v>
      </c>
      <c r="F51" s="45" t="str">
        <f>""""&amp;B51&amp;"""" &amp; " : " &amp;C51&amp;","</f>
        <v>"comments" : "Solid performance, just watch better which players you scout the actions to. Keep it up!",</v>
      </c>
    </row>
    <row r="52" spans="2:6" x14ac:dyDescent="0.25">
      <c r="B52" s="43" t="s">
        <v>153</v>
      </c>
      <c r="C52" s="43" t="str">
        <f>TEXT('SCOUT &amp; LOGISTICS'!F1,"0,0")</f>
        <v>07_063_CLU_MAN_U2025</v>
      </c>
      <c r="F52" s="45" t="str">
        <f>""""&amp;B52&amp;"""" &amp; " : " &amp;C52</f>
        <v>"result" : 07_063_CLU_MAN_U2025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U063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12/11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U-Bt Cluj-Napoca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Baxi Manresa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NOEMI CSIKI</v>
      </c>
      <c r="C8" s="201"/>
      <c r="D8" s="201"/>
      <c r="E8" s="201"/>
      <c r="F8" s="201"/>
      <c r="G8" s="201" t="str">
        <f>IF('SCOUT &amp; LOGISTICS'!D7="","",'SCOUT &amp; LOGISTICS'!D7)</f>
        <v>ZSOLT CSIKI</v>
      </c>
      <c r="H8" s="201"/>
      <c r="I8" s="201"/>
      <c r="J8" s="201"/>
      <c r="K8" s="201"/>
      <c r="L8" s="201" t="str">
        <f>IF('SCOUT &amp; LOGISTICS'!D8="","",'SCOUT &amp; LOGISTICS'!D8)</f>
        <v>GOERGE PRIDEA</v>
      </c>
      <c r="M8" s="201"/>
      <c r="N8" s="201"/>
      <c r="O8" s="201"/>
      <c r="P8" s="201"/>
      <c r="Q8" s="201" t="str">
        <f>IF('SCOUT &amp; LOGISTICS'!D9="","",'SCOUT &amp; LOGISTICS'!D9)</f>
        <v>ANGEL CRISAN</v>
      </c>
      <c r="R8" s="201"/>
      <c r="S8" s="201"/>
      <c r="T8" s="201"/>
      <c r="U8" s="201"/>
      <c r="V8" s="201" t="str">
        <f>IF('SCOUT &amp; LOGISTICS'!D10="","",'SCOUT &amp; LOGISTICS'!D10)</f>
        <v>IOANA OLARIU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VERGÉ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659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7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1.0622154779969651E-2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4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7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5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Solid performance, just watch better which players you scout the actions to.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9.0622154779969648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66C4B8C-9E77-4FDD-9D5E-D230569BFCA9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2025-11-11T14:15:32Z</cp:lastPrinted>
  <dcterms:created xsi:type="dcterms:W3CDTF">2023-09-19T19:50:35Z</dcterms:created>
  <dcterms:modified xsi:type="dcterms:W3CDTF">2025-11-13T16:05:49Z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