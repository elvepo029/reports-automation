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9" documentId="8_{0159B2F3-5CE0-4E62-97CA-1282C78CEE89}" xr6:coauthVersionLast="47" xr6:coauthVersionMax="47" xr10:uidLastSave="{7F77122A-4D23-4268-BC2D-8BC4B05A6EBA}"/>
  <bookViews>
    <workbookView minimized="1" xWindow="38265" yWindow="7155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<sst xmlns="http://schemas.openxmlformats.org/spreadsheetml/2006/main" count="3264" uniqueCount="762">
  <si>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</si>
  <si>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</si>
  <si>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</si>
  <si>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</si>
  <si>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</si>
  <si>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</si>
  <si>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</si>
  <si>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</si>
  <si>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</si>
  <si>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</si>
  <si>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</si>
  <si>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</si>
  <si>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</si>
  <si>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</si>
  <si>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</si>
  <si>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</si>
  <si>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</si>
  <si>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</si>
  <si>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</si>
  <si>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</si>
  <si>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</si>
  <si>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</si>
  <si>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</si>
  <si>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</si>
  <si>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</si>
  <si>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</si>
  <si>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</si>
  <si>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</si>
  <si>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</si>
  <si>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</si>
  <si>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</si>
  <si>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</si>
  <si>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</si>
  <si>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</si>
  <si>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</si>
  <si>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</si>
  <si>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</si>
  <si>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</si>
  <si>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</si>
  <si>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</si>
  <si>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</si>
  <si>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</si>
  <si>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</si>
  <si>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</si>
  <si>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</si>
  <si>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</si>
  <si>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</si>
  <si>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</si>
  <si>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</si>
  <si>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</si>
  <si>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</si>
  <si>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</si>
  <si>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</si>
  <si>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</si>
  <si>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</si>
  <si>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</si>
  <si>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</si>
  <si>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</si>
  <si>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</si>
  <si>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</si>
  <si>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</si>
  <si>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</si>
  <si>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</si>
  <si>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</si>
  <si>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</si>
  <si>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</si>
  <si>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</si>
  <si>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</si>
  <si>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</si>
  <si>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</si>
  <si>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</si>
  <si>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</si>
  <si>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</si>
  <si>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</si>
  <si>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</si>
  <si>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</si>
  <si>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</si>
  <si>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</si>
  <si>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</si>
  <si>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</si>
  <si>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</si>
  <si>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</si>
  <si>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</si>
  <si>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</si>
  <si>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</si>
  <si>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</si>
  <si>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</si>
  <si>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</si>
  <si>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</si>
  <si>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</si>
  <si>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</si>
  <si>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</si>
  <si>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</si>
  <si>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</si>
  <si>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</si>
  <si>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</si>
  <si>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</si>
  <si>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</si>
  <si>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</si>
  <si>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</si>
  <si>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</si>
  <si>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</si>
  <si>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</si>
  <si>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</si>
  <si>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</si>
  <si>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</si>
  <si>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</si>
  <si>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</si>
  <si>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</si>
  <si>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</si>
  <si>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</si>
  <si>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</si>
  <si>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</si>
  <si>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</si>
  <si>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</si>
  <si>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</si>
  <si>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</si>
  <si>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</si>
  <si>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</si>
  <si>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</si>
  <si>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</si>
  <si>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</si>
  <si>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</si>
  <si>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</si>
  <si>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</si>
  <si>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</si>
  <si>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</si>
  <si>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</si>
  <si>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</si>
  <si>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</si>
  <si>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</si>
  <si>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</si>
  <si>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</si>
  <si>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</si>
  <si>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</si>
  <si>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</si>
  <si>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</si>
  <si>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</si>
  <si>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</si>
  <si>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</si>
  <si>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</si>
  <si>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</si>
  <si>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</si>
  <si>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</si>
  <si>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</si>
  <si>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</si>
  <si>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</si>
  <si>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</si>
  <si>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</si>
  <si>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</si>
  <si>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</si>
  <si>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</si>
  <si>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</si>
  <si>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</si>
  <si>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</si>
  <si>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</si>
  <si>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</si>
  <si>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</si>
  <si>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</si>
  <si>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</si>
  <si>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</si>
  <si>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</si>
  <si>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</si>
  <si>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</si>
  <si>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</si>
  <si>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</si>
  <si>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</si>
  <si>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</si>
  <si>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</si>
  <si>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</si>
  <si>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</si>
  <si>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</si>
  <si>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</si>
  <si>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</si>
  <si>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</si>
  <si>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</si>
  <si>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</si>
  <si>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</si>
  <si>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</si>
  <si>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</si>
  <si>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</si>
  <si>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</si>
  <si>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</si>
  <si>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</si>
  <si>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</si>
  <si>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</si>
  <si>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</si>
  <si>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</si>
  <si>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</si>
  <si>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</si>
  <si>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</si>
  <si>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</si>
  <si>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</si>
  <si>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</si>
  <si>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</si>
  <si>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</si>
  <si>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</si>
  <si>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</si>
  <si>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</si>
  <si>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</si>
  <si>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</si>
  <si>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</si>
  <si>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</si>
  <si>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</si>
  <si>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</si>
  <si>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</si>
  <si>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</si>
  <si>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</si>
  <si>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</si>
  <si>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</si>
  <si>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</si>
  <si>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</si>
  <si>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</si>
  <si>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</si>
  <si>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</si>
  <si>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</si>
  <si>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</si>
  <si>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</si>
  <si>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</si>
  <si>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</si>
  <si>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</si>
  <si>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</si>
  <si>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</si>
  <si>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</si>
  <si>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</si>
  <si>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</si>
  <si>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</si>
  <si>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</si>
  <si>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</si>
  <si>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</si>
  <si>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</si>
  <si>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</si>
  <si>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</si>
  <si>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</si>
  <si>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</si>
  <si>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</si>
  <si>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</si>
  <si>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</si>
  <si>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</si>
  <si>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</si>
  <si>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</si>
  <si>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</si>
  <si>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</si>
  <si>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</si>
  <si>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</si>
  <si>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</si>
  <si>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</si>
  <si>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</si>
  <si>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</si>
  <si>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</si>
  <si>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</si>
  <si>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</si>
  <si>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</si>
  <si>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</si>
  <si>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</si>
  <si>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</si>
  <si>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</si>
  <si>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</si>
  <si>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</si>
  <si>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</si>
  <si>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</si>
  <si>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</si>
  <si>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</si>
  <si>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</si>
  <si>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</si>
  <si>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</si>
  <si>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</si>
  <si>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</si>
  <si>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</si>
  <si>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</si>
  <si>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</si>
  <si>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</si>
  <si>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</si>
  <si>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</si>
  <si>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</si>
  <si>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</si>
  <si>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</si>
  <si>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</si>
  <si>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</si>
  <si>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</si>
  <si>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</si>
  <si>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</si>
  <si>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</si>
  <si>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</si>
  <si>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</si>
  <si>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</si>
  <si>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</si>
  <si>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</si>
  <si>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</si>
  <si>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</si>
  <si>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</si>
  <si>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</si>
  <si>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</si>
  <si>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</si>
  <si>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</si>
  <si>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</si>
  <si>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</si>
  <si>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</si>
  <si>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</si>
  <si>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</si>
  <si>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</si>
  <si>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</si>
  <si>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</si>
  <si>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</si>
  <si>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</si>
  <si>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</si>
  <si>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</si>
  <si>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</si>
  <si>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</si>
  <si>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</si>
  <si>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</si>
  <si>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</si>
  <si>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</si>
  <si>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</si>
  <si>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</si>
  <si>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</si>
  <si>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</si>
  <si>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</si>
  <si>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</si>
  <si>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</si>
  <si>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</si>
  <si>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</si>
  <si>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</si>
  <si>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</si>
  <si>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</si>
  <si>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</si>
  <si>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</si>
  <si>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</si>
  <si>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</si>
  <si>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</si>
  <si>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</si>
  <si>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</si>
  <si>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</si>
  <si>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</si>
  <si>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</si>
  <si>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</si>
  <si>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</si>
  <si>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</si>
  <si>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</si>
  <si>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</si>
  <si>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</si>
  <si>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</si>
  <si>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</si>
  <si>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</si>
  <si>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</si>
  <si>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</si>
  <si>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</si>
  <si>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</si>
  <si>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</si>
  <si>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</si>
  <si>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</si>
  <si>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</si>
  <si>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</si>
  <si>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</si>
  <si>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</si>
  <si>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</si>
  <si>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</si>
  <si>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</si>
  <si>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</si>
  <si>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</si>
  <si>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</si>
  <si>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</si>
  <si>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</si>
  <si>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</si>
  <si>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</si>
  <si>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</si>
  <si>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</si>
  <si>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</si>
  <si>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</si>
  <si>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</si>
  <si>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</si>
  <si>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</si>
  <si>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</si>
  <si>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</si>
  <si>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</si>
  <si>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</si>
  <si>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</si>
  <si>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</si>
  <si>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</si>
  <si>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</si>
  <si>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</si>
  <si>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</si>
  <si>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</si>
  <si>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</si>
  <si>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</si>
  <si>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</si>
  <si>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</si>
  <si>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</si>
  <si>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</si>
  <si>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</si>
  <si>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</si>
  <si>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</si>
  <si>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</si>
  <si>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</si>
  <si>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</si>
  <si>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</si>
  <si>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</si>
  <si>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</si>
  <si>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</si>
  <si>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</si>
  <si>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</si>
  <si>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</si>
  <si>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</si>
  <si>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</si>
  <si>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</si>
  <si>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</si>
  <si>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</si>
  <si>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</si>
  <si>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</si>
  <si>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</si>
  <si>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</si>
  <si>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</si>
  <si>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</si>
  <si>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</si>
  <si>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</si>
  <si>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</si>
  <si>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</si>
  <si>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</si>
  <si>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</si>
  <si>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</si>
  <si>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</si>
  <si>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</si>
  <si>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</si>
  <si>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</si>
  <si>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</si>
  <si>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</si>
  <si>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</si>
  <si>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</si>
  <si>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</si>
  <si>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</si>
  <si>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</si>
  <si>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</si>
  <si>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</si>
  <si>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</si>
  <si>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</si>
  <si>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</si>
  <si>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</si>
  <si>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</si>
  <si>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</si>
  <si>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</si>
  <si>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</si>
  <si>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</si>
  <si>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</si>
  <si>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</si>
  <si>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</si>
  <si>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</si>
  <si>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</si>
  <si>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</si>
  <si>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</si>
  <si>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</si>
  <si>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</si>
  <si>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</si>
  <si>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</si>
  <si>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</si>
  <si>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</si>
  <si>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</si>
  <si>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</si>
  <si>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</si>
  <si>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</si>
  <si>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</si>
  <si>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</si>
  <si>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</si>
  <si>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</si>
  <si>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</si>
  <si>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</si>
  <si>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</si>
  <si>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</si>
  <si>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</si>
  <si>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</si>
  <si>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</si>
  <si>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</si>
  <si>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</si>
  <si>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</si>
  <si>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</si>
  <si>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</si>
  <si>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</si>
  <si>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</si>
  <si>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</si>
  <si>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</si>
  <si>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</si>
  <si>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</si>
  <si>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</si>
  <si>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</si>
  <si>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</si>
  <si>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</si>
  <si>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</si>
  <si>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</si>
  <si>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</si>
  <si>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</si>
  <si>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</si>
  <si>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</si>
  <si>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</si>
  <si>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</si>
  <si>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</si>
  <si>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</si>
  <si>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</si>
  <si>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</si>
  <si>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</si>
  <si>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</si>
  <si>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</si>
  <si>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</si>
  <si>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</si>
  <si>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</si>
  <si>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</si>
  <si>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</si>
  <si>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</si>
  <si>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</si>
  <si>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</si>
  <si>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</si>
  <si>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</si>
  <si>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</si>
  <si>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</si>
  <si>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</si>
  <si>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</si>
  <si>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</si>
  <si>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</si>
  <si>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</si>
  <si>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</si>
  <si>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</si>
  <si>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</si>
  <si>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</si>
  <si>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</si>
  <si>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</si>
  <si>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</si>
  <si>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</si>
  <si>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</si>
  <si>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</si>
  <si>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</si>
  <si>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</si>
  <si>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</si>
  <si>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</si>
  <si>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</si>
  <si>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</si>
  <si>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</si>
  <si>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</si>
  <si>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</si>
  <si>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</si>
  <si>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</si>
  <si>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</si>
  <si>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</si>
  <si>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</si>
  <si>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</si>
  <si>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</si>
  <si>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</si>
  <si>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</si>
  <si>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</si>
  <si>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</si>
  <si>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</si>
  <si>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</si>
  <si>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</si>
  <si>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</si>
  <si>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</si>
  <si>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</si>
  <si>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</si>
  <si>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</si>
  <si>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</si>
  <si>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</si>
  <si>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</si>
  <si>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</si>
  <si>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</si>
  <si>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</si>
  <si>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</si>
  <si>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</si>
  <si>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</si>
  <si>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</si>
  <si>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</si>
  <si>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</si>
  <si>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</si>
  <si>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</si>
  <si>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</si>
  <si>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</si>
  <si>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</si>
  <si>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</si>
  <si>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</si>
  <si>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</si>
  <si>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</si>
  <si>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</si>
  <si>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</si>
  <si>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</si>
  <si>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</si>
  <si>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</si>
  <si>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</si>
  <si>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</si>
  <si>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</si>
  <si>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</si>
  <si>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</si>
  <si>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</si>
  <si>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</si>
  <si>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</si>
  <si>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</si>
  <si>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</si>
  <si>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</si>
  <si>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</si>
  <si>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</si>
  <si>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</si>
  <si>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</si>
  <si>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</si>
  <si>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</si>
  <si>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</si>
  <si>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</si>
  <si>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</si>
  <si>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</si>
  <si>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</si>
  <si>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</si>
  <si>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</si>
  <si>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</si>
  <si>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</si>
  <si>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</si>
  <si>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</si>
  <si>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</si>
  <si>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</si>
  <si>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</si>
  <si>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</si>
  <si>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</si>
  <si>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</si>
  <si>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</si>
  <si>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</si>
  <si>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</si>
  <si>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</si>
  <si>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</si>
  <si>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</si>
  <si>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</si>
  <si>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</si>
  <si>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</si>
  <si>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</si>
  <si>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</si>
  <si>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</si>
  <si>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</si>
  <si>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</si>
  <si>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</si>
  <si>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</si>
  <si>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</si>
  <si>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</si>
  <si>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</si>
  <si>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</si>
  <si>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</si>
  <si>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</si>
  <si>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</si>
  <si>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</si>
  <si>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</si>
  <si>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</si>
  <si>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</si>
  <si>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</si>
  <si>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</si>
  <si>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</si>
  <si>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</si>
  <si>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</si>
  <si>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</si>
  <si>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</si>
  <si>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</si>
  <si>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</si>
  <si>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</si>
  <si>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</si>
  <si>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</si>
  <si>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</si>
  <si>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</si>
  <si>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</si>
  <si>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</si>
  <si>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</si>
  <si>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</si>
  <si>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</si>
  <si>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</si>
  <si>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</si>
  <si>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</si>
  <si>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</si>
  <si>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</si>
  <si>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</si>
  <si>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</si>
  <si>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</si>
  <si>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</si>
  <si>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</si>
  <si>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</si>
  <si>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</si>
  <si>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</si>
  <si>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</si>
  <si>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</si>
  <si>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</si>
  <si>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</si>
  <si>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</si>
  <si>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</si>
  <si>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</si>
  <si>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</si>
  <si>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</si>
  <si>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</si>
  <si>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</si>
  <si>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</si>
  <si>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</si>
  <si>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</si>
  <si>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</si>
  <si>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</si>
  <si>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</si>
  <si>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</si>
  <si>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</si>
  <si>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</si>
  <si>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</si>
  <si>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</si>
  <si>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</si>
  <si>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</si>
  <si>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</si>
  <si>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</si>
  <si>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</si>
  <si>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</si>
  <si>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</si>
  <si>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</si>
  <si>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</si>
  <si>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</si>
  <si>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</si>
  <si>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</si>
  <si>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</si>
  <si>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</si>
  <si>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</si>
  <si>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</si>
  <si>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</si>
  <si>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</si>
  <si>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</si>
  <si>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</si>
  <si>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</si>
  <si>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</si>
  <si>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</si>
  <si>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</si>
  <si>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</si>
  <si>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</si>
  <si>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</si>
  <si>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</si>
  <si>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</si>
  <si>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</si>
  <si>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</si>
  <si>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</si>
  <si>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</si>
  <si>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</si>
  <si>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</si>
  <si>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</si>
  <si>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</si>
  <si>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</si>
  <si>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</si>
  <si>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</si>
  <si>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</si>
  <si>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</si>
  <si>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</si>
  <si>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</si>
  <si>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</si>
  <si>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</si>
  <si>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</si>
  <si>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</si>
  <si>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</si>
  <si>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</si>
  <si>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</si>
  <si>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</si>
  <si>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</si>
  <si>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C:\Users\hector.guillen\EUROLEAGUE\EB STATS - Documents\General\SEASON 2025-26\Reports\Eurocup</t>
  </si>
  <si>
    <t>C:\Users\hector.guillen\EUROLEAGUE\EB STATS - Documents\General\SEASON 2025-26\Reports\Eurocup\PDF</t>
  </si>
  <si>
    <t>IVAN MOSIC</t>
  </si>
  <si>
    <t>MIODRAG STOJANOVIC</t>
  </si>
  <si>
    <t>MILOS MOSIC</t>
  </si>
  <si>
    <t>MILICA STOSIC</t>
  </si>
  <si>
    <t>MARIJA SAVIC</t>
  </si>
  <si>
    <t>HECTOR GUILLEN</t>
  </si>
  <si>
    <t>3:07</t>
  </si>
  <si>
    <t>0:25</t>
  </si>
  <si>
    <t>9:38</t>
  </si>
  <si>
    <t>7:31</t>
  </si>
  <si>
    <t>Very good job.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</si>
</sst>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07_064_JER_KLA_U2025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45972.854166666664</v>
      </c>
      <c r="C3" s="178"/>
      <c r="D3" s="39">
        <v>619</v>
      </c>
      <c r="E3" s="29"/>
      <c r="F3" s="26">
        <f>SUBTOTAL(3,I17:I106)</f>
        <v>4</v>
      </c>
      <c r="G3" s="27">
        <f>IF(OR(D3="",D3=0),"",F3/D3)</f>
        <v>6.462035541195477E-3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Hapoel Bank Yahav Jerusalem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742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6.462035541195477E-3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Neptunas Klaipeda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KLA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0.64620355411954766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5.1462035541195474</v>
      </c>
      <c r="N7" s="58"/>
      <c r="O7" s="2"/>
      <c r="P7" s="2"/>
      <c r="Q7" s="86">
        <f>SUM(R5,S5,AC16)</f>
        <v>5.1462035541195474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5.1462035541195474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64</v>
      </c>
      <c r="D17" s="32" t="s">
        <v>757</v>
      </c>
      <c r="E17" s="33">
        <v>1</v>
      </c>
      <c r="F17" s="36">
        <v>17</v>
      </c>
      <c r="G17" s="36">
        <v>17</v>
      </c>
      <c r="H17" s="38" t="str">
        <f>IF(I17="","",$I$14)</f>
        <v>SCOUTING</v>
      </c>
      <c r="I17" s="34">
        <v>87</v>
      </c>
      <c r="J17" s="13" t="s">
        <v>4</v>
      </c>
      <c r="K17" s="13" t="s">
        <v>62</v>
      </c>
      <c r="L17" s="13" t="s">
        <v>6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64</v>
      </c>
      <c r="D18" s="32" t="s">
        <v>758</v>
      </c>
      <c r="E18" s="33">
        <v>3</v>
      </c>
      <c r="F18" s="36">
        <v>77</v>
      </c>
      <c r="G18" s="36">
        <v>83</v>
      </c>
      <c r="H18" s="38" t="str">
        <f t="shared" ref="H18:H81" si="8">IF(I18="","",$I$14)</f>
        <v>SCOUTING</v>
      </c>
      <c r="I18" s="34">
        <v>454</v>
      </c>
      <c r="J18" s="13" t="s">
        <v>4</v>
      </c>
      <c r="K18" s="13" t="s">
        <v>62</v>
      </c>
      <c r="L18" s="13" t="s">
        <v>48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64</v>
      </c>
      <c r="D19" s="32" t="s">
        <v>759</v>
      </c>
      <c r="E19" s="33">
        <v>4</v>
      </c>
      <c r="F19" s="36">
        <v>82</v>
      </c>
      <c r="G19" s="36">
        <v>83</v>
      </c>
      <c r="H19" s="38" t="str">
        <f t="shared" si="8"/>
        <v>SCOUTING</v>
      </c>
      <c r="I19" s="34">
        <v>471</v>
      </c>
      <c r="J19" s="13" t="s">
        <v>4</v>
      </c>
      <c r="K19" s="13" t="s">
        <v>63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64</v>
      </c>
      <c r="D20" s="32" t="s">
        <v>760</v>
      </c>
      <c r="E20" s="33">
        <v>4</v>
      </c>
      <c r="F20" s="36">
        <v>91</v>
      </c>
      <c r="G20" s="36">
        <v>85</v>
      </c>
      <c r="H20" s="38" t="str">
        <f t="shared" si="8"/>
        <v>SCOUTING</v>
      </c>
      <c r="I20" s="34">
        <v>508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REPORT_U2025064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"U2025064"</v>
      </c>
      <c r="F3" s="45" t="str">
        <f t="shared" ref="F3:F16" si="0">""""&amp;B3&amp;"""" &amp; " : " &amp;C3&amp;","</f>
        <v>"name" : "U2025064",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"U064"</v>
      </c>
      <c r="F4" s="45" t="str">
        <f t="shared" si="0"/>
        <v>"cod" : "U064",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064</v>
      </c>
      <c r="F6" s="45" t="str">
        <f t="shared" si="0"/>
        <v>"number" : 064,</v>
      </c>
    </row>
    <row r="7" spans="2:6" x14ac:dyDescent="0.25">
      <c r="B7" s="43" t="s">
        <v>116</v>
      </c>
      <c r="C7" s="43" t="str">
        <f ca="1">""""&amp;TEXT('SCOUT &amp; LOGISTICS'!B3,"dd/mm/aaaa")&amp;""""</f>
        <v>"11/11/Tuesday"</v>
      </c>
      <c r="F7" s="45" t="str">
        <f t="shared" ca="1" si="0"/>
        <v>"date" : "11/11/Tuesday",</v>
      </c>
    </row>
    <row r="8" spans="2:6" x14ac:dyDescent="0.25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5">
      <c r="B9" s="43" t="s">
        <v>126</v>
      </c>
      <c r="C9" s="43" t="str">
        <f>""""&amp;'SCOUT &amp; LOGISTICS'!D5&amp;""""</f>
        <v>"Neptunas Klaipeda"</v>
      </c>
      <c r="F9" s="45" t="str">
        <f t="shared" si="0"/>
        <v>"away_team" : "Neptunas Klaipeda",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MOSIC"</v>
      </c>
      <c r="F12" s="45" t="str">
        <f t="shared" si="0"/>
        <v>"Caller_2" : "MILOS MOSIC",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"MILICA STOSIC"</v>
      </c>
      <c r="F13" s="45" t="str">
        <f t="shared" si="0"/>
        <v>"Timerkeeper" : "MILICA STOSIC",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"MARIJA SAVIC"</v>
      </c>
      <c r="F14" s="45" t="str">
        <f t="shared" si="0"/>
        <v>"Shotclock" : "MARIJA SAVIC",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619</v>
      </c>
      <c r="F25" s="45" t="str">
        <f t="shared" ref="F25:F48" si="1">""""&amp;C25&amp;"""" &amp; " : " &amp;D25&amp;","</f>
        <v>"total_actions" : 619,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job. Keep it up!"</v>
      </c>
      <c r="F51" s="45" t="str">
        <f>""""&amp;B51&amp;"""" &amp; " : " &amp;C51&amp;","</f>
        <v>"comments" : "Very good job. Keep it up!",</v>
      </c>
    </row>
    <row r="52" spans="2:6" x14ac:dyDescent="0.25">
      <c r="B52" s="43" t="s">
        <v>153</v>
      </c>
      <c r="C52" s="43" t="str">
        <f>TEXT('SCOUT &amp; LOGISTICS'!F1,"0,0")</f>
        <v>07_064_JER_KLA_U2025</v>
      </c>
      <c r="F52" s="45" t="str">
        <f>""""&amp;B52&amp;"""" &amp; " : " &amp;C52</f>
        <v>"result" : 07_064_JER_KLA_U2025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U064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11/11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Hapoel Bank Yahav Jerusalem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Neptunas Klaipeda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MILOS MOSIC</v>
      </c>
      <c r="M8" s="201"/>
      <c r="N8" s="201"/>
      <c r="O8" s="201"/>
      <c r="P8" s="201"/>
      <c r="Q8" s="201" t="str">
        <f>IF('SCOUT &amp; LOGISTICS'!D9="","",'SCOUT &amp; LOGISTICS'!D9)</f>
        <v>MILICA STOSIC</v>
      </c>
      <c r="R8" s="201"/>
      <c r="S8" s="201"/>
      <c r="T8" s="201"/>
      <c r="U8" s="201"/>
      <c r="V8" s="201" t="str">
        <f>IF('SCOUT &amp; LOGISTICS'!D10="","",'SCOUT &amp; LOGISTICS'!D10)</f>
        <v>MARIJA SAVIC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619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6.462035541195477E-3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5.1462035541195474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15838A9-2642-4A87-8873-4AE446E57025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2025-11-11T21:46:44Z</cp:lastPrinted>
  <dcterms:created xsi:type="dcterms:W3CDTF">2023-09-19T19:50:35Z</dcterms:created>
  <dcterms:modified xsi:type="dcterms:W3CDTF">2025-11-11T21:46:57Z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