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78" documentId="8_{A9ED14D4-8DA2-449B-8B91-AC67B82664F3}" xr6:coauthVersionLast="47" xr6:coauthVersionMax="47" xr10:uidLastSave="{9513CCC1-DAEE-4DBB-8DAD-FB9EFBFF78BB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<sst xmlns="http://schemas.openxmlformats.org/spreadsheetml/2006/main" count="3279" uniqueCount="764">
  <si>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</si>
  <si>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</si>
  <si>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</si>
  <si>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</si>
  <si>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</si>
  <si>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</si>
  <si>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</si>
  <si>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</si>
  <si>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</si>
  <si>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</si>
  <si>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</si>
  <si>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</si>
  <si>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</si>
  <si>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</si>
  <si>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</si>
  <si>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</si>
  <si>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</si>
  <si>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</si>
  <si>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</si>
  <si>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</si>
  <si>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</si>
  <si>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</si>
  <si>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</si>
  <si>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</si>
  <si>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</si>
  <si>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</si>
  <si>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</si>
  <si>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</si>
  <si>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</si>
  <si>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</si>
  <si>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</si>
  <si>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</si>
  <si>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</si>
  <si>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</si>
  <si>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</si>
  <si>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</si>
  <si>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</si>
  <si>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</si>
  <si>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</si>
  <si>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</si>
  <si>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</si>
  <si>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</si>
  <si>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</si>
  <si>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</si>
  <si>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</si>
  <si>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</si>
  <si>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</si>
  <si>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</si>
  <si>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</si>
  <si>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</si>
  <si>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</si>
  <si>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</si>
  <si>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</si>
  <si>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</si>
  <si>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</si>
  <si>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</si>
  <si>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</si>
  <si>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</si>
  <si>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</si>
  <si>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</si>
  <si>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</si>
  <si>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</si>
  <si>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</si>
  <si>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</si>
  <si>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</si>
  <si>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</si>
  <si>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</si>
  <si>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</si>
  <si>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</si>
  <si>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</si>
  <si>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</si>
  <si>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</si>
  <si>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</si>
  <si>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</si>
  <si>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</si>
  <si>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</si>
  <si>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</si>
  <si>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</si>
  <si>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</si>
  <si>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</si>
  <si>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</si>
  <si>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</si>
  <si>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</si>
  <si>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</si>
  <si>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</si>
  <si>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</si>
  <si>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</si>
  <si>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</si>
  <si>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</si>
  <si>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</si>
  <si>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</si>
  <si>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</si>
  <si>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</si>
  <si>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</si>
  <si>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</si>
  <si>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</si>
  <si>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</si>
  <si>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</si>
  <si>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</si>
  <si>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</si>
  <si>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</si>
  <si>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</si>
  <si>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</si>
  <si>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</si>
  <si>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</si>
  <si>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</si>
  <si>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</si>
  <si>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</si>
  <si>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</si>
  <si>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</si>
  <si>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</si>
  <si>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</si>
  <si>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</si>
  <si>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</si>
  <si>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</si>
  <si>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</si>
  <si>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</si>
  <si>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</si>
  <si>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</si>
  <si>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</si>
  <si>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</si>
  <si>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</si>
  <si>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</si>
  <si>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</si>
  <si>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</si>
  <si>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</si>
  <si>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</si>
  <si>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</si>
  <si>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</si>
  <si>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</si>
  <si>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</si>
  <si>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</si>
  <si>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</si>
  <si>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</si>
  <si>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</si>
  <si>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</si>
  <si>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</si>
  <si>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</si>
  <si>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</si>
  <si>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</si>
  <si>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</si>
  <si>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</si>
  <si>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</si>
  <si>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</si>
  <si>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</si>
  <si>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</si>
  <si>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</si>
  <si>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</si>
  <si>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</si>
  <si>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</si>
  <si>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</si>
  <si>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</si>
  <si>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</si>
  <si>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</si>
  <si>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</si>
  <si>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</si>
  <si>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</si>
  <si>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</si>
  <si>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</si>
  <si>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</si>
  <si>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</si>
  <si>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</si>
  <si>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</si>
  <si>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</si>
  <si>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</si>
  <si>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</si>
  <si>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</si>
  <si>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</si>
  <si>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</si>
  <si>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</si>
  <si>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</si>
  <si>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</si>
  <si>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</si>
  <si>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</si>
  <si>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</si>
  <si>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</si>
  <si>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</si>
  <si>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</si>
  <si>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</si>
  <si>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</si>
  <si>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</si>
  <si>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</si>
  <si>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</si>
  <si>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</si>
  <si>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</si>
  <si>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</si>
  <si>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</si>
  <si>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</si>
  <si>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</si>
  <si>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</si>
  <si>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</si>
  <si>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</si>
  <si>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</si>
  <si>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</si>
  <si>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</si>
  <si>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</si>
  <si>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</si>
  <si>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</si>
  <si>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</si>
  <si>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</si>
  <si>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</si>
  <si>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</si>
  <si>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</si>
  <si>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</si>
  <si>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</si>
  <si>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</si>
  <si>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</si>
  <si>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</si>
  <si>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</si>
  <si>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</si>
  <si>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</si>
  <si>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</si>
  <si>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</si>
  <si>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</si>
  <si>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</si>
  <si>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</si>
  <si>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</si>
  <si>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</si>
  <si>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</si>
  <si>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</si>
  <si>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</si>
  <si>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</si>
  <si>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</si>
  <si>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</si>
  <si>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</si>
  <si>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</si>
  <si>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</si>
  <si>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</si>
  <si>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</si>
  <si>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</si>
  <si>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</si>
  <si>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</si>
  <si>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</si>
  <si>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</si>
  <si>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</si>
  <si>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</si>
  <si>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</si>
  <si>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</si>
  <si>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</si>
  <si>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</si>
  <si>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</si>
  <si>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</si>
  <si>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</si>
  <si>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</si>
  <si>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</si>
  <si>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</si>
  <si>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</si>
  <si>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</si>
  <si>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</si>
  <si>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</si>
  <si>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</si>
  <si>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</si>
  <si>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</si>
  <si>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</si>
  <si>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</si>
  <si>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</si>
  <si>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</si>
  <si>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</si>
  <si>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</si>
  <si>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</si>
  <si>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</si>
  <si>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</si>
  <si>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</si>
  <si>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</si>
  <si>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</si>
  <si>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</si>
  <si>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</si>
  <si>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</si>
  <si>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</si>
  <si>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</si>
  <si>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</si>
  <si>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</si>
  <si>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</si>
  <si>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</si>
  <si>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</si>
  <si>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</si>
  <si>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</si>
  <si>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</si>
  <si>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</si>
  <si>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</si>
  <si>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</si>
  <si>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</si>
  <si>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</si>
  <si>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</si>
  <si>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</si>
  <si>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</si>
  <si>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</si>
  <si>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</si>
  <si>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</si>
  <si>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</si>
  <si>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</si>
  <si>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</si>
  <si>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</si>
  <si>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</si>
  <si>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</si>
  <si>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</si>
  <si>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</si>
  <si>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</si>
  <si>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</si>
  <si>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</si>
  <si>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</si>
  <si>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</si>
  <si>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</si>
  <si>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</si>
  <si>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</si>
  <si>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</si>
  <si>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</si>
  <si>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</si>
  <si>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</si>
  <si>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</si>
  <si>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</si>
  <si>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</si>
  <si>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</si>
  <si>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</si>
  <si>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</si>
  <si>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</si>
  <si>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</si>
  <si>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</si>
  <si>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</si>
  <si>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</si>
  <si>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</si>
  <si>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</si>
  <si>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</si>
  <si>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</si>
  <si>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</si>
  <si>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</si>
  <si>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</si>
  <si>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</si>
  <si>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</si>
  <si>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</si>
  <si>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</si>
  <si>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</si>
  <si>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</si>
  <si>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</si>
  <si>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</si>
  <si>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</si>
  <si>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</si>
  <si>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</si>
  <si>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</si>
  <si>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</si>
  <si>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</si>
  <si>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</si>
  <si>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</si>
  <si>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</si>
  <si>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</si>
  <si>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</si>
  <si>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</si>
  <si>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</si>
  <si>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</si>
  <si>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</si>
  <si>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</si>
  <si>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</si>
  <si>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</si>
  <si>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</si>
  <si>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</si>
  <si>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</si>
  <si>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</si>
  <si>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</si>
  <si>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</si>
  <si>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</si>
  <si>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</si>
  <si>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</si>
  <si>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</si>
  <si>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</si>
  <si>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</si>
  <si>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</si>
  <si>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</si>
  <si>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</si>
  <si>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</si>
  <si>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</si>
  <si>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</si>
  <si>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</si>
  <si>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</si>
  <si>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</si>
  <si>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</si>
  <si>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</si>
  <si>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</si>
  <si>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</si>
  <si>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</si>
  <si>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</si>
  <si>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</si>
  <si>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</si>
  <si>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</si>
  <si>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</si>
  <si>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</si>
  <si>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</si>
  <si>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</si>
  <si>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</si>
  <si>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</si>
  <si>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</si>
  <si>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</si>
  <si>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</si>
  <si>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</si>
  <si>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</si>
  <si>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</si>
  <si>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</si>
  <si>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</si>
  <si>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</si>
  <si>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</si>
  <si>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</si>
  <si>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</si>
  <si>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</si>
  <si>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</si>
  <si>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</si>
  <si>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</si>
  <si>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</si>
  <si>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</si>
  <si>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</si>
  <si>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</si>
  <si>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</si>
  <si>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</si>
  <si>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</si>
  <si>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</si>
  <si>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</si>
  <si>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</si>
  <si>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</si>
  <si>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</si>
  <si>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</si>
  <si>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</si>
  <si>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</si>
  <si>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</si>
  <si>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</si>
  <si>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</si>
  <si>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</si>
  <si>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</si>
  <si>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</si>
  <si>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</si>
  <si>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</si>
  <si>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</si>
  <si>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</si>
  <si>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</si>
  <si>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</si>
  <si>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</si>
  <si>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</si>
  <si>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</si>
  <si>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</si>
  <si>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</si>
  <si>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</si>
  <si>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</si>
  <si>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</si>
  <si>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</si>
  <si>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</si>
  <si>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</si>
  <si>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</si>
  <si>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</si>
  <si>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</si>
  <si>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</si>
  <si>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</si>
  <si>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</si>
  <si>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</si>
  <si>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</si>
  <si>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</si>
  <si>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</si>
  <si>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</si>
  <si>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</si>
  <si>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</si>
  <si>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</si>
  <si>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</si>
  <si>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</si>
  <si>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</si>
  <si>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</si>
  <si>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</si>
  <si>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</si>
  <si>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</si>
  <si>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</si>
  <si>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</si>
  <si>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</si>
  <si>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</si>
  <si>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</si>
  <si>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</si>
  <si>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</si>
  <si>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</si>
  <si>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</si>
  <si>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</si>
  <si>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</si>
  <si>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</si>
  <si>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</si>
  <si>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</si>
  <si>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</si>
  <si>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</si>
  <si>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</si>
  <si>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</si>
  <si>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</si>
  <si>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</si>
  <si>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</si>
  <si>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</si>
  <si>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</si>
  <si>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</si>
  <si>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</si>
  <si>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</si>
  <si>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</si>
  <si>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</si>
  <si>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</si>
  <si>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</si>
  <si>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</si>
  <si>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</si>
  <si>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</si>
  <si>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</si>
  <si>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</si>
  <si>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</si>
  <si>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</si>
  <si>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</si>
  <si>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</si>
  <si>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</si>
  <si>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</si>
  <si>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</si>
  <si>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</si>
  <si>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</si>
  <si>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</si>
  <si>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</si>
  <si>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</si>
  <si>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</si>
  <si>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</si>
  <si>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</si>
  <si>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</si>
  <si>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</si>
  <si>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</si>
  <si>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</si>
  <si>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</si>
  <si>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</si>
  <si>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</si>
  <si>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</si>
  <si>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</si>
  <si>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</si>
  <si>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</si>
  <si>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</si>
  <si>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</si>
  <si>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</si>
  <si>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</si>
  <si>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</si>
  <si>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</si>
  <si>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</si>
  <si>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</si>
  <si>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</si>
  <si>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</si>
  <si>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</si>
  <si>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</si>
  <si>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</si>
  <si>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</si>
  <si>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</si>
  <si>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</si>
  <si>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</si>
  <si>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</si>
  <si>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</si>
  <si>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</si>
  <si>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</si>
  <si>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</si>
  <si>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</si>
  <si>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</si>
  <si>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</si>
  <si>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</si>
  <si>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</si>
  <si>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</si>
  <si>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</si>
  <si>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</si>
  <si>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</si>
  <si>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</si>
  <si>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</si>
  <si>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</si>
  <si>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</si>
  <si>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</si>
  <si>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</si>
  <si>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</si>
  <si>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</si>
  <si>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</si>
  <si>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</si>
  <si>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</si>
  <si>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</si>
  <si>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</si>
  <si>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</si>
  <si>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</si>
  <si>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</si>
  <si>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</si>
  <si>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</si>
  <si>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</si>
  <si>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</si>
  <si>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</si>
  <si>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</si>
  <si>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</si>
  <si>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</si>
  <si>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</si>
  <si>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</si>
  <si>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</si>
  <si>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</si>
  <si>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</si>
  <si>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</si>
  <si>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</si>
  <si>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</si>
  <si>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</si>
  <si>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</si>
  <si>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</si>
  <si>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</si>
  <si>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</si>
  <si>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</si>
  <si>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</si>
  <si>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</si>
  <si>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</si>
  <si>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</si>
  <si>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</si>
  <si>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</si>
  <si>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</si>
  <si>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</si>
  <si>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</si>
  <si>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</si>
  <si>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</si>
  <si>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</si>
  <si>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</si>
  <si>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</si>
  <si>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</si>
  <si>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</si>
  <si>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</si>
  <si>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</si>
  <si>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</si>
  <si>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</si>
  <si>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</si>
  <si>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</si>
  <si>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</si>
  <si>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</si>
  <si>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</si>
  <si>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</si>
  <si>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</si>
  <si>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</si>
  <si>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</si>
  <si>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</si>
  <si>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</si>
  <si>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</si>
  <si>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</si>
  <si>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</si>
  <si>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</si>
  <si>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</si>
  <si>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</si>
  <si>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</si>
  <si>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</si>
  <si>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</si>
  <si>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</si>
  <si>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</si>
  <si>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</si>
  <si>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</si>
  <si>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</si>
  <si>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</si>
  <si>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</si>
  <si>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</si>
  <si>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</si>
  <si>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</si>
  <si>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</si>
  <si>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</si>
  <si>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</si>
  <si>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</si>
  <si>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</si>
  <si>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</si>
  <si>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</si>
  <si>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</si>
  <si>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</si>
  <si>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</si>
  <si>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</si>
  <si>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</si>
  <si>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</si>
  <si>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</si>
  <si>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</si>
  <si>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</si>
  <si>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</si>
  <si>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</si>
  <si>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</si>
  <si>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</si>
  <si>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</si>
  <si>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</si>
  <si>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</si>
  <si>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</si>
  <si>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</si>
  <si>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</si>
  <si>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</si>
  <si>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</si>
  <si>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</si>
  <si>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</si>
  <si>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</si>
  <si>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</si>
  <si>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</si>
  <si>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</si>
  <si>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</si>
  <si>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</si>
  <si>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</si>
  <si>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</si>
  <si>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</si>
  <si>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</si>
  <si>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</si>
  <si>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</si>
  <si>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</si>
  <si>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</si>
  <si>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</si>
  <si>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</si>
  <si>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</si>
  <si>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</si>
  <si>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</si>
  <si>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</si>
  <si>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</si>
  <si>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</si>
  <si>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</si>
  <si>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</si>
  <si>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</si>
  <si>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</si>
  <si>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</si>
  <si>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</si>
  <si>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</si>
  <si>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</si>
  <si>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</si>
  <si>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</si>
  <si>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</si>
  <si>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</si>
  <si>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</si>
  <si>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</si>
  <si>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</si>
  <si>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</si>
  <si>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</si>
  <si>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</si>
  <si>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</si>
  <si>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</si>
  <si>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</si>
  <si>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</si>
  <si>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</si>
  <si>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</si>
  <si>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</si>
  <si>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</si>
  <si>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</si>
  <si>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</si>
  <si>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</si>
  <si>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</si>
  <si>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</si>
  <si>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</si>
  <si>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</si>
  <si>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</si>
  <si>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</si>
  <si>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</si>
  <si>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</si>
  <si>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</si>
  <si>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</si>
  <si>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</si>
  <si>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</si>
  <si>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</si>
  <si>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</si>
  <si>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</si>
  <si>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</si>
  <si>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</si>
  <si>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</si>
  <si>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</si>
  <si>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</si>
  <si>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</si>
  <si>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</si>
  <si>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</si>
  <si>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</si>
  <si>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</si>
  <si>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KONSTANTINOS KRANIOTIS</t>
  </si>
  <si>
    <t>ELISAVET SAMARA</t>
  </si>
  <si>
    <t>VASILEIOS VOTSARIS</t>
  </si>
  <si>
    <t>NATASA TZIKA</t>
  </si>
  <si>
    <t>CHRYSOULA PROESTOU</t>
  </si>
  <si>
    <t>ORIOL GARCIA</t>
  </si>
  <si>
    <t>08:59</t>
  </si>
  <si>
    <t>02:08</t>
  </si>
  <si>
    <t>00:05</t>
  </si>
  <si>
    <t>01:17</t>
  </si>
  <si>
    <t>09:10</t>
  </si>
  <si>
    <t>01:05</t>
  </si>
  <si>
    <t>Good communication and procedures. Good general scouting, only to review the criteria on RB/Team RB, Good job!</t>
  </si>
  <si>
    <t>C:\Users\oriol.garcia\OneDrive - EUROLEAGUE\Documents\Season 25-26\Reports\Eurocup\Aris Thessaloniki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</si>
</sst>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4" sqref="N34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07_065_ARI_BAH_U2025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65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45972.833333333336</v>
      </c>
      <c r="C3" s="178"/>
      <c r="D3" s="39">
        <v>618</v>
      </c>
      <c r="E3" s="29"/>
      <c r="F3" s="26">
        <f>SUBTOTAL(3,I17:I106)</f>
        <v>7</v>
      </c>
      <c r="G3" s="27">
        <f>IF(OR(D3="",D3=0),"",F3/D3)</f>
        <v>1.1326860841423949E-2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Aris Thessaloniki Betsson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ARI</v>
      </c>
      <c r="I4" s="5"/>
      <c r="J4" s="119" t="s">
        <v>714</v>
      </c>
      <c r="K4" s="54" t="s">
        <v>743</v>
      </c>
      <c r="L4" s="5"/>
      <c r="M4" s="185" t="s">
        <v>762</v>
      </c>
      <c r="N4" s="186"/>
      <c r="O4" s="2"/>
      <c r="P4" s="2"/>
      <c r="Q4" s="84" t="s">
        <v>175</v>
      </c>
      <c r="R4" s="94">
        <f>(IF(G3="",0,G3))</f>
        <v>1.1326860841423949E-2</v>
      </c>
      <c r="S4" s="61">
        <f>SUM(I13:M13)</f>
        <v>0</v>
      </c>
      <c r="T4" s="78"/>
      <c r="U4" s="61">
        <f>AC18</f>
        <v>4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Bahcesehir College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BAH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1.1326860841423949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8.6326860841423958</v>
      </c>
      <c r="N7" s="58"/>
      <c r="O7" s="2"/>
      <c r="P7" s="2"/>
      <c r="Q7" s="86">
        <f>SUM(R5,S5,AC16)</f>
        <v>8.6326860841423958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8.6326860841423958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65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65</v>
      </c>
      <c r="D17" s="32" t="s">
        <v>756</v>
      </c>
      <c r="E17" s="33">
        <v>1</v>
      </c>
      <c r="F17" s="36">
        <v>2</v>
      </c>
      <c r="G17" s="36">
        <v>2</v>
      </c>
      <c r="H17" s="38" t="str">
        <f>IF(I17="","",$I$14)</f>
        <v>SCOUTING</v>
      </c>
      <c r="I17" s="34">
        <v>8</v>
      </c>
      <c r="J17" s="13" t="s">
        <v>4</v>
      </c>
      <c r="K17" s="13" t="s">
        <v>62</v>
      </c>
      <c r="L17" s="13" t="s">
        <v>7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65</v>
      </c>
      <c r="D18" s="32" t="s">
        <v>757</v>
      </c>
      <c r="E18" s="33">
        <v>1</v>
      </c>
      <c r="F18" s="36">
        <v>19</v>
      </c>
      <c r="G18" s="36">
        <v>12</v>
      </c>
      <c r="H18" s="38" t="str">
        <f t="shared" ref="H18:H81" si="8">IF(I18="","",$I$14)</f>
        <v>SCOUTING</v>
      </c>
      <c r="I18" s="34">
        <v>113</v>
      </c>
      <c r="J18" s="13" t="s">
        <v>4</v>
      </c>
      <c r="K18" s="13" t="s">
        <v>62</v>
      </c>
      <c r="L18" s="13" t="s">
        <v>5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2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65</v>
      </c>
      <c r="D19" s="32" t="s">
        <v>758</v>
      </c>
      <c r="E19" s="33">
        <v>1</v>
      </c>
      <c r="F19" s="36">
        <v>23</v>
      </c>
      <c r="G19" s="36">
        <v>16</v>
      </c>
      <c r="H19" s="38" t="str">
        <f t="shared" si="8"/>
        <v>SCOUTING</v>
      </c>
      <c r="I19" s="34">
        <v>144</v>
      </c>
      <c r="J19" s="13" t="s">
        <v>4</v>
      </c>
      <c r="K19" s="13" t="s">
        <v>63</v>
      </c>
      <c r="L19" s="13" t="s">
        <v>5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U2025</v>
      </c>
      <c r="C20" s="31">
        <f t="shared" si="3"/>
        <v>65</v>
      </c>
      <c r="D20" s="32" t="s">
        <v>759</v>
      </c>
      <c r="E20" s="33">
        <v>2</v>
      </c>
      <c r="F20" s="36">
        <v>37</v>
      </c>
      <c r="G20" s="36">
        <v>38</v>
      </c>
      <c r="H20" s="38" t="str">
        <f t="shared" si="8"/>
        <v>SCOUTING</v>
      </c>
      <c r="I20" s="34">
        <v>264</v>
      </c>
      <c r="J20" s="13" t="s">
        <v>4</v>
      </c>
      <c r="K20" s="13" t="s">
        <v>62</v>
      </c>
      <c r="L20" s="13" t="s">
        <v>48</v>
      </c>
      <c r="M20" s="13" t="s">
        <v>27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U2025</v>
      </c>
      <c r="C21" s="31">
        <f t="shared" si="3"/>
        <v>65</v>
      </c>
      <c r="D21" s="32" t="s">
        <v>759</v>
      </c>
      <c r="E21" s="33">
        <v>2</v>
      </c>
      <c r="F21" s="36">
        <v>37</v>
      </c>
      <c r="G21" s="36">
        <v>38</v>
      </c>
      <c r="H21" s="38" t="str">
        <f t="shared" si="8"/>
        <v>SCOUTING</v>
      </c>
      <c r="I21" s="34">
        <v>264</v>
      </c>
      <c r="J21" s="13" t="s">
        <v>4</v>
      </c>
      <c r="K21" s="13" t="s">
        <v>62</v>
      </c>
      <c r="L21" s="13" t="s">
        <v>6</v>
      </c>
      <c r="M21" s="13" t="s">
        <v>12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>U2025</v>
      </c>
      <c r="C22" s="31">
        <f t="shared" si="3"/>
        <v>65</v>
      </c>
      <c r="D22" s="32" t="s">
        <v>760</v>
      </c>
      <c r="E22" s="33">
        <v>3</v>
      </c>
      <c r="F22" s="36">
        <v>41</v>
      </c>
      <c r="G22" s="36">
        <v>38</v>
      </c>
      <c r="H22" s="38" t="str">
        <f t="shared" si="8"/>
        <v>SCOUTING</v>
      </c>
      <c r="I22" s="34">
        <v>306</v>
      </c>
      <c r="J22" s="13" t="s">
        <v>4</v>
      </c>
      <c r="K22" s="13" t="s">
        <v>63</v>
      </c>
      <c r="L22" s="13" t="s">
        <v>5</v>
      </c>
      <c r="M22" s="13" t="s">
        <v>28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>U2025</v>
      </c>
      <c r="C23" s="31">
        <f t="shared" si="3"/>
        <v>65</v>
      </c>
      <c r="D23" s="32" t="s">
        <v>761</v>
      </c>
      <c r="E23" s="33">
        <v>4</v>
      </c>
      <c r="F23" s="36">
        <v>73</v>
      </c>
      <c r="G23" s="36">
        <v>80</v>
      </c>
      <c r="H23" s="38" t="str">
        <f t="shared" si="8"/>
        <v>SCOUTING</v>
      </c>
      <c r="I23" s="34">
        <v>597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REPORT_U2025065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"U2025065"</v>
      </c>
      <c r="F3" s="45" t="str">
        <f t="shared" ref="F3:F16" si="0">""""&amp;B3&amp;"""" &amp; " : " &amp;C3&amp;","</f>
        <v>"name" : "U2025065",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"U065"</v>
      </c>
      <c r="F4" s="45" t="str">
        <f t="shared" si="0"/>
        <v>"cod" : "U065",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065</v>
      </c>
      <c r="F6" s="45" t="str">
        <f t="shared" si="0"/>
        <v>"number" : 065,</v>
      </c>
    </row>
    <row r="7" spans="2:6" x14ac:dyDescent="0.2">
      <c r="B7" s="43" t="s">
        <v>116</v>
      </c>
      <c r="C7" s="43" t="str">
        <f ca="1">""""&amp;TEXT('SCOUT &amp; LOGISTICS'!B3,"dd/mm/aaaa")&amp;""""</f>
        <v>"11/11/Tuesday"</v>
      </c>
      <c r="F7" s="45" t="str">
        <f t="shared" ca="1" si="0"/>
        <v>"date" : "11/11/Tuesday",</v>
      </c>
    </row>
    <row r="8" spans="2:6" x14ac:dyDescent="0.2">
      <c r="B8" s="43" t="s">
        <v>125</v>
      </c>
      <c r="C8" s="43" t="str">
        <f>""""&amp;'SCOUT &amp; LOGISTICS'!D4 &amp;""""</f>
        <v>"Aris Thessaloniki Betsson"</v>
      </c>
      <c r="F8" s="45" t="str">
        <f t="shared" si="0"/>
        <v>"home_team" : "Aris Thessaloniki Betsson",</v>
      </c>
    </row>
    <row r="9" spans="2:6" x14ac:dyDescent="0.2">
      <c r="B9" s="43" t="s">
        <v>126</v>
      </c>
      <c r="C9" s="43" t="str">
        <f>""""&amp;'SCOUT &amp; LOGISTICS'!D5&amp;""""</f>
        <v>"Bahcesehir College Istanbul"</v>
      </c>
      <c r="F9" s="45" t="str">
        <f t="shared" si="0"/>
        <v>"away_team" : "Bahcesehir College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"ELISAVET SAMARA"</v>
      </c>
      <c r="F11" s="45" t="str">
        <f t="shared" si="0"/>
        <v>"Caller_1" : "ELISAVET SAMARA",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"VASILEIOS VOTSARIS"</v>
      </c>
      <c r="F12" s="45" t="str">
        <f t="shared" si="0"/>
        <v>"Caller_2" : "VASILEIOS VOTSARIS",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"NATASA TZIKA"</v>
      </c>
      <c r="F13" s="45" t="str">
        <f t="shared" si="0"/>
        <v>"Timerkeeper" : "NATASA TZIKA",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"CHRYSOULA PROESTOU"</v>
      </c>
      <c r="F14" s="45" t="str">
        <f t="shared" si="0"/>
        <v>"Shotclock" : "CHRYSOULA PROESTOU",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618</v>
      </c>
      <c r="F25" s="45" t="str">
        <f t="shared" ref="F25:F48" si="1">""""&amp;C25&amp;"""" &amp; " : " &amp;D25&amp;","</f>
        <v>"total_actions" : 618,</v>
      </c>
    </row>
    <row r="26" spans="2:6" x14ac:dyDescent="0.2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communication and procedures. Good general scouting, only to review the criteria on RB/Team RB, Good job!"</v>
      </c>
      <c r="F51" s="45" t="str">
        <f>""""&amp;B51&amp;"""" &amp; " : " &amp;C51&amp;","</f>
        <v>"comments" : "Good communication and procedures. Good general scouting, only to review the criteria on RB/Team RB, Good job!",</v>
      </c>
    </row>
    <row r="52" spans="2:6" x14ac:dyDescent="0.2">
      <c r="B52" s="43" t="s">
        <v>153</v>
      </c>
      <c r="C52" s="43" t="str">
        <f>TEXT('SCOUT &amp; LOGISTICS'!F1,"0,0")</f>
        <v>07_065_ARI_BAH_U2025</v>
      </c>
      <c r="F52" s="45" t="str">
        <f>""""&amp;B52&amp;"""" &amp; " : " &amp;C52</f>
        <v>"result" : 07_065_ARI_BAH_U2025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U065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11/11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Aris Thessaloniki Betsson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Bahcesehir College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KONSTANTINOS KRANIOTIS</v>
      </c>
      <c r="C8" s="201"/>
      <c r="D8" s="201"/>
      <c r="E8" s="201"/>
      <c r="F8" s="201"/>
      <c r="G8" s="201" t="str">
        <f>IF('SCOUT &amp; LOGISTICS'!D7="","",'SCOUT &amp; LOGISTICS'!D7)</f>
        <v>ELISAVET SAMARA</v>
      </c>
      <c r="H8" s="201"/>
      <c r="I8" s="201"/>
      <c r="J8" s="201"/>
      <c r="K8" s="201"/>
      <c r="L8" s="201" t="str">
        <f>IF('SCOUT &amp; LOGISTICS'!D8="","",'SCOUT &amp; LOGISTICS'!D8)</f>
        <v>VASILEIOS VOTSARIS</v>
      </c>
      <c r="M8" s="201"/>
      <c r="N8" s="201"/>
      <c r="O8" s="201"/>
      <c r="P8" s="201"/>
      <c r="Q8" s="201" t="str">
        <f>IF('SCOUT &amp; LOGISTICS'!D9="","",'SCOUT &amp; LOGISTICS'!D9)</f>
        <v>NATASA TZIKA</v>
      </c>
      <c r="R8" s="201"/>
      <c r="S8" s="201"/>
      <c r="T8" s="201"/>
      <c r="U8" s="201"/>
      <c r="V8" s="201" t="str">
        <f>IF('SCOUT &amp; LOGISTICS'!D10="","",'SCOUT &amp; LOGISTICS'!D10)</f>
        <v>CHRYSOULA PROESTOU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.5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5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5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618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7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1.1326860841423949E-2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5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5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3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5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7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5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Good communication and procedures. Good general scouting, only to review the criteria on RB/Team RB,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8.6326860841423958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F5387B2-836C-4598-95DD-4140E1F06DF2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2025-11-11T14:15:47Z</cp:lastPrinted>
  <dcterms:created xsi:type="dcterms:W3CDTF">2023-09-19T19:50:35Z</dcterms:created>
  <dcterms:modified xsi:type="dcterms:W3CDTF">2025-11-12T15:57:05Z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