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0" documentId="8_{BD1B64F0-B701-4C0A-B994-58B9E1D090E5}" xr6:coauthVersionLast="47" xr6:coauthVersionMax="47" xr10:uidLastSave="{B5E08A9F-9B74-41D4-BCAE-12373B6083FC}"/>
  <bookViews>
    <workbookView xWindow="-4635" yWindow="-14025" windowWidth="26490" windowHeight="126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<sst xmlns="http://schemas.openxmlformats.org/spreadsheetml/2006/main" count="3255" uniqueCount="761">
  <si>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</si>
  <si>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</si>
  <si>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</si>
  <si>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</si>
  <si>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</si>
  <si>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</si>
  <si>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</si>
  <si>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</si>
  <si>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</si>
  <si>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</si>
  <si>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</si>
  <si>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</si>
  <si>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</si>
  <si>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</si>
  <si>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</si>
  <si>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</si>
  <si>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</si>
  <si>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</si>
  <si>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</si>
  <si>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</si>
  <si>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</si>
  <si>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</si>
  <si>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</si>
  <si>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</si>
  <si>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</si>
  <si>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</si>
  <si>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</si>
  <si>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</si>
  <si>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</si>
  <si>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</si>
  <si>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</si>
  <si>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</si>
  <si>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</si>
  <si>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</si>
  <si>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</si>
  <si>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</si>
  <si>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</si>
  <si>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</si>
  <si>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</si>
  <si>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</si>
  <si>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</si>
  <si>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</si>
  <si>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</si>
  <si>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</si>
  <si>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</si>
  <si>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</si>
  <si>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</si>
  <si>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</si>
  <si>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</si>
  <si>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</si>
  <si>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</si>
  <si>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</si>
  <si>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</si>
  <si>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</si>
  <si>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</si>
  <si>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</si>
  <si>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</si>
  <si>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</si>
  <si>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</si>
  <si>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</si>
  <si>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</si>
  <si>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</si>
  <si>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</si>
  <si>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</si>
  <si>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</si>
  <si>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</si>
  <si>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</si>
  <si>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</si>
  <si>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</si>
  <si>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</si>
  <si>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</si>
  <si>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</si>
  <si>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</si>
  <si>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</si>
  <si>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</si>
  <si>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</si>
  <si>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</si>
  <si>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</si>
  <si>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</si>
  <si>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</si>
  <si>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</si>
  <si>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</si>
  <si>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</si>
  <si>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</si>
  <si>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</si>
  <si>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</si>
  <si>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</si>
  <si>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</si>
  <si>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</si>
  <si>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</si>
  <si>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</si>
  <si>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</si>
  <si>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</si>
  <si>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</si>
  <si>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</si>
  <si>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</si>
  <si>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</si>
  <si>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</si>
  <si>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</si>
  <si>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</si>
  <si>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</si>
  <si>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</si>
  <si>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</si>
  <si>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</si>
  <si>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</si>
  <si>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</si>
  <si>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</si>
  <si>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</si>
  <si>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</si>
  <si>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</si>
  <si>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</si>
  <si>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</si>
  <si>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</si>
  <si>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</si>
  <si>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</si>
  <si>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</si>
  <si>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</si>
  <si>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</si>
  <si>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</si>
  <si>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</si>
  <si>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</si>
  <si>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</si>
  <si>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</si>
  <si>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</si>
  <si>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</si>
  <si>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</si>
  <si>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</si>
  <si>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</si>
  <si>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</si>
  <si>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</si>
  <si>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</si>
  <si>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</si>
  <si>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</si>
  <si>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</si>
  <si>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</si>
  <si>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</si>
  <si>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</si>
  <si>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</si>
  <si>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</si>
  <si>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</si>
  <si>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</si>
  <si>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</si>
  <si>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</si>
  <si>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</si>
  <si>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</si>
  <si>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</si>
  <si>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</si>
  <si>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</si>
  <si>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</si>
  <si>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</si>
  <si>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</si>
  <si>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</si>
  <si>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</si>
  <si>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</si>
  <si>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</si>
  <si>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</si>
  <si>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</si>
  <si>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</si>
  <si>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</si>
  <si>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</si>
  <si>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</si>
  <si>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</si>
  <si>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</si>
  <si>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</si>
  <si>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</si>
  <si>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</si>
  <si>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</si>
  <si>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</si>
  <si>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</si>
  <si>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</si>
  <si>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</si>
  <si>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</si>
  <si>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</si>
  <si>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</si>
  <si>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</si>
  <si>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</si>
  <si>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</si>
  <si>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</si>
  <si>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</si>
  <si>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</si>
  <si>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</si>
  <si>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</si>
  <si>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</si>
  <si>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</si>
  <si>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</si>
  <si>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</si>
  <si>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</si>
  <si>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</si>
  <si>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</si>
  <si>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</si>
  <si>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</si>
  <si>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</si>
  <si>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</si>
  <si>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</si>
  <si>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</si>
  <si>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</si>
  <si>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</si>
  <si>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</si>
  <si>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</si>
  <si>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</si>
  <si>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</si>
  <si>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</si>
  <si>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</si>
  <si>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</si>
  <si>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</si>
  <si>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</si>
  <si>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</si>
  <si>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</si>
  <si>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</si>
  <si>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</si>
  <si>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</si>
  <si>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</si>
  <si>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</si>
  <si>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</si>
  <si>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</si>
  <si>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</si>
  <si>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</si>
  <si>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</si>
  <si>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</si>
  <si>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</si>
  <si>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</si>
  <si>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</si>
  <si>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</si>
  <si>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</si>
  <si>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</si>
  <si>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</si>
  <si>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</si>
  <si>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</si>
  <si>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</si>
  <si>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</si>
  <si>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</si>
  <si>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</si>
  <si>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</si>
  <si>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</si>
  <si>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</si>
  <si>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</si>
  <si>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</si>
  <si>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</si>
  <si>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</si>
  <si>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</si>
  <si>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</si>
  <si>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</si>
  <si>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</si>
  <si>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</si>
  <si>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</si>
  <si>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</si>
  <si>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</si>
  <si>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</si>
  <si>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</si>
  <si>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</si>
  <si>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</si>
  <si>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</si>
  <si>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</si>
  <si>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</si>
  <si>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</si>
  <si>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</si>
  <si>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</si>
  <si>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</si>
  <si>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</si>
  <si>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</si>
  <si>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</si>
  <si>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</si>
  <si>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</si>
  <si>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</si>
  <si>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</si>
  <si>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</si>
  <si>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</si>
  <si>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</si>
  <si>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</si>
  <si>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</si>
  <si>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</si>
  <si>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</si>
  <si>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</si>
  <si>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</si>
  <si>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</si>
  <si>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</si>
  <si>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</si>
  <si>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</si>
  <si>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</si>
  <si>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</si>
  <si>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</si>
  <si>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</si>
  <si>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</si>
  <si>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</si>
  <si>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</si>
  <si>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</si>
  <si>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</si>
  <si>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</si>
  <si>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</si>
  <si>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</si>
  <si>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</si>
  <si>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</si>
  <si>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</si>
  <si>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</si>
  <si>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</si>
  <si>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</si>
  <si>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</si>
  <si>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</si>
  <si>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</si>
  <si>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</si>
  <si>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</si>
  <si>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</si>
  <si>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</si>
  <si>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</si>
  <si>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</si>
  <si>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</si>
  <si>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</si>
  <si>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</si>
  <si>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</si>
  <si>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</si>
  <si>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</si>
  <si>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</si>
  <si>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</si>
  <si>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</si>
  <si>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</si>
  <si>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</si>
  <si>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</si>
  <si>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</si>
  <si>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</si>
  <si>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</si>
  <si>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</si>
  <si>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</si>
  <si>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</si>
  <si>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</si>
  <si>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</si>
  <si>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</si>
  <si>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</si>
  <si>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</si>
  <si>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</si>
  <si>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</si>
  <si>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</si>
  <si>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</si>
  <si>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</si>
  <si>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</si>
  <si>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</si>
  <si>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</si>
  <si>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</si>
  <si>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</si>
  <si>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</si>
  <si>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</si>
  <si>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</si>
  <si>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</si>
  <si>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</si>
  <si>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</si>
  <si>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</si>
  <si>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</si>
  <si>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</si>
  <si>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</si>
  <si>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</si>
  <si>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</si>
  <si>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</si>
  <si>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</si>
  <si>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</si>
  <si>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</si>
  <si>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</si>
  <si>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</si>
  <si>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</si>
  <si>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</si>
  <si>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</si>
  <si>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</si>
  <si>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</si>
  <si>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</si>
  <si>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</si>
  <si>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</si>
  <si>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</si>
  <si>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</si>
  <si>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</si>
  <si>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</si>
  <si>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</si>
  <si>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</si>
  <si>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</si>
  <si>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</si>
  <si>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</si>
  <si>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</si>
  <si>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</si>
  <si>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</si>
  <si>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</si>
  <si>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</si>
  <si>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</si>
  <si>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</si>
  <si>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</si>
  <si>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</si>
  <si>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</si>
  <si>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</si>
  <si>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</si>
  <si>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</si>
  <si>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</si>
  <si>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</si>
  <si>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</si>
  <si>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</si>
  <si>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</si>
  <si>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</si>
  <si>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</si>
  <si>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</si>
  <si>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</si>
  <si>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</si>
  <si>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</si>
  <si>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</si>
  <si>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</si>
  <si>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</si>
  <si>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</si>
  <si>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</si>
  <si>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</si>
  <si>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</si>
  <si>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</si>
  <si>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</si>
  <si>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</si>
  <si>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</si>
  <si>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</si>
  <si>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</si>
  <si>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</si>
  <si>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</si>
  <si>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</si>
  <si>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</si>
  <si>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</si>
  <si>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</si>
  <si>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</si>
  <si>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</si>
  <si>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</si>
  <si>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</si>
  <si>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</si>
  <si>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</si>
  <si>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</si>
  <si>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</si>
  <si>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</si>
  <si>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</si>
  <si>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</si>
  <si>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</si>
  <si>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</si>
  <si>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</si>
  <si>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</si>
  <si>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</si>
  <si>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</si>
  <si>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</si>
  <si>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</si>
  <si>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</si>
  <si>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</si>
  <si>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</si>
  <si>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</si>
  <si>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</si>
  <si>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</si>
  <si>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</si>
  <si>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</si>
  <si>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</si>
  <si>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</si>
  <si>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</si>
  <si>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</si>
  <si>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</si>
  <si>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</si>
  <si>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</si>
  <si>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</si>
  <si>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</si>
  <si>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</si>
  <si>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</si>
  <si>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</si>
  <si>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</si>
  <si>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</si>
  <si>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</si>
  <si>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</si>
  <si>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</si>
  <si>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</si>
  <si>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</si>
  <si>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</si>
  <si>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</si>
  <si>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</si>
  <si>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</si>
  <si>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</si>
  <si>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</si>
  <si>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</si>
  <si>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</si>
  <si>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</si>
  <si>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</si>
  <si>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</si>
  <si>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</si>
  <si>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</si>
  <si>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</si>
  <si>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</si>
  <si>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</si>
  <si>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</si>
  <si>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</si>
  <si>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</si>
  <si>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</si>
  <si>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</si>
  <si>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</si>
  <si>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</si>
  <si>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</si>
  <si>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</si>
  <si>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</si>
  <si>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</si>
  <si>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</si>
  <si>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</si>
  <si>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</si>
  <si>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</si>
  <si>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</si>
  <si>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</si>
  <si>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</si>
  <si>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</si>
  <si>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</si>
  <si>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</si>
  <si>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</si>
  <si>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</si>
  <si>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</si>
  <si>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</si>
  <si>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</si>
  <si>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</si>
  <si>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</si>
  <si>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</si>
  <si>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</si>
  <si>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</si>
  <si>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</si>
  <si>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</si>
  <si>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</si>
  <si>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</si>
  <si>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</si>
  <si>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</si>
  <si>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</si>
  <si>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</si>
  <si>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</si>
  <si>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</si>
  <si>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</si>
  <si>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</si>
  <si>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</si>
  <si>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</si>
  <si>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</si>
  <si>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</si>
  <si>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</si>
  <si>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</si>
  <si>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</si>
  <si>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</si>
  <si>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</si>
  <si>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</si>
  <si>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</si>
  <si>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</si>
  <si>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</si>
  <si>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</si>
  <si>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</si>
  <si>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</si>
  <si>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</si>
  <si>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</si>
  <si>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</si>
  <si>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</si>
  <si>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</si>
  <si>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</si>
  <si>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</si>
  <si>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</si>
  <si>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</si>
  <si>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</si>
  <si>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</si>
  <si>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</si>
  <si>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</si>
  <si>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</si>
  <si>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</si>
  <si>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</si>
  <si>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</si>
  <si>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</si>
  <si>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</si>
  <si>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</si>
  <si>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</si>
  <si>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</si>
  <si>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</si>
  <si>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</si>
  <si>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</si>
  <si>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</si>
  <si>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</si>
  <si>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</si>
  <si>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</si>
  <si>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</si>
  <si>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</si>
  <si>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</si>
  <si>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</si>
  <si>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</si>
  <si>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</si>
  <si>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</si>
  <si>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</si>
  <si>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</si>
  <si>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</si>
  <si>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</si>
  <si>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</si>
  <si>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</si>
  <si>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</si>
  <si>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</si>
  <si>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</si>
  <si>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</si>
  <si>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</si>
  <si>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</si>
  <si>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</si>
  <si>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</si>
  <si>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</si>
  <si>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</si>
  <si>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</si>
  <si>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</si>
  <si>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</si>
  <si>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</si>
  <si>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</si>
  <si>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</si>
  <si>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</si>
  <si>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</si>
  <si>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</si>
  <si>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</si>
  <si>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</si>
  <si>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</si>
  <si>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</si>
  <si>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</si>
  <si>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</si>
  <si>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</si>
  <si>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</si>
  <si>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</si>
  <si>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</si>
  <si>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</si>
  <si>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</si>
  <si>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</si>
  <si>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</si>
  <si>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</si>
  <si>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</si>
  <si>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</si>
  <si>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</si>
  <si>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</si>
  <si>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</si>
  <si>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</si>
  <si>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</si>
  <si>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</si>
  <si>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</si>
  <si>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</si>
  <si>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</si>
  <si>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</si>
  <si>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</si>
  <si>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</si>
  <si>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</si>
  <si>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</si>
  <si>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</si>
  <si>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</si>
  <si>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</si>
  <si>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</si>
  <si>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</si>
  <si>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</si>
  <si>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</si>
  <si>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</si>
  <si>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</si>
  <si>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</si>
  <si>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</si>
  <si>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</si>
  <si>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</si>
  <si>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</si>
  <si>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</si>
  <si>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</si>
  <si>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</si>
  <si>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</si>
  <si>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</si>
  <si>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</si>
  <si>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</si>
  <si>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</si>
  <si>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</si>
  <si>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</si>
  <si>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</si>
  <si>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</si>
  <si>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</si>
  <si>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</si>
  <si>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</si>
  <si>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</si>
  <si>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</si>
  <si>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</si>
  <si>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</si>
  <si>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</si>
  <si>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</si>
  <si>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</si>
  <si>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</si>
  <si>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</si>
  <si>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</si>
  <si>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</si>
  <si>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</si>
  <si>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</si>
  <si>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</si>
  <si>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</si>
  <si>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</si>
  <si>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</si>
  <si>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</si>
  <si>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</si>
  <si>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</si>
  <si>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</si>
  <si>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</si>
  <si>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</si>
  <si>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</si>
  <si>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</si>
  <si>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</si>
  <si>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</si>
  <si>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</si>
  <si>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</si>
  <si>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</si>
  <si>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</si>
  <si>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</si>
  <si>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</si>
  <si>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</si>
  <si>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</si>
  <si>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</si>
  <si>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</si>
  <si>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</si>
  <si>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</si>
  <si>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</si>
  <si>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</si>
  <si>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</si>
  <si>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</si>
  <si>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</si>
  <si>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</si>
  <si>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</si>
  <si>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</si>
  <si>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</si>
  <si>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</si>
  <si>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</si>
  <si>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</si>
  <si>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</si>
  <si>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</si>
  <si>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</si>
  <si>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</si>
  <si>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</si>
  <si>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</si>
  <si>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</si>
  <si>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</si>
  <si>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</si>
  <si>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</si>
  <si>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</si>
  <si>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</si>
  <si>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</si>
  <si>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</si>
  <si>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</si>
  <si>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</si>
  <si>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</si>
  <si>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</si>
  <si>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</si>
  <si>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</si>
  <si>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</si>
  <si>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</si>
  <si>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</si>
  <si>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</si>
  <si>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</si>
  <si>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</si>
  <si>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</si>
  <si>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</si>
  <si>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</si>
  <si>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</si>
  <si>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</si>
  <si>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</si>
  <si>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</si>
  <si>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</si>
  <si>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</si>
  <si>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</si>
  <si>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</si>
  <si>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</si>
  <si>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</si>
  <si>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</si>
  <si>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E</t>
  </si>
  <si>
    <t>C:\Users\mario.enjuanes\EUROLEAGUE\EB STATS - General\SEASON 2025-26\Reports\Euroleague</t>
  </si>
  <si>
    <t>SMPOKOS, EMMANOUIL</t>
  </si>
  <si>
    <t>KAROUMPALOU, ATHINA</t>
  </si>
  <si>
    <t>MORAITIS, PANAGIOTIS</t>
  </si>
  <si>
    <t>MERIKA, MARIA</t>
  </si>
  <si>
    <t>STRAVOPOULOS, VASILEIOS</t>
  </si>
  <si>
    <t>KALESIORIS, ANASTASIOS</t>
  </si>
  <si>
    <t>C:\Users\mario.enjuanes\EUROLEAGUE\EB STATS - General\SEASON 2025-26\Reports\Euroleague\PDF</t>
  </si>
  <si>
    <t>00:56</t>
  </si>
  <si>
    <t>2:55</t>
  </si>
  <si>
    <t>Very good job. A fast-paced match!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</si>
</sst>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8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07_065_PAN_TEL_E2025</v>
      </c>
      <c r="G1" s="5"/>
      <c r="H1" s="5"/>
      <c r="I1" s="5"/>
      <c r="J1" s="8" t="s">
        <v>707</v>
      </c>
      <c r="K1" s="121" t="s">
        <v>750</v>
      </c>
      <c r="L1" s="121"/>
      <c r="M1" s="122" t="s">
        <v>239</v>
      </c>
      <c r="N1" s="121" t="s">
        <v>757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65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45958.885416666664</v>
      </c>
      <c r="C3" s="157"/>
      <c r="D3" s="39">
        <v>589</v>
      </c>
      <c r="E3" s="29"/>
      <c r="F3" s="26">
        <f>SUBTOTAL(3,I17:I106)</f>
        <v>2</v>
      </c>
      <c r="G3" s="27">
        <f>IF(OR(D3="",D3=0),"",F3/D3)</f>
        <v>3.3955857385398981E-3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Panathinaikos AKTOR Athens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742</v>
      </c>
      <c r="L4" s="5"/>
      <c r="M4" s="167" t="s">
        <v>760</v>
      </c>
      <c r="N4" s="168"/>
      <c r="O4" s="2"/>
      <c r="P4" s="2"/>
      <c r="Q4" s="84" t="s">
        <v>175</v>
      </c>
      <c r="R4" s="94">
        <f>(IF(G3="",0,G3))</f>
        <v>3.3955857385398981E-3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Maccabi Rapyd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0.3395585738539898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3.8395585738539899</v>
      </c>
      <c r="N7" s="58"/>
      <c r="O7" s="2"/>
      <c r="P7" s="2"/>
      <c r="Q7" s="86">
        <f>SUM(R5,S5,AC16)</f>
        <v>3.8395585738539899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3.8395585738539899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754</v>
      </c>
      <c r="E9" s="179"/>
      <c r="F9" s="179"/>
      <c r="G9" s="18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65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748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>E2025</v>
      </c>
      <c r="C87" s="31">
        <f t="shared" si="14"/>
        <v>65</v>
      </c>
      <c r="D87" s="32" t="s">
        <v>758</v>
      </c>
      <c r="E87" s="33">
        <v>2</v>
      </c>
      <c r="F87" s="36">
        <v>47</v>
      </c>
      <c r="G87" s="36">
        <v>49</v>
      </c>
      <c r="H87" s="38" t="str">
        <f t="shared" si="16"/>
        <v>SCOUTING</v>
      </c>
      <c r="I87" s="34">
        <v>279</v>
      </c>
      <c r="J87" s="13" t="s">
        <v>4</v>
      </c>
      <c r="K87" s="13" t="s">
        <v>63</v>
      </c>
      <c r="L87" s="13" t="s">
        <v>7</v>
      </c>
      <c r="M87" s="13" t="s">
        <v>12</v>
      </c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>E2025</v>
      </c>
      <c r="C88" s="31">
        <f t="shared" si="14"/>
        <v>65</v>
      </c>
      <c r="D88" s="32" t="s">
        <v>759</v>
      </c>
      <c r="E88" s="33">
        <v>3</v>
      </c>
      <c r="F88" s="36">
        <v>66</v>
      </c>
      <c r="G88" s="36">
        <v>62</v>
      </c>
      <c r="H88" s="38" t="str">
        <f t="shared" si="16"/>
        <v>SCOUTING</v>
      </c>
      <c r="I88" s="34">
        <v>386</v>
      </c>
      <c r="J88" s="13" t="s">
        <v>4</v>
      </c>
      <c r="K88" s="13" t="s">
        <v>63</v>
      </c>
      <c r="L88" s="13" t="s">
        <v>6</v>
      </c>
      <c r="M88" s="13" t="s">
        <v>28</v>
      </c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REPORT_E2025065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"E2025065"</v>
      </c>
      <c r="F3" s="45" t="str">
        <f t="shared" ref="F3:F16" si="0">""""&amp;B3&amp;"""" &amp; " : " &amp;C3&amp;","</f>
        <v>"name" : "E2025065",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"E065"</v>
      </c>
      <c r="F4" s="45" t="str">
        <f t="shared" si="0"/>
        <v>"cod" : "E065",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065</v>
      </c>
      <c r="F6" s="45" t="str">
        <f t="shared" si="0"/>
        <v>"number" : 065,</v>
      </c>
    </row>
    <row r="7" spans="2:6" x14ac:dyDescent="0.2">
      <c r="B7" s="43" t="s">
        <v>116</v>
      </c>
      <c r="C7" s="43" t="str">
        <f ca="1">""""&amp;TEXT('SCOUT &amp; LOGISTICS'!B3,"dd/mm/aaaa")&amp;""""</f>
        <v>"28/10/Tuesday"</v>
      </c>
      <c r="F7" s="45" t="str">
        <f t="shared" ca="1" si="0"/>
        <v>"date" : "28/10/Tuesday",</v>
      </c>
    </row>
    <row r="8" spans="2:6" x14ac:dyDescent="0.2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"SMPOKOS, EMMANOUIL"</v>
      </c>
      <c r="F10" s="45" t="str">
        <f t="shared" si="0"/>
        <v>"Data_entry" : "SMPOKOS, EMMANOUIL",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"KAROUMPALOU, ATHINA"</v>
      </c>
      <c r="F11" s="45" t="str">
        <f t="shared" si="0"/>
        <v>"Caller_1" : "KAROUMPALOU, ATHINA",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"MORAITIS, PANAGIOTIS"</v>
      </c>
      <c r="F12" s="45" t="str">
        <f t="shared" si="0"/>
        <v>"Caller_2" : "MORAITIS, PANAGIOTIS",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"MERIKA, MARIA"</v>
      </c>
      <c r="F13" s="45" t="str">
        <f t="shared" si="0"/>
        <v>"Timerkeeper" : "MERIKA, MARIA",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"STRAVOPOULOS, VASILEIOS"</v>
      </c>
      <c r="F14" s="45" t="str">
        <f t="shared" si="0"/>
        <v>"Shotclock" : "STRAVOPOULOS, VASILEIOS",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"KALESIORIS, ANASTASIOS"</v>
      </c>
      <c r="F15" s="45" t="str">
        <f t="shared" si="0"/>
        <v>"IRS" : "KALESIORIS, ANASTASIOS",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589</v>
      </c>
      <c r="F25" s="45" t="str">
        <f t="shared" ref="F25:F48" si="1">""""&amp;C25&amp;"""" &amp; " : " &amp;D25&amp;","</f>
        <v>"total_actions" : 589,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job. A fast-paced match!"</v>
      </c>
      <c r="F51" s="45" t="str">
        <f>""""&amp;B51&amp;"""" &amp; " : " &amp;C51&amp;","</f>
        <v>"comments" : "Very good job. A fast-paced match!",</v>
      </c>
    </row>
    <row r="52" spans="2:6" x14ac:dyDescent="0.2">
      <c r="B52" s="43" t="s">
        <v>153</v>
      </c>
      <c r="C52" s="43" t="str">
        <f>TEXT('SCOUT &amp; LOGISTICS'!F1,"0,0")</f>
        <v>07_065_PAN_TEL_E2025</v>
      </c>
      <c r="F52" s="45" t="str">
        <f>""""&amp;B52&amp;"""" &amp; " : " &amp;C52</f>
        <v>"result" : 07_065_PAN_TEL_E2025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E065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28/10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Panathinaikos Aktor Athens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Maccabi Rapyd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SMPOKOS, EMMANOUIL</v>
      </c>
      <c r="C8" s="206"/>
      <c r="D8" s="206"/>
      <c r="E8" s="206"/>
      <c r="F8" s="206"/>
      <c r="G8" s="206" t="str">
        <f>IF('SCOUT &amp; LOGISTICS'!D7="","",'SCOUT &amp; LOGISTICS'!D7)</f>
        <v>KAROUMPALOU, ATHINA</v>
      </c>
      <c r="H8" s="206"/>
      <c r="I8" s="206"/>
      <c r="J8" s="206"/>
      <c r="K8" s="206"/>
      <c r="L8" s="206" t="str">
        <f>IF('SCOUT &amp; LOGISTICS'!D8="","",'SCOUT &amp; LOGISTICS'!D8)</f>
        <v>MORAITIS, PANAGIOTIS</v>
      </c>
      <c r="M8" s="206"/>
      <c r="N8" s="206"/>
      <c r="O8" s="206"/>
      <c r="P8" s="206"/>
      <c r="Q8" s="206" t="str">
        <f>IF('SCOUT &amp; LOGISTICS'!D9="","",'SCOUT &amp; LOGISTICS'!D9)</f>
        <v>MERIKA, MARIA</v>
      </c>
      <c r="R8" s="206"/>
      <c r="S8" s="206"/>
      <c r="T8" s="206"/>
      <c r="U8" s="206"/>
      <c r="V8" s="206" t="str">
        <f>IF('SCOUT &amp; LOGISTICS'!D10="","",'SCOUT &amp; LOGISTICS'!D10)</f>
        <v>STRAVOPOULOS, VASILEIOS</v>
      </c>
      <c r="W8" s="206"/>
      <c r="X8" s="206"/>
      <c r="Y8" s="206"/>
      <c r="Z8" s="206"/>
      <c r="AA8" s="206" t="str">
        <f>IF('SCOUT &amp; LOGISTICS'!D11="","",'SCOUT &amp; LOGISTICS'!D11)</f>
        <v>KALESIORIS, ANASTASIOS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589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3.3955857385398981E-3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Very good job. A fast-paced match!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3.8395585738539899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4B47257-E10C-471D-B60C-6A528C2C03ED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2025-10-28T21:26:34Z</cp:lastPrinted>
  <dcterms:created xsi:type="dcterms:W3CDTF">2023-09-19T19:50:35Z</dcterms:created>
  <dcterms:modified xsi:type="dcterms:W3CDTF">2025-10-28T21:26:36Z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