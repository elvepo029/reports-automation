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36" documentId="8_{0C97DA46-9373-41EA-BCD1-985C3CB3B261}" xr6:coauthVersionLast="47" xr6:coauthVersionMax="47" xr10:uidLastSave="{DAD2F48C-CA2F-4E37-9E97-AA4E7273E6B5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<sst xmlns="http://schemas.openxmlformats.org/spreadsheetml/2006/main" count="3309" uniqueCount="771">
  <si>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</si>
  <si>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</si>
  <si>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</si>
  <si>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</si>
  <si>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</si>
  <si>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</si>
  <si>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</si>
  <si>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</si>
  <si>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</si>
  <si>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</si>
  <si>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</si>
  <si>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</si>
  <si>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</si>
  <si>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</si>
  <si>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</si>
  <si>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</si>
  <si>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</si>
  <si>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</si>
  <si>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</si>
  <si>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</si>
  <si>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</si>
  <si>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</si>
  <si>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</si>
  <si>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</si>
  <si>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</si>
  <si>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</si>
  <si>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</si>
  <si>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</si>
  <si>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</si>
  <si>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</si>
  <si>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</si>
  <si>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</si>
  <si>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</si>
  <si>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</si>
  <si>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</si>
  <si>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</si>
  <si>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</si>
  <si>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</si>
  <si>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</si>
  <si>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</si>
  <si>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</si>
  <si>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</si>
  <si>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</si>
  <si>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</si>
  <si>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</si>
  <si>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</si>
  <si>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</si>
  <si>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</si>
  <si>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</si>
  <si>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</si>
  <si>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</si>
  <si>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</si>
  <si>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</si>
  <si>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</si>
  <si>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</si>
  <si>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</si>
  <si>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</si>
  <si>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</si>
  <si>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</si>
  <si>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</si>
  <si>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</si>
  <si>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</si>
  <si>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</si>
  <si>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</si>
  <si>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</si>
  <si>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</si>
  <si>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</si>
  <si>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</si>
  <si>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</si>
  <si>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</si>
  <si>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</si>
  <si>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</si>
  <si>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</si>
  <si>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</si>
  <si>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</si>
  <si>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</si>
  <si>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</si>
  <si>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</si>
  <si>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</si>
  <si>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</si>
  <si>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</si>
  <si>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</si>
  <si>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</si>
  <si>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</si>
  <si>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</si>
  <si>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</si>
  <si>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</si>
  <si>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</si>
  <si>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</si>
  <si>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</si>
  <si>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</si>
  <si>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</si>
  <si>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</si>
  <si>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</si>
  <si>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</si>
  <si>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</si>
  <si>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</si>
  <si>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</si>
  <si>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</si>
  <si>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</si>
  <si>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</si>
  <si>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</si>
  <si>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</si>
  <si>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</si>
  <si>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</si>
  <si>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</si>
  <si>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</si>
  <si>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</si>
  <si>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</si>
  <si>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</si>
  <si>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</si>
  <si>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</si>
  <si>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</si>
  <si>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</si>
  <si>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</si>
  <si>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</si>
  <si>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</si>
  <si>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</si>
  <si>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</si>
  <si>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</si>
  <si>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</si>
  <si>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</si>
  <si>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</si>
  <si>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</si>
  <si>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</si>
  <si>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</si>
  <si>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</si>
  <si>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</si>
  <si>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</si>
  <si>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</si>
  <si>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</si>
  <si>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</si>
  <si>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</si>
  <si>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</si>
  <si>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</si>
  <si>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</si>
  <si>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</si>
  <si>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</si>
  <si>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</si>
  <si>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</si>
  <si>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</si>
  <si>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</si>
  <si>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</si>
  <si>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</si>
  <si>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</si>
  <si>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</si>
  <si>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</si>
  <si>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</si>
  <si>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</si>
  <si>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</si>
  <si>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</si>
  <si>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</si>
  <si>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</si>
  <si>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</si>
  <si>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</si>
  <si>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</si>
  <si>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</si>
  <si>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</si>
  <si>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</si>
  <si>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</si>
  <si>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</si>
  <si>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</si>
  <si>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</si>
  <si>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</si>
  <si>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</si>
  <si>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</si>
  <si>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</si>
  <si>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</si>
  <si>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</si>
  <si>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</si>
  <si>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</si>
  <si>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</si>
  <si>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</si>
  <si>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</si>
  <si>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</si>
  <si>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</si>
  <si>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</si>
  <si>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</si>
  <si>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</si>
  <si>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</si>
  <si>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</si>
  <si>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</si>
  <si>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</si>
  <si>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</si>
  <si>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</si>
  <si>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</si>
  <si>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</si>
  <si>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</si>
  <si>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</si>
  <si>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</si>
  <si>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</si>
  <si>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</si>
  <si>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</si>
  <si>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</si>
  <si>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</si>
  <si>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</si>
  <si>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</si>
  <si>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</si>
  <si>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</si>
  <si>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</si>
  <si>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</si>
  <si>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</si>
  <si>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</si>
  <si>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</si>
  <si>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</si>
  <si>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</si>
  <si>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</si>
  <si>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</si>
  <si>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</si>
  <si>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</si>
  <si>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</si>
  <si>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</si>
  <si>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</si>
  <si>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</si>
  <si>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</si>
  <si>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</si>
  <si>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</si>
  <si>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</si>
  <si>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</si>
  <si>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</si>
  <si>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</si>
  <si>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</si>
  <si>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</si>
  <si>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</si>
  <si>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</si>
  <si>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</si>
  <si>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</si>
  <si>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</si>
  <si>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</si>
  <si>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</si>
  <si>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</si>
  <si>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</si>
  <si>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</si>
  <si>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</si>
  <si>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</si>
  <si>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</si>
  <si>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</si>
  <si>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</si>
  <si>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</si>
  <si>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</si>
  <si>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</si>
  <si>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</si>
  <si>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</si>
  <si>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</si>
  <si>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</si>
  <si>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</si>
  <si>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</si>
  <si>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</si>
  <si>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</si>
  <si>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</si>
  <si>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</si>
  <si>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</si>
  <si>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</si>
  <si>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</si>
  <si>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</si>
  <si>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</si>
  <si>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</si>
  <si>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</si>
  <si>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</si>
  <si>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</si>
  <si>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</si>
  <si>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</si>
  <si>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</si>
  <si>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</si>
  <si>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</si>
  <si>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</si>
  <si>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</si>
  <si>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</si>
  <si>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</si>
  <si>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</si>
  <si>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</si>
  <si>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</si>
  <si>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</si>
  <si>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</si>
  <si>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</si>
  <si>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</si>
  <si>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</si>
  <si>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</si>
  <si>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</si>
  <si>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</si>
  <si>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</si>
  <si>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</si>
  <si>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</si>
  <si>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</si>
  <si>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</si>
  <si>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</si>
  <si>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</si>
  <si>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</si>
  <si>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</si>
  <si>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</si>
  <si>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</si>
  <si>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</si>
  <si>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</si>
  <si>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</si>
  <si>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</si>
  <si>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</si>
  <si>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</si>
  <si>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</si>
  <si>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</si>
  <si>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</si>
  <si>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</si>
  <si>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</si>
  <si>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</si>
  <si>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</si>
  <si>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</si>
  <si>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</si>
  <si>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</si>
  <si>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</si>
  <si>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</si>
  <si>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</si>
  <si>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</si>
  <si>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</si>
  <si>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</si>
  <si>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</si>
  <si>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</si>
  <si>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</si>
  <si>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</si>
  <si>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</si>
  <si>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</si>
  <si>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</si>
  <si>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</si>
  <si>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</si>
  <si>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</si>
  <si>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</si>
  <si>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</si>
  <si>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</si>
  <si>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</si>
  <si>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</si>
  <si>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</si>
  <si>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</si>
  <si>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</si>
  <si>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</si>
  <si>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</si>
  <si>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</si>
  <si>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</si>
  <si>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</si>
  <si>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</si>
  <si>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</si>
  <si>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</si>
  <si>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</si>
  <si>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</si>
  <si>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</si>
  <si>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</si>
  <si>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</si>
  <si>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</si>
  <si>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</si>
  <si>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</si>
  <si>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</si>
  <si>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</si>
  <si>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</si>
  <si>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</si>
  <si>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</si>
  <si>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</si>
  <si>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</si>
  <si>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</si>
  <si>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</si>
  <si>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</si>
  <si>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</si>
  <si>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</si>
  <si>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</si>
  <si>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</si>
  <si>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</si>
  <si>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</si>
  <si>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</si>
  <si>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</si>
  <si>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</si>
  <si>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</si>
  <si>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</si>
  <si>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</si>
  <si>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</si>
  <si>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</si>
  <si>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</si>
  <si>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</si>
  <si>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</si>
  <si>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</si>
  <si>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</si>
  <si>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</si>
  <si>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</si>
  <si>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</si>
  <si>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</si>
  <si>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</si>
  <si>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</si>
  <si>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</si>
  <si>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</si>
  <si>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</si>
  <si>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</si>
  <si>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</si>
  <si>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</si>
  <si>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</si>
  <si>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</si>
  <si>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</si>
  <si>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</si>
  <si>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</si>
  <si>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</si>
  <si>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</si>
  <si>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</si>
  <si>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</si>
  <si>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</si>
  <si>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</si>
  <si>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</si>
  <si>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</si>
  <si>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</si>
  <si>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</si>
  <si>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</si>
  <si>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</si>
  <si>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</si>
  <si>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</si>
  <si>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</si>
  <si>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</si>
  <si>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</si>
  <si>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</si>
  <si>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</si>
  <si>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</si>
  <si>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</si>
  <si>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</si>
  <si>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</si>
  <si>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</si>
  <si>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</si>
  <si>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</si>
  <si>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</si>
  <si>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</si>
  <si>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</si>
  <si>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</si>
  <si>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</si>
  <si>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</si>
  <si>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</si>
  <si>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</si>
  <si>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</si>
  <si>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</si>
  <si>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</si>
  <si>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</si>
  <si>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</si>
  <si>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</si>
  <si>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</si>
  <si>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</si>
  <si>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</si>
  <si>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</si>
  <si>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</si>
  <si>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</si>
  <si>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</si>
  <si>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</si>
  <si>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</si>
  <si>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</si>
  <si>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</si>
  <si>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</si>
  <si>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</si>
  <si>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</si>
  <si>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</si>
  <si>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</si>
  <si>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</si>
  <si>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</si>
  <si>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</si>
  <si>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</si>
  <si>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</si>
  <si>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</si>
  <si>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</si>
  <si>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</si>
  <si>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</si>
  <si>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</si>
  <si>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</si>
  <si>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</si>
  <si>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</si>
  <si>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</si>
  <si>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</si>
  <si>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</si>
  <si>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</si>
  <si>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</si>
  <si>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</si>
  <si>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</si>
  <si>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</si>
  <si>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</si>
  <si>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</si>
  <si>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</si>
  <si>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</si>
  <si>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</si>
  <si>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</si>
  <si>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</si>
  <si>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</si>
  <si>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</si>
  <si>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</si>
  <si>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</si>
  <si>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</si>
  <si>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</si>
  <si>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</si>
  <si>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</si>
  <si>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</si>
  <si>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</si>
  <si>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</si>
  <si>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</si>
  <si>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</si>
  <si>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</si>
  <si>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</si>
  <si>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</si>
  <si>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</si>
  <si>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</si>
  <si>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</si>
  <si>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</si>
  <si>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</si>
  <si>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</si>
  <si>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</si>
  <si>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</si>
  <si>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</si>
  <si>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</si>
  <si>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</si>
  <si>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</si>
  <si>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</si>
  <si>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</si>
  <si>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</si>
  <si>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</si>
  <si>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</si>
  <si>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</si>
  <si>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</si>
  <si>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</si>
  <si>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</si>
  <si>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</si>
  <si>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</si>
  <si>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</si>
  <si>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</si>
  <si>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</si>
  <si>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</si>
  <si>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</si>
  <si>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</si>
  <si>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</si>
  <si>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</si>
  <si>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</si>
  <si>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</si>
  <si>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</si>
  <si>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</si>
  <si>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</si>
  <si>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</si>
  <si>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</si>
  <si>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</si>
  <si>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</si>
  <si>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</si>
  <si>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</si>
  <si>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</si>
  <si>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</si>
  <si>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</si>
  <si>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</si>
  <si>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</si>
  <si>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</si>
  <si>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</si>
  <si>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</si>
  <si>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</si>
  <si>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</si>
  <si>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</si>
  <si>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</si>
  <si>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</si>
  <si>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</si>
  <si>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</si>
  <si>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</si>
  <si>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</si>
  <si>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</si>
  <si>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</si>
  <si>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</si>
  <si>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</si>
  <si>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</si>
  <si>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</si>
  <si>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</si>
  <si>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</si>
  <si>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</si>
  <si>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</si>
  <si>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</si>
  <si>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</si>
  <si>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</si>
  <si>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</si>
  <si>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</si>
  <si>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</si>
  <si>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</si>
  <si>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</si>
  <si>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</si>
  <si>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</si>
  <si>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</si>
  <si>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</si>
  <si>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</si>
  <si>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</si>
  <si>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</si>
  <si>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</si>
  <si>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</si>
  <si>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</si>
  <si>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</si>
  <si>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</si>
  <si>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</si>
  <si>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</si>
  <si>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</si>
  <si>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</si>
  <si>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</si>
  <si>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</si>
  <si>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</si>
  <si>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</si>
  <si>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</si>
  <si>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</si>
  <si>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</si>
  <si>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</si>
  <si>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</si>
  <si>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</si>
  <si>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</si>
  <si>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</si>
  <si>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</si>
  <si>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</si>
  <si>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</si>
  <si>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</si>
  <si>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</si>
  <si>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</si>
  <si>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</si>
  <si>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</si>
  <si>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</si>
  <si>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</si>
  <si>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</si>
  <si>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</si>
  <si>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</si>
  <si>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</si>
  <si>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</si>
  <si>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</si>
  <si>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</si>
  <si>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</si>
  <si>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</si>
  <si>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</si>
  <si>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</si>
  <si>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</si>
  <si>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</si>
  <si>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</si>
  <si>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</si>
  <si>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</si>
  <si>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</si>
  <si>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</si>
  <si>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</si>
  <si>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</si>
  <si>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</si>
  <si>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</si>
  <si>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</si>
  <si>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</si>
  <si>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</si>
  <si>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</si>
  <si>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</si>
  <si>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</si>
  <si>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</si>
  <si>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</si>
  <si>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</si>
  <si>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</si>
  <si>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</si>
  <si>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</si>
  <si>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</si>
  <si>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</si>
  <si>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</si>
  <si>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</si>
  <si>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</si>
  <si>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</si>
  <si>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</si>
  <si>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</si>
  <si>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</si>
  <si>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</si>
  <si>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</si>
  <si>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</si>
  <si>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</si>
  <si>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</si>
  <si>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</si>
  <si>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</si>
  <si>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</si>
  <si>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</si>
  <si>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</si>
  <si>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</si>
  <si>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</si>
  <si>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</si>
  <si>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</si>
  <si>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</si>
  <si>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</si>
  <si>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</si>
  <si>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</si>
  <si>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</si>
  <si>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</si>
  <si>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</si>
  <si>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</si>
  <si>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</si>
  <si>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</si>
  <si>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</si>
  <si>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</si>
  <si>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</si>
  <si>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</si>
  <si>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</si>
  <si>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</si>
  <si>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</si>
  <si>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</si>
  <si>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</si>
  <si>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</si>
  <si>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</si>
  <si>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</si>
  <si>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</si>
  <si>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</si>
  <si>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</si>
  <si>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</si>
  <si>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</si>
  <si>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</si>
  <si>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</si>
  <si>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</si>
  <si>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</si>
  <si>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</si>
  <si>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</si>
  <si>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</si>
  <si>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</si>
  <si>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</si>
  <si>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</si>
  <si>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</si>
  <si>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</si>
  <si>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</si>
  <si>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</si>
  <si>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</si>
  <si>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</si>
  <si>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</si>
  <si>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</si>
  <si>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</si>
  <si>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</si>
  <si>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</si>
  <si>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</si>
  <si>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</si>
  <si>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</si>
  <si>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</si>
  <si>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</si>
  <si>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</si>
  <si>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</si>
  <si>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</si>
  <si>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</si>
  <si>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</si>
  <si>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</si>
  <si>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</si>
  <si>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</si>
  <si>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</si>
  <si>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</si>
  <si>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</si>
  <si>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</si>
  <si>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</si>
  <si>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</si>
  <si>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</si>
  <si>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</si>
  <si>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</si>
  <si>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</si>
  <si>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</si>
  <si>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</si>
  <si>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</si>
  <si>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</si>
  <si>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</si>
  <si>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</si>
  <si>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</si>
  <si>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</si>
  <si>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</si>
  <si>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</si>
  <si>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</si>
  <si>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</si>
  <si>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</si>
  <si>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</si>
  <si>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SHAUN WILLIAMS</t>
  </si>
  <si>
    <t>CARA ALLAN</t>
  </si>
  <si>
    <t>ABI OSUNSAMI</t>
  </si>
  <si>
    <t>MATT WALTON</t>
  </si>
  <si>
    <t>STEVE CUTTS</t>
  </si>
  <si>
    <t>XAVI MATEU</t>
  </si>
  <si>
    <t>05:44</t>
  </si>
  <si>
    <t>02:58</t>
  </si>
  <si>
    <t>04:22</t>
  </si>
  <si>
    <t>07:35</t>
  </si>
  <si>
    <t>07:39</t>
  </si>
  <si>
    <t>07:42</t>
  </si>
  <si>
    <t>04:!9</t>
  </si>
  <si>
    <t>03:45</t>
  </si>
  <si>
    <t>07:14</t>
  </si>
  <si>
    <t>06:31</t>
  </si>
  <si>
    <t>03:46</t>
  </si>
  <si>
    <t>02:15</t>
  </si>
  <si>
    <t>00:06</t>
  </si>
  <si>
    <t>You recorded a 2P as a 3P and a M2P as a M3P. In both plays, the referees clearly signaled a two-point attempt. This happens when you focus too much on the players (which is normal) but lose track of the referees. You need to find a way to keep all elements under control. The other caller can help by watching the referees, for example.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</si>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</sst>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07_066_LLI_NIO_U2025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770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66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45973.8125</v>
      </c>
      <c r="C3" s="178"/>
      <c r="D3" s="39">
        <v>586</v>
      </c>
      <c r="E3" s="29"/>
      <c r="F3" s="26">
        <f>SUBTOTAL(3,I17:I106)</f>
        <v>13</v>
      </c>
      <c r="G3" s="27">
        <f>IF(OR(D3="",D3=0),"",F3/D3)</f>
        <v>2.2184300341296929E-2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London Lions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LLI</v>
      </c>
      <c r="I4" s="5"/>
      <c r="J4" s="119" t="s">
        <v>714</v>
      </c>
      <c r="K4" s="54" t="s">
        <v>743</v>
      </c>
      <c r="L4" s="5"/>
      <c r="M4" s="185" t="s">
        <v>769</v>
      </c>
      <c r="N4" s="186"/>
      <c r="O4" s="2"/>
      <c r="P4" s="2"/>
      <c r="Q4" s="84" t="s">
        <v>175</v>
      </c>
      <c r="R4" s="94">
        <f>(IF(G3="",0,G3))</f>
        <v>2.2184300341296929E-2</v>
      </c>
      <c r="S4" s="61">
        <f>SUM(I13:M13)</f>
        <v>1</v>
      </c>
      <c r="T4" s="78"/>
      <c r="U4" s="61">
        <f>AC18</f>
        <v>2</v>
      </c>
      <c r="V4" s="61">
        <f>+AC22</f>
        <v>9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Panionios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NIO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2.218430034129693</v>
      </c>
      <c r="S5" s="70">
        <f t="shared" ref="S5" si="0">S4*S3</f>
        <v>1</v>
      </c>
      <c r="T5" s="92"/>
      <c r="U5" s="70">
        <f t="shared" ref="U5:AG5" si="1">U4*U3</f>
        <v>1</v>
      </c>
      <c r="V5" s="70">
        <f t="shared" si="1"/>
        <v>9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35.718430034129696</v>
      </c>
      <c r="N7" s="58"/>
      <c r="O7" s="2"/>
      <c r="P7" s="2"/>
      <c r="Q7" s="86">
        <f>SUM(R5,S5,AC16)</f>
        <v>35.718430034129696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15.718430034129693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66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13</v>
      </c>
      <c r="J15" s="24">
        <f>SUBTOTAL(3,J17:J106)</f>
        <v>13</v>
      </c>
      <c r="K15" s="24">
        <f>SUBTOTAL(3,K17:K106)</f>
        <v>13</v>
      </c>
      <c r="L15" s="24">
        <f>SUBTOTAL(3,L17:L106)</f>
        <v>13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13</v>
      </c>
      <c r="Z16" s="90" t="s">
        <v>110</v>
      </c>
      <c r="AA16" s="75">
        <f>SUM(AA17:AA24)</f>
        <v>13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32.5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13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1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66</v>
      </c>
      <c r="D17" s="32" t="s">
        <v>756</v>
      </c>
      <c r="E17" s="33">
        <v>4</v>
      </c>
      <c r="F17" s="36">
        <v>83</v>
      </c>
      <c r="G17" s="36">
        <v>58</v>
      </c>
      <c r="H17" s="38" t="str">
        <f>IF(I17="","",$I$14)</f>
        <v>SCOUTING</v>
      </c>
      <c r="I17" s="34">
        <v>515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12</v>
      </c>
      <c r="Z17" s="105" t="s">
        <v>63</v>
      </c>
      <c r="AA17" s="62">
        <f>COUNTIF($K$17:$K$106,Z17)</f>
        <v>7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66</v>
      </c>
      <c r="D18" s="32" t="s">
        <v>757</v>
      </c>
      <c r="E18" s="33">
        <v>3</v>
      </c>
      <c r="F18" s="36">
        <v>71</v>
      </c>
      <c r="G18" s="36">
        <v>43</v>
      </c>
      <c r="H18" s="38" t="str">
        <f t="shared" ref="H18:H81" si="8">IF(I18="","",$I$14)</f>
        <v>SCOUTING</v>
      </c>
      <c r="I18" s="34">
        <v>415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66</v>
      </c>
      <c r="D19" s="32" t="s">
        <v>758</v>
      </c>
      <c r="E19" s="33">
        <v>3</v>
      </c>
      <c r="F19" s="36">
        <v>66</v>
      </c>
      <c r="G19" s="36">
        <v>42</v>
      </c>
      <c r="H19" s="38" t="str">
        <f t="shared" si="8"/>
        <v>SCOUTING</v>
      </c>
      <c r="I19" s="34">
        <v>375</v>
      </c>
      <c r="J19" s="13" t="s">
        <v>4</v>
      </c>
      <c r="K19" s="13" t="s">
        <v>63</v>
      </c>
      <c r="L19" s="13" t="s">
        <v>6</v>
      </c>
      <c r="M19" s="13" t="s">
        <v>12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6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1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66</v>
      </c>
      <c r="D20" s="32" t="s">
        <v>759</v>
      </c>
      <c r="E20" s="33">
        <v>3</v>
      </c>
      <c r="F20" s="36">
        <v>59</v>
      </c>
      <c r="G20" s="36">
        <v>38</v>
      </c>
      <c r="H20" s="38" t="str">
        <f t="shared" si="8"/>
        <v>SCOUTING</v>
      </c>
      <c r="I20" s="34">
        <v>335</v>
      </c>
      <c r="J20" s="13" t="s">
        <v>4</v>
      </c>
      <c r="K20" s="13" t="s">
        <v>62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66</v>
      </c>
      <c r="D21" s="32" t="s">
        <v>760</v>
      </c>
      <c r="E21" s="33">
        <v>3</v>
      </c>
      <c r="F21" s="36">
        <v>57</v>
      </c>
      <c r="G21" s="36">
        <v>38</v>
      </c>
      <c r="H21" s="38" t="str">
        <f t="shared" si="8"/>
        <v>SCOUTING</v>
      </c>
      <c r="I21" s="34">
        <v>333</v>
      </c>
      <c r="J21" s="13" t="s">
        <v>4</v>
      </c>
      <c r="K21" s="13" t="s">
        <v>62</v>
      </c>
      <c r="L21" s="13" t="s">
        <v>6</v>
      </c>
      <c r="M21" s="13" t="s">
        <v>10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66</v>
      </c>
      <c r="D22" s="32" t="s">
        <v>761</v>
      </c>
      <c r="E22" s="33">
        <v>3</v>
      </c>
      <c r="F22" s="36">
        <v>57</v>
      </c>
      <c r="G22" s="36">
        <v>38</v>
      </c>
      <c r="H22" s="38" t="str">
        <f t="shared" si="8"/>
        <v>SCOUTING</v>
      </c>
      <c r="I22" s="34">
        <v>332</v>
      </c>
      <c r="J22" s="13" t="s">
        <v>4</v>
      </c>
      <c r="K22" s="13" t="s">
        <v>63</v>
      </c>
      <c r="L22" s="13" t="s">
        <v>6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9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66</v>
      </c>
      <c r="D23" s="32" t="s">
        <v>762</v>
      </c>
      <c r="E23" s="33">
        <v>3</v>
      </c>
      <c r="F23" s="36">
        <v>43</v>
      </c>
      <c r="G23" s="36">
        <v>28</v>
      </c>
      <c r="H23" s="38" t="str">
        <f t="shared" si="8"/>
        <v>SCOUTING</v>
      </c>
      <c r="I23" s="34">
        <v>248</v>
      </c>
      <c r="J23" s="13" t="s">
        <v>4</v>
      </c>
      <c r="K23" s="13" t="s">
        <v>63</v>
      </c>
      <c r="L23" s="13" t="s">
        <v>6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66</v>
      </c>
      <c r="D24" s="32" t="s">
        <v>763</v>
      </c>
      <c r="E24" s="33">
        <v>1</v>
      </c>
      <c r="F24" s="36">
        <v>17</v>
      </c>
      <c r="G24" s="36">
        <v>8</v>
      </c>
      <c r="H24" s="38" t="str">
        <f t="shared" si="8"/>
        <v>SCOUTING</v>
      </c>
      <c r="I24" s="34">
        <v>76</v>
      </c>
      <c r="J24" s="13" t="s">
        <v>4</v>
      </c>
      <c r="K24" s="13" t="s">
        <v>62</v>
      </c>
      <c r="L24" s="13" t="s">
        <v>6</v>
      </c>
      <c r="M24" s="13" t="s">
        <v>9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66</v>
      </c>
      <c r="D25" s="32" t="s">
        <v>764</v>
      </c>
      <c r="E25" s="33">
        <v>2</v>
      </c>
      <c r="F25" s="36">
        <v>34</v>
      </c>
      <c r="G25" s="36">
        <v>20</v>
      </c>
      <c r="H25" s="38" t="str">
        <f t="shared" si="8"/>
        <v>SCOUTING</v>
      </c>
      <c r="I25" s="34">
        <v>203</v>
      </c>
      <c r="J25" s="13" t="s">
        <v>4</v>
      </c>
      <c r="K25" s="13" t="s">
        <v>63</v>
      </c>
      <c r="L25" s="13" t="s">
        <v>6</v>
      </c>
      <c r="M25" s="13" t="s">
        <v>10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66</v>
      </c>
      <c r="D26" s="32" t="s">
        <v>765</v>
      </c>
      <c r="E26" s="33">
        <v>2</v>
      </c>
      <c r="F26" s="36">
        <v>36</v>
      </c>
      <c r="G26" s="36">
        <v>20</v>
      </c>
      <c r="H26" s="38" t="str">
        <f t="shared" si="8"/>
        <v>SCOUTING</v>
      </c>
      <c r="I26" s="34">
        <v>216</v>
      </c>
      <c r="J26" s="13" t="s">
        <v>4</v>
      </c>
      <c r="K26" s="13" t="s">
        <v>62</v>
      </c>
      <c r="L26" s="13" t="s">
        <v>6</v>
      </c>
      <c r="M26" s="13" t="s">
        <v>10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1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66</v>
      </c>
      <c r="D27" s="32" t="s">
        <v>766</v>
      </c>
      <c r="E27" s="33">
        <v>2</v>
      </c>
      <c r="F27" s="36">
        <v>48</v>
      </c>
      <c r="G27" s="36">
        <v>28</v>
      </c>
      <c r="H27" s="38" t="str">
        <f t="shared" si="8"/>
        <v>SCOUTING</v>
      </c>
      <c r="I27" s="34">
        <v>255</v>
      </c>
      <c r="J27" s="13" t="s">
        <v>3</v>
      </c>
      <c r="K27" s="13" t="s">
        <v>62</v>
      </c>
      <c r="L27" s="13" t="s">
        <v>77</v>
      </c>
      <c r="M27" s="13" t="s">
        <v>39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U2025</v>
      </c>
      <c r="C28" s="31">
        <f t="shared" si="3"/>
        <v>66</v>
      </c>
      <c r="D28" s="32" t="s">
        <v>767</v>
      </c>
      <c r="E28" s="33">
        <v>2</v>
      </c>
      <c r="F28" s="36">
        <v>49</v>
      </c>
      <c r="G28" s="36">
        <v>30</v>
      </c>
      <c r="H28" s="38" t="str">
        <f t="shared" si="8"/>
        <v>SCOUTING</v>
      </c>
      <c r="I28" s="34">
        <v>275</v>
      </c>
      <c r="J28" s="13" t="s">
        <v>4</v>
      </c>
      <c r="K28" s="13" t="s">
        <v>63</v>
      </c>
      <c r="L28" s="13" t="s">
        <v>6</v>
      </c>
      <c r="M28" s="13" t="s">
        <v>27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U2025</v>
      </c>
      <c r="C29" s="31">
        <f t="shared" si="3"/>
        <v>66</v>
      </c>
      <c r="D29" s="32" t="s">
        <v>768</v>
      </c>
      <c r="E29" s="33">
        <v>2</v>
      </c>
      <c r="F29" s="36">
        <v>55</v>
      </c>
      <c r="G29" s="36">
        <v>35</v>
      </c>
      <c r="H29" s="38" t="str">
        <f t="shared" si="8"/>
        <v>SCOUTING</v>
      </c>
      <c r="I29" s="34">
        <v>301</v>
      </c>
      <c r="J29" s="13" t="s">
        <v>4</v>
      </c>
      <c r="K29" s="13" t="s">
        <v>62</v>
      </c>
      <c r="L29" s="13" t="s">
        <v>7</v>
      </c>
      <c r="M29" s="13" t="s">
        <v>26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1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REPORT_U2025066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"U2025066"</v>
      </c>
      <c r="F3" s="45" t="str">
        <f t="shared" ref="F3:F16" si="0">""""&amp;B3&amp;"""" &amp; " : " &amp;C3&amp;","</f>
        <v>"name" : "U2025066",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"U066"</v>
      </c>
      <c r="F4" s="45" t="str">
        <f t="shared" si="0"/>
        <v>"cod" : "U066",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066</v>
      </c>
      <c r="F6" s="45" t="str">
        <f t="shared" si="0"/>
        <v>"number" : 066,</v>
      </c>
    </row>
    <row r="7" spans="2:6" x14ac:dyDescent="0.25">
      <c r="B7" s="43" t="s">
        <v>116</v>
      </c>
      <c r="C7" s="43" t="str">
        <f ca="1">""""&amp;TEXT('SCOUT &amp; LOGISTICS'!B3,"dd/mm/aaaa")&amp;""""</f>
        <v>"12/11/Wednesday"</v>
      </c>
      <c r="F7" s="45" t="str">
        <f t="shared" ca="1" si="0"/>
        <v>"date" : "12/11/Wednesday",</v>
      </c>
    </row>
    <row r="8" spans="2:6" x14ac:dyDescent="0.25">
      <c r="B8" s="43" t="s">
        <v>125</v>
      </c>
      <c r="C8" s="43" t="str">
        <f>""""&amp;'SCOUT &amp; LOGISTICS'!D4 &amp;""""</f>
        <v>"London Lions"</v>
      </c>
      <c r="F8" s="45" t="str">
        <f t="shared" si="0"/>
        <v>"home_team" : "London Lions",</v>
      </c>
    </row>
    <row r="9" spans="2:6" x14ac:dyDescent="0.25">
      <c r="B9" s="43" t="s">
        <v>126</v>
      </c>
      <c r="C9" s="43" t="str">
        <f>""""&amp;'SCOUT &amp; LOGISTICS'!D5&amp;""""</f>
        <v>"Panionios Athens"</v>
      </c>
      <c r="F9" s="45" t="str">
        <f t="shared" si="0"/>
        <v>"away_team" : "Panionios Athens",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"SHAUN WILLIAMS"</v>
      </c>
      <c r="F10" s="45" t="str">
        <f t="shared" si="0"/>
        <v>"Data_entry" : "SHAUN WILLIAMS",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"CARA ALLAN"</v>
      </c>
      <c r="F11" s="45" t="str">
        <f t="shared" si="0"/>
        <v>"Caller_1" : "CARA ALLAN",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"ABI OSUNSAMI"</v>
      </c>
      <c r="F12" s="45" t="str">
        <f t="shared" si="0"/>
        <v>"Caller_2" : "ABI OSUNSAMI",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"MATT WALTON"</v>
      </c>
      <c r="F13" s="45" t="str">
        <f t="shared" si="0"/>
        <v>"Timerkeeper" : "MATT WALTON",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"STEVE CUTTS"</v>
      </c>
      <c r="F14" s="45" t="str">
        <f t="shared" si="0"/>
        <v>"Shotclock" : "STEVE CUTTS",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 MATEU"</v>
      </c>
      <c r="F16" s="45" t="str">
        <f t="shared" si="0"/>
        <v>"Live_Game_Manager" : "XAVI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586</v>
      </c>
      <c r="F25" s="45" t="str">
        <f t="shared" ref="F25:F48" si="1">""""&amp;C25&amp;"""" &amp; " : " &amp;D25&amp;","</f>
        <v>"total_actions" : 586,</v>
      </c>
    </row>
    <row r="26" spans="2:6" x14ac:dyDescent="0.25">
      <c r="C26" s="43" t="s">
        <v>132</v>
      </c>
      <c r="D26" s="43">
        <f>'SCOUT &amp; LOGISTICS'!F3</f>
        <v>13</v>
      </c>
      <c r="F26" s="45" t="str">
        <f t="shared" si="1"/>
        <v>"total_correcions" : 13,</v>
      </c>
    </row>
    <row r="27" spans="2:6" x14ac:dyDescent="0.25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5">
      <c r="C28" s="43" t="s">
        <v>125</v>
      </c>
      <c r="D28" s="43">
        <f>IF('SCOUT &amp; LOGISTICS'!AA17="","",'SCOUT &amp; LOGISTICS'!AA17)</f>
        <v>7</v>
      </c>
      <c r="F28" s="45" t="str">
        <f t="shared" si="1"/>
        <v>"home_team" : 7,</v>
      </c>
    </row>
    <row r="29" spans="2:6" x14ac:dyDescent="0.2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5">
      <c r="C33" s="43" t="s">
        <v>137</v>
      </c>
      <c r="D33" s="43">
        <f>'SCOUT &amp; LOGISTICS'!AG19</f>
        <v>6</v>
      </c>
      <c r="F33" s="45" t="str">
        <f t="shared" si="1"/>
        <v>"q3" : 6,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13</v>
      </c>
      <c r="F37" s="45" t="str">
        <f t="shared" si="1"/>
        <v>"scoresheet_corrections" : 13,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 recorded a 2P as a 3P and a M2P as a M3P. In both plays, the referees clearly signaled a two-point attempt. This happens when you focus too much on the players (which is normal) but lose track of the referees. You need to find a way to keep all elements under control. The other caller can help by watching the referees, for example."</v>
      </c>
      <c r="F51" s="45" t="str">
        <f>""""&amp;B51&amp;"""" &amp; " : " &amp;C51&amp;","</f>
        <v>"comments" : "You recorded a 2P as a 3P and a M2P as a M3P. In both plays, the referees clearly signaled a two-point attempt. This happens when you focus too much on the players (which is normal) but lose track of the referees. You need to find a way to keep all elements under control. The other caller can help by watching the referees, for example.",</v>
      </c>
    </row>
    <row r="52" spans="2:6" x14ac:dyDescent="0.25">
      <c r="B52" s="43" t="s">
        <v>153</v>
      </c>
      <c r="C52" s="43" t="str">
        <f>TEXT('SCOUT &amp; LOGISTICS'!F1,"0,0")</f>
        <v>07_066_LLI_NIO_U2025</v>
      </c>
      <c r="F52" s="45" t="str">
        <f>""""&amp;B52&amp;"""" &amp; " : " &amp;C52</f>
        <v>"result" : 07_066_LLI_NIO_U2025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U066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12/11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London Lions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Panionios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SHAUN WILLIAMS</v>
      </c>
      <c r="C8" s="201"/>
      <c r="D8" s="201"/>
      <c r="E8" s="201"/>
      <c r="F8" s="201"/>
      <c r="G8" s="201" t="str">
        <f>IF('SCOUT &amp; LOGISTICS'!D7="","",'SCOUT &amp; LOGISTICS'!D7)</f>
        <v>CARA ALLAN</v>
      </c>
      <c r="H8" s="201"/>
      <c r="I8" s="201"/>
      <c r="J8" s="201"/>
      <c r="K8" s="201"/>
      <c r="L8" s="201" t="str">
        <f>IF('SCOUT &amp; LOGISTICS'!D8="","",'SCOUT &amp; LOGISTICS'!D8)</f>
        <v>ABI OSUNSAMI</v>
      </c>
      <c r="M8" s="201"/>
      <c r="N8" s="201"/>
      <c r="O8" s="201"/>
      <c r="P8" s="201"/>
      <c r="Q8" s="201" t="str">
        <f>IF('SCOUT &amp; LOGISTICS'!D9="","",'SCOUT &amp; LOGISTICS'!D9)</f>
        <v>MATT WALTON</v>
      </c>
      <c r="R8" s="201"/>
      <c r="S8" s="201"/>
      <c r="T8" s="201"/>
      <c r="U8" s="201"/>
      <c r="V8" s="201" t="str">
        <f>IF('SCOUT &amp; LOGISTICS'!D10="","",'SCOUT &amp; LOGISTICS'!D10)</f>
        <v>STEVE CUTTS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OK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586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2.2184300341296929E-2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7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6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5</v>
      </c>
      <c r="I22" s="199"/>
      <c r="J22" s="199"/>
      <c r="K22" s="199"/>
      <c r="L22" s="199"/>
      <c r="M22" s="199"/>
      <c r="N22" s="199">
        <f>'SCOUT &amp; LOGISTICS'!AG19</f>
        <v>6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12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9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1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You recorded a 2P as a 3P and a M2P as a M3P. In both plays, the referees clearly signaled a two-point attempt. This happens when you focus too much on the players (which is normal) but lose track of the referees. You need to find a way to keep all elements under control. The other caller can help by watching the referees, for example.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35.718430034129696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79F4CB4-BC82-40BE-8484-0C0B11E3A0B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2025-11-13T16:35:52Z</cp:lastPrinted>
  <dcterms:created xsi:type="dcterms:W3CDTF">2023-09-19T19:50:35Z</dcterms:created>
  <dcterms:modified xsi:type="dcterms:W3CDTF">2025-11-13T16:37:49Z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