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368EB72-936D-479C-A762-D640261F6C78}" xr6:coauthVersionLast="47" xr6:coauthVersionMax="47" xr10:uidLastSave="{00000000-0000-0000-0000-000000000000}"/>
  <bookViews>
    <workbookView xWindow="-5055" yWindow="-15105" windowWidth="27105" windowHeight="1510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<sst xmlns="http://schemas.openxmlformats.org/spreadsheetml/2006/main" count="3243" uniqueCount="757">
  <si>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</si>
  <si>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</si>
  <si>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</si>
  <si>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</si>
  <si>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</si>
  <si>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</si>
  <si>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</si>
  <si>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</si>
  <si>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</si>
  <si>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</si>
  <si>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</si>
  <si>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</si>
  <si>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</si>
  <si>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</si>
  <si>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</si>
  <si>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</si>
  <si>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</si>
  <si>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</si>
  <si>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</si>
  <si>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</si>
  <si>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</si>
  <si>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</si>
  <si>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</si>
  <si>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</si>
  <si>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</si>
  <si>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</si>
  <si>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</si>
  <si>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</si>
  <si>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</si>
  <si>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</si>
  <si>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</si>
  <si>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</si>
  <si>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</si>
  <si>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</si>
  <si>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</si>
  <si>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</si>
  <si>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</si>
  <si>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</si>
  <si>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</si>
  <si>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</si>
  <si>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</si>
  <si>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</si>
  <si>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</si>
  <si>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</si>
  <si>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</si>
  <si>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</si>
  <si>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</si>
  <si>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</si>
  <si>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</si>
  <si>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</si>
  <si>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</si>
  <si>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</si>
  <si>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</si>
  <si>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</si>
  <si>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</si>
  <si>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</si>
  <si>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</si>
  <si>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</si>
  <si>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</si>
  <si>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</si>
  <si>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</si>
  <si>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</si>
  <si>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</si>
  <si>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</si>
  <si>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</si>
  <si>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</si>
  <si>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</si>
  <si>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</si>
  <si>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</si>
  <si>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</si>
  <si>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</si>
  <si>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</si>
  <si>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</si>
  <si>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</si>
  <si>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</si>
  <si>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</si>
  <si>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</si>
  <si>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</si>
  <si>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</si>
  <si>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</si>
  <si>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</si>
  <si>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</si>
  <si>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</si>
  <si>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</si>
  <si>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</si>
  <si>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</si>
  <si>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</si>
  <si>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</si>
  <si>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</si>
  <si>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</si>
  <si>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</si>
  <si>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</si>
  <si>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</si>
  <si>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</si>
  <si>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</si>
  <si>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</si>
  <si>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</si>
  <si>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</si>
  <si>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</si>
  <si>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</si>
  <si>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</si>
  <si>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</si>
  <si>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</si>
  <si>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</si>
  <si>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</si>
  <si>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</si>
  <si>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</si>
  <si>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</si>
  <si>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</si>
  <si>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</si>
  <si>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</si>
  <si>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</si>
  <si>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</si>
  <si>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</si>
  <si>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</si>
  <si>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</si>
  <si>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</si>
  <si>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</si>
  <si>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</si>
  <si>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</si>
  <si>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</si>
  <si>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</si>
  <si>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</si>
  <si>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</si>
  <si>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</si>
  <si>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</si>
  <si>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</si>
  <si>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</si>
  <si>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</si>
  <si>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</si>
  <si>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</si>
  <si>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</si>
  <si>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</si>
  <si>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</si>
  <si>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</si>
  <si>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</si>
  <si>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</si>
  <si>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</si>
  <si>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</si>
  <si>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</si>
  <si>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</si>
  <si>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</si>
  <si>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</si>
  <si>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</si>
  <si>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</si>
  <si>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</si>
  <si>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</si>
  <si>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</si>
  <si>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</si>
  <si>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</si>
  <si>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</si>
  <si>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</si>
  <si>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</si>
  <si>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</si>
  <si>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</si>
  <si>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</si>
  <si>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</si>
  <si>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</si>
  <si>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</si>
  <si>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</si>
  <si>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</si>
  <si>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</si>
  <si>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</si>
  <si>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</si>
  <si>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</si>
  <si>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</si>
  <si>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</si>
  <si>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</si>
  <si>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</si>
  <si>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</si>
  <si>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</si>
  <si>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</si>
  <si>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</si>
  <si>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</si>
  <si>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</si>
  <si>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</si>
  <si>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</si>
  <si>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</si>
  <si>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</si>
  <si>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</si>
  <si>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</si>
  <si>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</si>
  <si>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</si>
  <si>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</si>
  <si>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</si>
  <si>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</si>
  <si>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</si>
  <si>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</si>
  <si>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</si>
  <si>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</si>
  <si>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</si>
  <si>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</si>
  <si>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</si>
  <si>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</si>
  <si>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</si>
  <si>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</si>
  <si>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</si>
  <si>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</si>
  <si>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</si>
  <si>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</si>
  <si>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</si>
  <si>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</si>
  <si>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</si>
  <si>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</si>
  <si>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</si>
  <si>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</si>
  <si>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</si>
  <si>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</si>
  <si>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</si>
  <si>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</si>
  <si>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</si>
  <si>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</si>
  <si>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</si>
  <si>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</si>
  <si>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</si>
  <si>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</si>
  <si>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</si>
  <si>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</si>
  <si>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</si>
  <si>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</si>
  <si>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</si>
  <si>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</si>
  <si>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</si>
  <si>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</si>
  <si>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</si>
  <si>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</si>
  <si>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</si>
  <si>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</si>
  <si>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</si>
  <si>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</si>
  <si>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</si>
  <si>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</si>
  <si>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</si>
  <si>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</si>
  <si>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</si>
  <si>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</si>
  <si>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</si>
  <si>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</si>
  <si>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</si>
  <si>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</si>
  <si>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</si>
  <si>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</si>
  <si>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</si>
  <si>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</si>
  <si>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</si>
  <si>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</si>
  <si>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</si>
  <si>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</si>
  <si>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</si>
  <si>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</si>
  <si>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</si>
  <si>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</si>
  <si>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</si>
  <si>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</si>
  <si>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</si>
  <si>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</si>
  <si>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</si>
  <si>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</si>
  <si>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</si>
  <si>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</si>
  <si>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</si>
  <si>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</si>
  <si>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</si>
  <si>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</si>
  <si>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</si>
  <si>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</si>
  <si>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</si>
  <si>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</si>
  <si>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</si>
  <si>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</si>
  <si>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</si>
  <si>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</si>
  <si>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</si>
  <si>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</si>
  <si>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</si>
  <si>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</si>
  <si>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</si>
  <si>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</si>
  <si>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</si>
  <si>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</si>
  <si>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</si>
  <si>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</si>
  <si>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</si>
  <si>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</si>
  <si>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</si>
  <si>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</si>
  <si>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</si>
  <si>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</si>
  <si>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</si>
  <si>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</si>
  <si>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</si>
  <si>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</si>
  <si>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</si>
  <si>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</si>
  <si>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</si>
  <si>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</si>
  <si>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</si>
  <si>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</si>
  <si>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</si>
  <si>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</si>
  <si>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</si>
  <si>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</si>
  <si>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</si>
  <si>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</si>
  <si>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</si>
  <si>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</si>
  <si>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</si>
  <si>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</si>
  <si>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</si>
  <si>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</si>
  <si>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</si>
  <si>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</si>
  <si>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</si>
  <si>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</si>
  <si>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</si>
  <si>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</si>
  <si>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</si>
  <si>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</si>
  <si>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</si>
  <si>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</si>
  <si>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</si>
  <si>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</si>
  <si>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</si>
  <si>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</si>
  <si>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</si>
  <si>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</si>
  <si>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</si>
  <si>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</si>
  <si>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</si>
  <si>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</si>
  <si>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</si>
  <si>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</si>
  <si>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</si>
  <si>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</si>
  <si>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</si>
  <si>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</si>
  <si>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</si>
  <si>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</si>
  <si>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</si>
  <si>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</si>
  <si>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</si>
  <si>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</si>
  <si>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</si>
  <si>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</si>
  <si>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</si>
  <si>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</si>
  <si>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</si>
  <si>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</si>
  <si>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</si>
  <si>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</si>
  <si>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</si>
  <si>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</si>
  <si>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</si>
  <si>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</si>
  <si>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</si>
  <si>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</si>
  <si>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</si>
  <si>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</si>
  <si>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</si>
  <si>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</si>
  <si>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</si>
  <si>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</si>
  <si>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</si>
  <si>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</si>
  <si>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</si>
  <si>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</si>
  <si>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</si>
  <si>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</si>
  <si>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</si>
  <si>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</si>
  <si>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</si>
  <si>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</si>
  <si>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</si>
  <si>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</si>
  <si>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</si>
  <si>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</si>
  <si>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</si>
  <si>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</si>
  <si>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</si>
  <si>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</si>
  <si>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</si>
  <si>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</si>
  <si>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</si>
  <si>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</si>
  <si>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</si>
  <si>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</si>
  <si>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</si>
  <si>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</si>
  <si>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</si>
  <si>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</si>
  <si>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</si>
  <si>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</si>
  <si>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</si>
  <si>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</si>
  <si>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</si>
  <si>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</si>
  <si>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</si>
  <si>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</si>
  <si>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</si>
  <si>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</si>
  <si>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</si>
  <si>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</si>
  <si>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</si>
  <si>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</si>
  <si>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</si>
  <si>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</si>
  <si>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</si>
  <si>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</si>
  <si>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</si>
  <si>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</si>
  <si>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</si>
  <si>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</si>
  <si>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</si>
  <si>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</si>
  <si>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</si>
  <si>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</si>
  <si>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</si>
  <si>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</si>
  <si>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</si>
  <si>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</si>
  <si>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</si>
  <si>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</si>
  <si>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</si>
  <si>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</si>
  <si>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</si>
  <si>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</si>
  <si>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</si>
  <si>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</si>
  <si>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</si>
  <si>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</si>
  <si>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</si>
  <si>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</si>
  <si>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</si>
  <si>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</si>
  <si>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</si>
  <si>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</si>
  <si>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</si>
  <si>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</si>
  <si>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</si>
  <si>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</si>
  <si>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</si>
  <si>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</si>
  <si>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</si>
  <si>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</si>
  <si>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</si>
  <si>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</si>
  <si>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</si>
  <si>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</si>
  <si>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</si>
  <si>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</si>
  <si>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</si>
  <si>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</si>
  <si>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</si>
  <si>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</si>
  <si>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</si>
  <si>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</si>
  <si>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</si>
  <si>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</si>
  <si>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</si>
  <si>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</si>
  <si>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</si>
  <si>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</si>
  <si>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</si>
  <si>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</si>
  <si>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</si>
  <si>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</si>
  <si>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</si>
  <si>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</si>
  <si>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</si>
  <si>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</si>
  <si>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</si>
  <si>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</si>
  <si>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</si>
  <si>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</si>
  <si>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</si>
  <si>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</si>
  <si>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</si>
  <si>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</si>
  <si>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</si>
  <si>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</si>
  <si>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</si>
  <si>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</si>
  <si>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</si>
  <si>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</si>
  <si>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</si>
  <si>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</si>
  <si>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</si>
  <si>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</si>
  <si>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</si>
  <si>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</si>
  <si>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</si>
  <si>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</si>
  <si>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</si>
  <si>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</si>
  <si>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</si>
  <si>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</si>
  <si>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</si>
  <si>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</si>
  <si>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</si>
  <si>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</si>
  <si>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</si>
  <si>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</si>
  <si>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</si>
  <si>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</si>
  <si>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</si>
  <si>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</si>
  <si>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</si>
  <si>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</si>
  <si>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</si>
  <si>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</si>
  <si>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</si>
  <si>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</si>
  <si>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</si>
  <si>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</si>
  <si>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</si>
  <si>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</si>
  <si>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</si>
  <si>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</si>
  <si>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</si>
  <si>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</si>
  <si>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</si>
  <si>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</si>
  <si>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</si>
  <si>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</si>
  <si>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</si>
  <si>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</si>
  <si>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</si>
  <si>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</si>
  <si>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</si>
  <si>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</si>
  <si>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</si>
  <si>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</si>
  <si>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</si>
  <si>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</si>
  <si>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</si>
  <si>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</si>
  <si>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</si>
  <si>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</si>
  <si>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</si>
  <si>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</si>
  <si>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</si>
  <si>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</si>
  <si>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</si>
  <si>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</si>
  <si>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</si>
  <si>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</si>
  <si>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</si>
  <si>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</si>
  <si>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</si>
  <si>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</si>
  <si>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</si>
  <si>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</si>
  <si>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</si>
  <si>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</si>
  <si>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</si>
  <si>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</si>
  <si>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</si>
  <si>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</si>
  <si>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</si>
  <si>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</si>
  <si>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</si>
  <si>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</si>
  <si>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</si>
  <si>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</si>
  <si>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</si>
  <si>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</si>
  <si>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</si>
  <si>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</si>
  <si>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</si>
  <si>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</si>
  <si>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</si>
  <si>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</si>
  <si>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</si>
  <si>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</si>
  <si>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</si>
  <si>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</si>
  <si>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</si>
  <si>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</si>
  <si>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</si>
  <si>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</si>
  <si>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</si>
  <si>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</si>
  <si>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</si>
  <si>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</si>
  <si>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</si>
  <si>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</si>
  <si>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</si>
  <si>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</si>
  <si>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</si>
  <si>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</si>
  <si>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</si>
  <si>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</si>
  <si>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</si>
  <si>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</si>
  <si>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</si>
  <si>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</si>
  <si>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</si>
  <si>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</si>
  <si>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</si>
  <si>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</si>
  <si>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</si>
  <si>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</si>
  <si>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</si>
  <si>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</si>
  <si>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</si>
  <si>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</si>
  <si>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</si>
  <si>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</si>
  <si>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</si>
  <si>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</si>
  <si>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</si>
  <si>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</si>
  <si>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</si>
  <si>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</si>
  <si>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</si>
  <si>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</si>
  <si>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</si>
  <si>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</si>
  <si>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</si>
  <si>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</si>
  <si>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</si>
  <si>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</si>
  <si>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</si>
  <si>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</si>
  <si>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</si>
  <si>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</si>
  <si>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</si>
  <si>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</si>
  <si>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</si>
  <si>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</si>
  <si>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</si>
  <si>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</si>
  <si>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</si>
  <si>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</si>
  <si>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</si>
  <si>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</si>
  <si>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</si>
  <si>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</si>
  <si>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</si>
  <si>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</si>
  <si>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</si>
  <si>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</si>
  <si>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</si>
  <si>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</si>
  <si>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</si>
  <si>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</si>
  <si>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</si>
  <si>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</si>
  <si>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</si>
  <si>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</si>
  <si>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</si>
  <si>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</si>
  <si>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</si>
  <si>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</si>
  <si>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</si>
  <si>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</si>
  <si>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</si>
  <si>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</si>
  <si>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</si>
  <si>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</si>
  <si>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</si>
  <si>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</si>
  <si>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</si>
  <si>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</si>
  <si>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</si>
  <si>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</si>
  <si>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</si>
  <si>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</si>
  <si>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</si>
  <si>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</si>
  <si>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</si>
  <si>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</si>
  <si>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</si>
  <si>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</si>
  <si>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</si>
  <si>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</si>
  <si>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</si>
  <si>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</si>
  <si>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</si>
  <si>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</si>
  <si>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</si>
  <si>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</si>
  <si>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</si>
  <si>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</si>
  <si>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</si>
  <si>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</si>
  <si>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</si>
  <si>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</si>
  <si>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</si>
  <si>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</si>
  <si>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</si>
  <si>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</si>
  <si>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</si>
  <si>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</si>
  <si>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</si>
  <si>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</si>
  <si>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</si>
  <si>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</si>
  <si>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</si>
  <si>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</si>
  <si>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</si>
  <si>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</si>
  <si>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</si>
  <si>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</si>
  <si>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</si>
  <si>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</si>
  <si>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</si>
  <si>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</si>
  <si>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</si>
  <si>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</si>
  <si>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</si>
  <si>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</si>
  <si>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</si>
  <si>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</si>
  <si>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</si>
  <si>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</si>
  <si>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</si>
  <si>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</si>
  <si>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</si>
  <si>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</si>
  <si>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</si>
  <si>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</si>
  <si>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</si>
  <si>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</si>
  <si>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</si>
  <si>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</si>
  <si>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</si>
  <si>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</si>
  <si>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</si>
  <si>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</si>
  <si>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</si>
  <si>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</si>
  <si>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</si>
  <si>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</si>
  <si>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</si>
  <si>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</si>
  <si>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</si>
  <si>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</si>
  <si>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</si>
  <si>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</si>
  <si>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</si>
  <si>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</si>
  <si>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</si>
  <si>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</si>
  <si>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</si>
  <si>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</si>
  <si>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</si>
  <si>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</si>
  <si>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</si>
  <si>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</si>
  <si>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MARIO ENJUANES</t>
  </si>
  <si>
    <t>RUSONYTE, DOVILE</t>
  </si>
  <si>
    <t>KIZIKAITE, RASA</t>
  </si>
  <si>
    <t>ZAKRIENE, AUKSE</t>
  </si>
  <si>
    <t>DULIENE, ODETA</t>
  </si>
  <si>
    <t>MACYS, VIDAS</t>
  </si>
  <si>
    <t>All corrections were identified by the USCs themselves. The referees had issues with an error in assigning a foul. This was well handled by the USCs.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</si>
</sst>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6" sqref="D6:G6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07_067_LKB_TTK_U2025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67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45973.822916666664</v>
      </c>
      <c r="C3" s="157"/>
      <c r="D3" s="39">
        <v>572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Lietkabelis Panevezys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LKB</v>
      </c>
      <c r="I4" s="5"/>
      <c r="J4" s="119" t="s">
        <v>714</v>
      </c>
      <c r="K4" s="54" t="s">
        <v>743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Turk Telekom Ankara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TTK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REPORT_U2025067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"U2025067"</v>
      </c>
      <c r="F3" s="45" t="str">
        <f t="shared" ref="F3:F16" si="0">""""&amp;B3&amp;"""" &amp; " : " &amp;C3&amp;","</f>
        <v>"name" : "U2025067",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"U067"</v>
      </c>
      <c r="F4" s="45" t="str">
        <f t="shared" si="0"/>
        <v>"cod" : "U067",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067</v>
      </c>
      <c r="F6" s="45" t="str">
        <f t="shared" si="0"/>
        <v>"number" : 067,</v>
      </c>
    </row>
    <row r="7" spans="2:6" x14ac:dyDescent="0.2">
      <c r="B7" s="43" t="s">
        <v>116</v>
      </c>
      <c r="C7" s="43" t="str">
        <f ca="1">""""&amp;TEXT('SCOUT &amp; LOGISTICS'!B3,"dd/mm/aaaa")&amp;""""</f>
        <v>"12/11/Wednesday"</v>
      </c>
      <c r="F7" s="45" t="str">
        <f t="shared" ca="1" si="0"/>
        <v>"date" : "12/11/Wednesday",</v>
      </c>
    </row>
    <row r="8" spans="2:6" x14ac:dyDescent="0.2">
      <c r="B8" s="43" t="s">
        <v>125</v>
      </c>
      <c r="C8" s="43" t="str">
        <f>""""&amp;'SCOUT &amp; LOGISTICS'!D4 &amp;""""</f>
        <v>"Lietkabelis Panevezys"</v>
      </c>
      <c r="F8" s="45" t="str">
        <f t="shared" si="0"/>
        <v>"home_team" : "Lietkabelis Panevezys",</v>
      </c>
    </row>
    <row r="9" spans="2:6" x14ac:dyDescent="0.2">
      <c r="B9" s="43" t="s">
        <v>126</v>
      </c>
      <c r="C9" s="43" t="str">
        <f>""""&amp;'SCOUT &amp; LOGISTICS'!D5&amp;""""</f>
        <v>"Turk Telekom Ankara"</v>
      </c>
      <c r="F9" s="45" t="str">
        <f t="shared" si="0"/>
        <v>"away_team" : "Turk Telekom Ankara",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"RUSONYTE, DOVILE"</v>
      </c>
      <c r="F10" s="45" t="str">
        <f t="shared" si="0"/>
        <v>"Data_entry" : "RUSONYTE, DOVILE",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"KIZIKAITE, RASA"</v>
      </c>
      <c r="F11" s="45" t="str">
        <f t="shared" si="0"/>
        <v>"Caller_1" : "KIZIKAITE, RASA",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"ZAKRIENE, AUKSE"</v>
      </c>
      <c r="F12" s="45" t="str">
        <f t="shared" si="0"/>
        <v>"Caller_2" : "ZAKRIENE, AUKSE",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"DULIENE, ODETA"</v>
      </c>
      <c r="F13" s="45" t="str">
        <f t="shared" si="0"/>
        <v>"Timerkeeper" : "DULIENE, ODETA",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"MACYS, VIDAS"</v>
      </c>
      <c r="F14" s="45" t="str">
        <f t="shared" si="0"/>
        <v>"Shotclock" : "MACYS, VIDAS",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572</v>
      </c>
      <c r="F25" s="45" t="str">
        <f t="shared" ref="F25:F48" si="1">""""&amp;C25&amp;"""" &amp; " : " &amp;D25&amp;","</f>
        <v>"total_actions" : 572,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"All corrections were identified by the USCs themselves. The referees had issues with an error in assigning a foul. This was well handled by the USCs."</v>
      </c>
      <c r="F51" s="45" t="str">
        <f>""""&amp;B51&amp;"""" &amp; " : " &amp;C51&amp;","</f>
        <v>"comments" : "All corrections were identified by the USCs themselves. The referees had issues with an error in assigning a foul. This was well handled by the USCs.",</v>
      </c>
    </row>
    <row r="52" spans="2:6" x14ac:dyDescent="0.2">
      <c r="B52" s="43" t="s">
        <v>153</v>
      </c>
      <c r="C52" s="43" t="str">
        <f>TEXT('SCOUT &amp; LOGISTICS'!F1,"0,0")</f>
        <v>07_067_LKB_TTK_U2025</v>
      </c>
      <c r="F52" s="45" t="str">
        <f>""""&amp;B52&amp;"""" &amp; " : " &amp;C52</f>
        <v>"result" : 07_067_LKB_TTK_U2025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U067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12/11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Lietkabelis Panevezys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Turk Telekom Ankara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RUSONYTE, DOVILE</v>
      </c>
      <c r="C8" s="206"/>
      <c r="D8" s="206"/>
      <c r="E8" s="206"/>
      <c r="F8" s="206"/>
      <c r="G8" s="206" t="str">
        <f>IF('SCOUT &amp; LOGISTICS'!D7="","",'SCOUT &amp; LOGISTICS'!D7)</f>
        <v>KIZIKAITE, RASA</v>
      </c>
      <c r="H8" s="206"/>
      <c r="I8" s="206"/>
      <c r="J8" s="206"/>
      <c r="K8" s="206"/>
      <c r="L8" s="206" t="str">
        <f>IF('SCOUT &amp; LOGISTICS'!D8="","",'SCOUT &amp; LOGISTICS'!D8)</f>
        <v>ZAKRIENE, AUKSE</v>
      </c>
      <c r="M8" s="206"/>
      <c r="N8" s="206"/>
      <c r="O8" s="206"/>
      <c r="P8" s="206"/>
      <c r="Q8" s="206" t="str">
        <f>IF('SCOUT &amp; LOGISTICS'!D9="","",'SCOUT &amp; LOGISTICS'!D9)</f>
        <v>DULIENE, ODETA</v>
      </c>
      <c r="R8" s="206"/>
      <c r="S8" s="206"/>
      <c r="T8" s="206"/>
      <c r="U8" s="206"/>
      <c r="V8" s="206" t="str">
        <f>IF('SCOUT &amp; LOGISTICS'!D10="","",'SCOUT &amp; LOGISTICS'!D10)</f>
        <v>MACYS, VIDAS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572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All corrections were identified by the USCs themselves. The referees had issues with an error in assigning a foul. This was well handled by the USCs.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ED77DF-4DFC-4F73-96F7-FCC0687C7758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2025-11-11T14:16:01Z</cp:lastPrinted>
  <dcterms:created xsi:type="dcterms:W3CDTF">2023-09-19T19:50:35Z</dcterms:created>
  <dcterms:modified xsi:type="dcterms:W3CDTF">2025-11-12T19:54:12Z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