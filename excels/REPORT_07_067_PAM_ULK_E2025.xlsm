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90" documentId="8_{F899D396-A80D-4809-9C70-525A1137B674}" xr6:coauthVersionLast="47" xr6:coauthVersionMax="47" xr10:uidLastSave="{51255E49-9DED-47CD-8A00-99B02186F545}"/>
  <bookViews>
    <workbookView xWindow="30" yWindow="-163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<sst xmlns="http://schemas.openxmlformats.org/spreadsheetml/2006/main" count="3286" uniqueCount="765">
  <si>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</si>
  <si>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</si>
  <si>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</si>
  <si>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</si>
  <si>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</si>
  <si>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</si>
  <si>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</si>
  <si>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</si>
  <si>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</si>
  <si>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</si>
  <si>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</si>
  <si>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</si>
  <si>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</si>
  <si>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</si>
  <si>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</si>
  <si>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</si>
  <si>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</si>
  <si>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</si>
  <si>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</si>
  <si>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</si>
  <si>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</si>
  <si>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</si>
  <si>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</si>
  <si>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</si>
  <si>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</si>
  <si>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</si>
  <si>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</si>
  <si>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</si>
  <si>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</si>
  <si>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</si>
  <si>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</si>
  <si>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</si>
  <si>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</si>
  <si>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</si>
  <si>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</si>
  <si>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</si>
  <si>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</si>
  <si>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</si>
  <si>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</si>
  <si>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</si>
  <si>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</si>
  <si>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</si>
  <si>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</si>
  <si>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</si>
  <si>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</si>
  <si>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</si>
  <si>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</si>
  <si>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</si>
  <si>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</si>
  <si>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</si>
  <si>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</si>
  <si>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</si>
  <si>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</si>
  <si>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</si>
  <si>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</si>
  <si>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</si>
  <si>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</si>
  <si>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</si>
  <si>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</si>
  <si>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</si>
  <si>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</si>
  <si>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</si>
  <si>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</si>
  <si>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</si>
  <si>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</si>
  <si>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</si>
  <si>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</si>
  <si>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</si>
  <si>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</si>
  <si>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</si>
  <si>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</si>
  <si>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</si>
  <si>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</si>
  <si>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</si>
  <si>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</si>
  <si>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</si>
  <si>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</si>
  <si>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</si>
  <si>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</si>
  <si>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</si>
  <si>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</si>
  <si>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</si>
  <si>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</si>
  <si>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</si>
  <si>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</si>
  <si>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</si>
  <si>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</si>
  <si>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</si>
  <si>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</si>
  <si>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</si>
  <si>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</si>
  <si>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</si>
  <si>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</si>
  <si>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</si>
  <si>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</si>
  <si>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</si>
  <si>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</si>
  <si>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</si>
  <si>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</si>
  <si>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</si>
  <si>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</si>
  <si>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</si>
  <si>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</si>
  <si>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</si>
  <si>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</si>
  <si>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</si>
  <si>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</si>
  <si>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</si>
  <si>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</si>
  <si>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</si>
  <si>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</si>
  <si>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</si>
  <si>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</si>
  <si>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</si>
  <si>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</si>
  <si>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</si>
  <si>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</si>
  <si>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</si>
  <si>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</si>
  <si>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</si>
  <si>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</si>
  <si>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</si>
  <si>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</si>
  <si>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</si>
  <si>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</si>
  <si>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</si>
  <si>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</si>
  <si>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</si>
  <si>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</si>
  <si>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</si>
  <si>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</si>
  <si>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</si>
  <si>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</si>
  <si>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</si>
  <si>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</si>
  <si>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</si>
  <si>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</si>
  <si>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</si>
  <si>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</si>
  <si>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</si>
  <si>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</si>
  <si>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</si>
  <si>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</si>
  <si>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</si>
  <si>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</si>
  <si>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</si>
  <si>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</si>
  <si>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</si>
  <si>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</si>
  <si>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</si>
  <si>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</si>
  <si>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</si>
  <si>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</si>
  <si>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</si>
  <si>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</si>
  <si>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</si>
  <si>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</si>
  <si>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</si>
  <si>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</si>
  <si>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</si>
  <si>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</si>
  <si>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</si>
  <si>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</si>
  <si>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</si>
  <si>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</si>
  <si>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</si>
  <si>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</si>
  <si>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</si>
  <si>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</si>
  <si>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</si>
  <si>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</si>
  <si>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</si>
  <si>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</si>
  <si>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</si>
  <si>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</si>
  <si>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</si>
  <si>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</si>
  <si>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</si>
  <si>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</si>
  <si>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</si>
  <si>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</si>
  <si>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</si>
  <si>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</si>
  <si>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</si>
  <si>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</si>
  <si>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</si>
  <si>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</si>
  <si>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</si>
  <si>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</si>
  <si>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</si>
  <si>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</si>
  <si>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</si>
  <si>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</si>
  <si>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</si>
  <si>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</si>
  <si>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</si>
  <si>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</si>
  <si>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</si>
  <si>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</si>
  <si>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</si>
  <si>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</si>
  <si>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</si>
  <si>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</si>
  <si>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</si>
  <si>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</si>
  <si>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</si>
  <si>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</si>
  <si>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</si>
  <si>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</si>
  <si>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</si>
  <si>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</si>
  <si>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</si>
  <si>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</si>
  <si>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</si>
  <si>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</si>
  <si>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</si>
  <si>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</si>
  <si>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</si>
  <si>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</si>
  <si>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</si>
  <si>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</si>
  <si>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</si>
  <si>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</si>
  <si>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</si>
  <si>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</si>
  <si>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</si>
  <si>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</si>
  <si>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</si>
  <si>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</si>
  <si>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</si>
  <si>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</si>
  <si>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</si>
  <si>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</si>
  <si>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</si>
  <si>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</si>
  <si>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</si>
  <si>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</si>
  <si>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</si>
  <si>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</si>
  <si>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</si>
  <si>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</si>
  <si>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</si>
  <si>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</si>
  <si>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</si>
  <si>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</si>
  <si>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</si>
  <si>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</si>
  <si>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</si>
  <si>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</si>
  <si>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</si>
  <si>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</si>
  <si>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</si>
  <si>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</si>
  <si>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</si>
  <si>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</si>
  <si>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</si>
  <si>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</si>
  <si>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</si>
  <si>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</si>
  <si>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</si>
  <si>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</si>
  <si>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</si>
  <si>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</si>
  <si>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</si>
  <si>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</si>
  <si>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</si>
  <si>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</si>
  <si>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</si>
  <si>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</si>
  <si>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</si>
  <si>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</si>
  <si>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</si>
  <si>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</si>
  <si>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</si>
  <si>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</si>
  <si>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</si>
  <si>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</si>
  <si>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</si>
  <si>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</si>
  <si>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</si>
  <si>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</si>
  <si>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</si>
  <si>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</si>
  <si>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</si>
  <si>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</si>
  <si>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</si>
  <si>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</si>
  <si>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</si>
  <si>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</si>
  <si>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</si>
  <si>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</si>
  <si>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</si>
  <si>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</si>
  <si>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</si>
  <si>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</si>
  <si>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</si>
  <si>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</si>
  <si>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</si>
  <si>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</si>
  <si>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</si>
  <si>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</si>
  <si>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</si>
  <si>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</si>
  <si>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</si>
  <si>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</si>
  <si>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</si>
  <si>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</si>
  <si>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</si>
  <si>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</si>
  <si>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</si>
  <si>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</si>
  <si>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</si>
  <si>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</si>
  <si>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</si>
  <si>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</si>
  <si>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</si>
  <si>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</si>
  <si>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</si>
  <si>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</si>
  <si>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</si>
  <si>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</si>
  <si>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</si>
  <si>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</si>
  <si>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</si>
  <si>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</si>
  <si>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</si>
  <si>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</si>
  <si>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</si>
  <si>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</si>
  <si>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</si>
  <si>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</si>
  <si>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</si>
  <si>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</si>
  <si>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</si>
  <si>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</si>
  <si>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</si>
  <si>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</si>
  <si>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</si>
  <si>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</si>
  <si>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</si>
  <si>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</si>
  <si>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</si>
  <si>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</si>
  <si>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</si>
  <si>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</si>
  <si>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</si>
  <si>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</si>
  <si>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</si>
  <si>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</si>
  <si>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</si>
  <si>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</si>
  <si>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</si>
  <si>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</si>
  <si>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</si>
  <si>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</si>
  <si>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</si>
  <si>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</si>
  <si>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</si>
  <si>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</si>
  <si>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</si>
  <si>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</si>
  <si>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</si>
  <si>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</si>
  <si>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</si>
  <si>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</si>
  <si>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</si>
  <si>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</si>
  <si>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</si>
  <si>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</si>
  <si>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</si>
  <si>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</si>
  <si>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</si>
  <si>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</si>
  <si>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</si>
  <si>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</si>
  <si>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</si>
  <si>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</si>
  <si>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</si>
  <si>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</si>
  <si>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</si>
  <si>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</si>
  <si>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</si>
  <si>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</si>
  <si>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</si>
  <si>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</si>
  <si>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</si>
  <si>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</si>
  <si>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</si>
  <si>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</si>
  <si>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</si>
  <si>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</si>
  <si>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</si>
  <si>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</si>
  <si>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</si>
  <si>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</si>
  <si>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</si>
  <si>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</si>
  <si>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</si>
  <si>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</si>
  <si>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</si>
  <si>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</si>
  <si>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</si>
  <si>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</si>
  <si>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</si>
  <si>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</si>
  <si>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</si>
  <si>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</si>
  <si>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</si>
  <si>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</si>
  <si>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</si>
  <si>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</si>
  <si>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</si>
  <si>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</si>
  <si>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</si>
  <si>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</si>
  <si>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</si>
  <si>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</si>
  <si>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</si>
  <si>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</si>
  <si>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</si>
  <si>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</si>
  <si>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</si>
  <si>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</si>
  <si>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</si>
  <si>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</si>
  <si>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</si>
  <si>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</si>
  <si>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</si>
  <si>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</si>
  <si>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</si>
  <si>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</si>
  <si>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</si>
  <si>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</si>
  <si>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</si>
  <si>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</si>
  <si>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</si>
  <si>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</si>
  <si>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</si>
  <si>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</si>
  <si>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</si>
  <si>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</si>
  <si>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</si>
  <si>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</si>
  <si>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</si>
  <si>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</si>
  <si>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</si>
  <si>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</si>
  <si>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</si>
  <si>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</si>
  <si>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</si>
  <si>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</si>
  <si>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</si>
  <si>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</si>
  <si>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</si>
  <si>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</si>
  <si>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</si>
  <si>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</si>
  <si>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</si>
  <si>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</si>
  <si>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</si>
  <si>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</si>
  <si>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</si>
  <si>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</si>
  <si>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</si>
  <si>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</si>
  <si>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</si>
  <si>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</si>
  <si>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</si>
  <si>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</si>
  <si>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</si>
  <si>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</si>
  <si>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</si>
  <si>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</si>
  <si>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</si>
  <si>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</si>
  <si>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</si>
  <si>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</si>
  <si>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</si>
  <si>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</si>
  <si>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</si>
  <si>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</si>
  <si>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</si>
  <si>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</si>
  <si>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</si>
  <si>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</si>
  <si>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</si>
  <si>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</si>
  <si>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</si>
  <si>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</si>
  <si>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</si>
  <si>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</si>
  <si>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</si>
  <si>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</si>
  <si>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</si>
  <si>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</si>
  <si>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</si>
  <si>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</si>
  <si>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</si>
  <si>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</si>
  <si>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</si>
  <si>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</si>
  <si>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</si>
  <si>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</si>
  <si>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</si>
  <si>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</si>
  <si>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</si>
  <si>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</si>
  <si>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</si>
  <si>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</si>
  <si>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</si>
  <si>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</si>
  <si>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</si>
  <si>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</si>
  <si>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</si>
  <si>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</si>
  <si>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</si>
  <si>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</si>
  <si>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</si>
  <si>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</si>
  <si>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</si>
  <si>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</si>
  <si>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</si>
  <si>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</si>
  <si>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</si>
  <si>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</si>
  <si>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</si>
  <si>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</si>
  <si>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</si>
  <si>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</si>
  <si>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</si>
  <si>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</si>
  <si>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</si>
  <si>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</si>
  <si>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</si>
  <si>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</si>
  <si>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</si>
  <si>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</si>
  <si>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</si>
  <si>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</si>
  <si>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</si>
  <si>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</si>
  <si>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</si>
  <si>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</si>
  <si>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</si>
  <si>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</si>
  <si>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</si>
  <si>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</si>
  <si>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</si>
  <si>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</si>
  <si>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</si>
  <si>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</si>
  <si>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</si>
  <si>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</si>
  <si>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</si>
  <si>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</si>
  <si>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</si>
  <si>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</si>
  <si>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</si>
  <si>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</si>
  <si>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</si>
  <si>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</si>
  <si>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</si>
  <si>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</si>
  <si>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</si>
  <si>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</si>
  <si>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</si>
  <si>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</si>
  <si>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</si>
  <si>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</si>
  <si>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</si>
  <si>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</si>
  <si>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</si>
  <si>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</si>
  <si>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</si>
  <si>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</si>
  <si>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</si>
  <si>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</si>
  <si>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</si>
  <si>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</si>
  <si>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</si>
  <si>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</si>
  <si>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</si>
  <si>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</si>
  <si>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</si>
  <si>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</si>
  <si>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</si>
  <si>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</si>
  <si>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</si>
  <si>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</si>
  <si>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</si>
  <si>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</si>
  <si>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</si>
  <si>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</si>
  <si>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</si>
  <si>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</si>
  <si>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</si>
  <si>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</si>
  <si>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</si>
  <si>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</si>
  <si>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</si>
  <si>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</si>
  <si>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</si>
  <si>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</si>
  <si>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</si>
  <si>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</si>
  <si>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</si>
  <si>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</si>
  <si>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</si>
  <si>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</si>
  <si>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</si>
  <si>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</si>
  <si>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</si>
  <si>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</si>
  <si>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</si>
  <si>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</si>
  <si>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</si>
  <si>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</si>
  <si>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</si>
  <si>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</si>
  <si>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</si>
  <si>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</si>
  <si>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</si>
  <si>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</si>
  <si>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</si>
  <si>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</si>
  <si>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</si>
  <si>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</si>
  <si>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</si>
  <si>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</si>
  <si>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</si>
  <si>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</si>
  <si>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</si>
  <si>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</si>
  <si>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</si>
  <si>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</si>
  <si>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</si>
  <si>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</si>
  <si>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</si>
  <si>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</si>
  <si>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</si>
  <si>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</si>
  <si>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</si>
  <si>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</si>
  <si>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</si>
  <si>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</si>
  <si>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</si>
  <si>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</si>
  <si>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</si>
  <si>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</si>
  <si>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</si>
  <si>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</si>
  <si>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</si>
  <si>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</si>
  <si>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</si>
  <si>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</si>
  <si>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</si>
  <si>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</si>
  <si>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</si>
  <si>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</si>
  <si>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</si>
  <si>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</si>
  <si>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</si>
  <si>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</si>
  <si>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</si>
  <si>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</si>
  <si>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</si>
  <si>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</si>
  <si>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</si>
  <si>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</si>
  <si>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</si>
  <si>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</si>
  <si>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</si>
  <si>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</si>
  <si>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</si>
  <si>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</si>
  <si>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</si>
  <si>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</si>
  <si>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</si>
  <si>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</si>
  <si>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</si>
  <si>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</si>
  <si>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</si>
  <si>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</si>
  <si>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</si>
  <si>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</si>
  <si>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</si>
  <si>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</si>
  <si>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</si>
  <si>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</si>
  <si>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</si>
  <si>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</si>
  <si>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</si>
  <si>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</si>
  <si>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</si>
  <si>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</si>
  <si>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</si>
  <si>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</si>
  <si>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</si>
  <si>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</si>
  <si>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</si>
  <si>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</si>
  <si>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</si>
  <si>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</si>
  <si>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</si>
  <si>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</si>
  <si>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</si>
  <si>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</si>
  <si>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</si>
  <si>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</si>
  <si>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</si>
  <si>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</si>
  <si>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</si>
  <si>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</si>
  <si>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</si>
  <si>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</si>
  <si>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</si>
  <si>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</si>
  <si>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</si>
  <si>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</si>
  <si>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</si>
  <si>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</si>
  <si>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</si>
  <si>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</si>
  <si>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</si>
  <si>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</si>
  <si>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</si>
  <si>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</si>
  <si>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</si>
  <si>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</si>
  <si>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</si>
  <si>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</si>
  <si>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</si>
  <si>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</si>
  <si>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</si>
  <si>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</si>
  <si>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</si>
  <si>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</si>
  <si>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</si>
  <si>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</si>
  <si>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</si>
  <si>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</si>
  <si>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</si>
  <si>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C:\Users\mario.enjuanes\EUROLEAGUE\EB STATS - General\SEASON 2025-26\Reports\Eurocup</t>
  </si>
  <si>
    <t>ANA KRSTIC</t>
  </si>
  <si>
    <t>SARA PROJOVIC</t>
  </si>
  <si>
    <t>IVANA VASILJEVIC</t>
  </si>
  <si>
    <t>PETAR VASILJEVIC</t>
  </si>
  <si>
    <t>PREDAG VASILJEVIC</t>
  </si>
  <si>
    <t>E</t>
  </si>
  <si>
    <t>ELOI VERGÉ</t>
  </si>
  <si>
    <t>C:\Users\eloi.verge\OneDrive - EUROLEAGUE\Desktop\GAME REPORTS\25-26</t>
  </si>
  <si>
    <t>JACOBO LAPRESTA</t>
  </si>
  <si>
    <t>JOSE VICENTE ARQUES</t>
  </si>
  <si>
    <t>JOSE ANTONIO RODRIGUEZ</t>
  </si>
  <si>
    <t>DIEGO RUIZ</t>
  </si>
  <si>
    <t>MARIA DESSE</t>
  </si>
  <si>
    <t>BORJA RODRIGUEZ</t>
  </si>
  <si>
    <t>05:31</t>
  </si>
  <si>
    <t>04:45</t>
  </si>
  <si>
    <t>08:03</t>
  </si>
  <si>
    <t>03:14</t>
  </si>
  <si>
    <t>01:08</t>
  </si>
  <si>
    <t>00:48</t>
  </si>
  <si>
    <t>And the offensive rebound</t>
  </si>
  <si>
    <t>Excellent job throughout the entire game; your performance was strong overall. However, there was an important issue in the final minute. I completely understand that, especially with all the ongoing problems with the scoreboards, some people might approach you to ask for the score. That could easily cause you to miss an assist or credit an action to the wrong player. Still, I don’t think that fully explains missing points.
On our side, we’ll continue to look into and address these scoreboard issues, since they make your work and ours much more challenging.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</si>
</sst>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5"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5"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5" fillId="3" borderId="18"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19" fillId="10" borderId="0" xfId="0" applyFont="1" applyFill="1" applyProtection="1">
      <protection hidden="1"/>
    </xf>
    <xf numFmtId="0" fontId="21" fillId="14" borderId="35" xfId="0" applyFont="1" applyFill="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2" fillId="15"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22" fillId="14"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33"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wrapText="1"/>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8" fillId="0" borderId="0" xfId="0" applyFont="1" applyProtection="1">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M4" sqref="M4:N6"/>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07</v>
      </c>
      <c r="D1" s="124" t="s">
        <v>748</v>
      </c>
      <c r="E1" s="125">
        <v>2025</v>
      </c>
      <c r="F1" s="120" t="str">
        <f>TEXT(C1,"00") &amp; "_" &amp; TEXT(C2,"000")&amp; "_" &amp; H4 &amp; "_" &amp; H5 &amp; "_" &amp; B2</f>
        <v>07_067_PAM_ULK_E2025</v>
      </c>
      <c r="G1" s="5"/>
      <c r="H1" s="5"/>
      <c r="I1" s="5"/>
      <c r="J1" s="8" t="s">
        <v>707</v>
      </c>
      <c r="K1" s="121" t="s">
        <v>750</v>
      </c>
      <c r="L1" s="121"/>
      <c r="M1" s="122" t="s">
        <v>239</v>
      </c>
      <c r="N1" s="121" t="s">
        <v>750</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67</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77">
        <f ca="1">IF(ISERROR(VLOOKUP($B$2&amp;TEXT($C$2,"000"),GAMES!$A$3:$I$562,8,FALSE)),NOW(),VLOOKUP($B$2&amp;TEXT($C$2,"000"),GAMES!$A$3:$I$562,8,FALSE))</f>
        <v>45958.875</v>
      </c>
      <c r="C3" s="178"/>
      <c r="D3" s="39">
        <v>671</v>
      </c>
      <c r="E3" s="29"/>
      <c r="F3" s="26">
        <f>SUBTOTAL(3,I17:I106)</f>
        <v>8</v>
      </c>
      <c r="G3" s="27">
        <f>IF(OR(D3="",D3=0),"",F3/D3)</f>
        <v>1.1922503725782414E-2</v>
      </c>
      <c r="H3" s="5"/>
      <c r="I3" s="5"/>
      <c r="J3" s="119" t="s">
        <v>715</v>
      </c>
      <c r="K3" s="54" t="str">
        <f>"N:\2024-2025 Season\Stats &amp; Systems\Stats\Estadisticas\Jornadas" &amp; "\EuroCup\Jornada01"</f>
        <v>N:\2024-2025 Season\Stats &amp; Systems\Stats\Estadisticas\Jornadas\EuroCup\Jornada01</v>
      </c>
      <c r="L3" s="5"/>
      <c r="M3" s="179" t="s">
        <v>163</v>
      </c>
      <c r="N3" s="180"/>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7" t="s">
        <v>86</v>
      </c>
      <c r="C4" s="168"/>
      <c r="D4" s="181" t="str">
        <f>IF(ISERROR(VLOOKUP(H4,Teams!$B$2:$C$44,2,FALSE)),"Local Team",VLOOKUP(H4,Teams!$B$2:$C$44,2,FALSE))</f>
        <v>Valencia Basket</v>
      </c>
      <c r="E4" s="182"/>
      <c r="F4" s="182"/>
      <c r="G4" s="183"/>
      <c r="H4" s="118" t="str">
        <f>IF(ISERROR(VLOOKUP($B$2&amp;TEXT($C$2,"000"),GAMES!$A$3:$I$562,6,FALSE)),"LOC",VLOOKUP($B$2&amp;TEXT($C$2,"000"),GAMES!$A$3:$I$562,6,FALSE))</f>
        <v>PAM</v>
      </c>
      <c r="I4" s="5"/>
      <c r="J4" s="119" t="s">
        <v>714</v>
      </c>
      <c r="K4" s="54" t="s">
        <v>742</v>
      </c>
      <c r="L4" s="5"/>
      <c r="M4" s="185" t="s">
        <v>764</v>
      </c>
      <c r="N4" s="186"/>
      <c r="O4" s="2"/>
      <c r="P4" s="2"/>
      <c r="Q4" s="84" t="s">
        <v>175</v>
      </c>
      <c r="R4" s="94">
        <f>(IF(G3="",0,G3))</f>
        <v>1.1922503725782414E-2</v>
      </c>
      <c r="S4" s="61">
        <f>SUM(I13:M13)</f>
        <v>1</v>
      </c>
      <c r="T4" s="78"/>
      <c r="U4" s="61">
        <f>AC18</f>
        <v>1</v>
      </c>
      <c r="V4" s="61">
        <f>+AC22</f>
        <v>0</v>
      </c>
      <c r="W4" s="61">
        <f>AC24</f>
        <v>0</v>
      </c>
      <c r="X4" s="61">
        <f>AC29</f>
        <v>2</v>
      </c>
      <c r="Y4" s="61">
        <f>AC25</f>
        <v>2</v>
      </c>
      <c r="Z4" s="84">
        <f>AC23</f>
        <v>2</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71" t="s">
        <v>87</v>
      </c>
      <c r="C5" s="184"/>
      <c r="D5" s="191" t="str">
        <f>IF(ISERROR(VLOOKUP(H5,Teams!$B$2:$C$44,2,FALSE)),"Visitor Team",VLOOKUP(H5,Teams!$B$2:$C$44,2,FALSE))</f>
        <v>Fenerbahce Beko Istanbul</v>
      </c>
      <c r="E5" s="192"/>
      <c r="F5" s="192"/>
      <c r="G5" s="193"/>
      <c r="H5" s="118" t="str">
        <f>IF(ISERROR(VLOOKUP($B$2&amp;TEXT($C$2,"000"),GAMES!$A$3:$I$562,7,FALSE)),"VIS",VLOOKUP($B$2&amp;TEXT($C$2,"000"),GAMES!$A$3:$I$562,7,FALSE))</f>
        <v>ULK</v>
      </c>
      <c r="I5" s="5"/>
      <c r="J5" s="5"/>
      <c r="K5" s="5"/>
      <c r="L5" s="5"/>
      <c r="M5" s="187"/>
      <c r="N5" s="188"/>
      <c r="O5" s="2"/>
      <c r="P5" s="2"/>
      <c r="Q5" s="89" t="s">
        <v>174</v>
      </c>
      <c r="R5" s="94">
        <f>R4*R3</f>
        <v>1.1922503725782414</v>
      </c>
      <c r="S5" s="70">
        <f t="shared" ref="S5" si="0">S4*S3</f>
        <v>1</v>
      </c>
      <c r="T5" s="92"/>
      <c r="U5" s="70">
        <f t="shared" ref="U5:AG5" si="1">U4*U3</f>
        <v>0.5</v>
      </c>
      <c r="V5" s="70">
        <f t="shared" si="1"/>
        <v>0</v>
      </c>
      <c r="W5" s="70">
        <f t="shared" si="1"/>
        <v>0</v>
      </c>
      <c r="X5" s="70">
        <f t="shared" si="1"/>
        <v>2</v>
      </c>
      <c r="Y5" s="70">
        <f t="shared" si="1"/>
        <v>4</v>
      </c>
      <c r="Z5" s="89">
        <f t="shared" si="1"/>
        <v>5</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7" t="s">
        <v>95</v>
      </c>
      <c r="C6" s="168"/>
      <c r="D6" s="158" t="s">
        <v>751</v>
      </c>
      <c r="E6" s="159"/>
      <c r="F6" s="159"/>
      <c r="G6" s="160"/>
      <c r="H6" s="5"/>
      <c r="I6" s="5"/>
      <c r="J6" s="5"/>
      <c r="K6" s="5"/>
      <c r="L6" s="2"/>
      <c r="M6" s="189"/>
      <c r="N6" s="190"/>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69" t="s">
        <v>96</v>
      </c>
      <c r="C7" s="170"/>
      <c r="D7" s="158" t="s">
        <v>752</v>
      </c>
      <c r="E7" s="159"/>
      <c r="F7" s="159"/>
      <c r="G7" s="160"/>
      <c r="H7" s="129" t="s">
        <v>709</v>
      </c>
      <c r="I7" s="129" t="s">
        <v>710</v>
      </c>
      <c r="J7" s="129" t="s">
        <v>711</v>
      </c>
      <c r="K7" s="129" t="s">
        <v>712</v>
      </c>
      <c r="L7" s="129" t="s">
        <v>713</v>
      </c>
      <c r="M7" s="58">
        <f>Q7</f>
        <v>33.692250372578243</v>
      </c>
      <c r="N7" s="58"/>
      <c r="O7" s="2"/>
      <c r="P7" s="2"/>
      <c r="Q7" s="86">
        <f>SUM(R5,S5,AC16)</f>
        <v>33.692250372578243</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71" t="s">
        <v>97</v>
      </c>
      <c r="C8" s="172"/>
      <c r="D8" s="161" t="s">
        <v>753</v>
      </c>
      <c r="E8" s="162"/>
      <c r="F8" s="162"/>
      <c r="G8" s="163"/>
      <c r="H8" s="129" t="s">
        <v>746</v>
      </c>
      <c r="I8" s="129" t="s">
        <v>746</v>
      </c>
      <c r="J8" s="129" t="s">
        <v>747</v>
      </c>
      <c r="K8" s="129" t="s">
        <v>743</v>
      </c>
      <c r="L8" s="129" t="s">
        <v>744</v>
      </c>
      <c r="M8" s="129" t="s">
        <v>108</v>
      </c>
      <c r="N8" s="2"/>
      <c r="O8" s="2"/>
      <c r="P8" s="2"/>
      <c r="Q8" s="85">
        <f>SUM(R5:BA5)</f>
        <v>13.692250372578242</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7" t="s">
        <v>98</v>
      </c>
      <c r="C9" s="173"/>
      <c r="D9" s="158" t="s">
        <v>754</v>
      </c>
      <c r="E9" s="159"/>
      <c r="F9" s="159"/>
      <c r="G9" s="16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71" t="s">
        <v>99</v>
      </c>
      <c r="C10" s="172"/>
      <c r="D10" s="161" t="s">
        <v>755</v>
      </c>
      <c r="E10" s="162"/>
      <c r="F10" s="162"/>
      <c r="G10" s="16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56" t="s">
        <v>108</v>
      </c>
      <c r="C11" s="157"/>
      <c r="D11" s="174" t="s">
        <v>756</v>
      </c>
      <c r="E11" s="175"/>
      <c r="F11" s="175"/>
      <c r="G11" s="176"/>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67</v>
      </c>
      <c r="H12" s="40" t="str">
        <f>$I$10</f>
        <v>LOGISTICS</v>
      </c>
      <c r="I12" s="14" t="s">
        <v>17</v>
      </c>
      <c r="J12" s="15" t="s">
        <v>14</v>
      </c>
      <c r="K12" s="15" t="s">
        <v>17</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1</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56" t="s">
        <v>162</v>
      </c>
      <c r="C14" s="157"/>
      <c r="D14" s="164" t="s">
        <v>749</v>
      </c>
      <c r="E14" s="165"/>
      <c r="F14" s="165"/>
      <c r="G14" s="16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8</v>
      </c>
      <c r="J15" s="24">
        <f>SUBTOTAL(3,J17:J106)</f>
        <v>8</v>
      </c>
      <c r="K15" s="24">
        <f>SUBTOTAL(3,K17:K106)</f>
        <v>8</v>
      </c>
      <c r="L15" s="24">
        <f>SUBTOTAL(3,L17:L106)</f>
        <v>8</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8</v>
      </c>
      <c r="Z16" s="90" t="s">
        <v>110</v>
      </c>
      <c r="AA16" s="75">
        <f>SUM(AA17:AA24)</f>
        <v>8</v>
      </c>
      <c r="AB16" s="76" t="s">
        <v>54</v>
      </c>
      <c r="AC16" s="75">
        <f>SUM(AC17*AD17,AC18*AD18,AC19*AD19,AC20*AD20,AC21*AD21,AC22*AD22,AC23*AD23,AC24*AD24,AC25*AD25,AC26*AD26,AC27*AD27,AC28*AD28,AC29*AD29,AC30*AD30,AC30*AD30,AC31*AD31,AC32*AD32,AC33*AD33,AC34*AD34,AC35*AD35,AC36*AD36)</f>
        <v>31.5</v>
      </c>
      <c r="AD16" s="75">
        <f>SUM(AD17:AD24)</f>
        <v>45</v>
      </c>
      <c r="AE16" s="76" t="s">
        <v>42</v>
      </c>
      <c r="AF16" s="75">
        <f>SUM(AF17:AF24)</f>
        <v>1</v>
      </c>
      <c r="AG16" s="75">
        <f>SUM(AG17:AG21)</f>
        <v>8</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1</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67</v>
      </c>
      <c r="D17" s="32" t="s">
        <v>757</v>
      </c>
      <c r="E17" s="33">
        <v>1</v>
      </c>
      <c r="F17" s="36">
        <v>11</v>
      </c>
      <c r="G17" s="36">
        <v>5</v>
      </c>
      <c r="H17" s="38" t="str">
        <f>IF(I17="","",$I$14)</f>
        <v>SCOUTING</v>
      </c>
      <c r="I17" s="34">
        <v>67</v>
      </c>
      <c r="J17" s="13" t="s">
        <v>4</v>
      </c>
      <c r="K17" s="13" t="s">
        <v>63</v>
      </c>
      <c r="L17" s="13" t="s">
        <v>75</v>
      </c>
      <c r="M17" s="13" t="s">
        <v>22</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7</v>
      </c>
      <c r="Z17" s="105" t="s">
        <v>63</v>
      </c>
      <c r="AA17" s="62">
        <f>COUNTIF($K$17:$K$106,Z17)</f>
        <v>2</v>
      </c>
      <c r="AB17" s="66" t="s">
        <v>19</v>
      </c>
      <c r="AC17" s="61">
        <f t="shared" ref="AC17:AC29" si="5">COUNTIF($L$17:$L$106,AB17)</f>
        <v>0</v>
      </c>
      <c r="AD17" s="61">
        <f t="shared" ref="AD17:AD25" si="6">P17</f>
        <v>10</v>
      </c>
      <c r="AE17" s="66" t="s">
        <v>11</v>
      </c>
      <c r="AF17" s="65">
        <f t="shared" ref="AF17:AF48" si="7">COUNTIF($M$17:$M$106,AE17)</f>
        <v>0</v>
      </c>
      <c r="AG17" s="62">
        <f>COUNTIF($E$17:$E$106,$AK17)</f>
        <v>2</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67</v>
      </c>
      <c r="D18" s="32" t="s">
        <v>758</v>
      </c>
      <c r="E18" s="33">
        <v>1</v>
      </c>
      <c r="F18" s="36">
        <v>14</v>
      </c>
      <c r="G18" s="36">
        <v>6</v>
      </c>
      <c r="H18" s="38" t="str">
        <f t="shared" ref="H18:H81" si="8">IF(I18="","",$I$14)</f>
        <v>SCOUTING</v>
      </c>
      <c r="I18" s="34">
        <v>83</v>
      </c>
      <c r="J18" s="13" t="s">
        <v>4</v>
      </c>
      <c r="K18" s="13" t="s">
        <v>63</v>
      </c>
      <c r="L18" s="13" t="s">
        <v>5</v>
      </c>
      <c r="M18" s="13" t="s">
        <v>9</v>
      </c>
      <c r="N18" s="35"/>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6</v>
      </c>
      <c r="AB18" s="66" t="s">
        <v>5</v>
      </c>
      <c r="AC18" s="61">
        <f t="shared" si="5"/>
        <v>1</v>
      </c>
      <c r="AD18" s="61">
        <f t="shared" si="6"/>
        <v>0.5</v>
      </c>
      <c r="AE18" s="66" t="s">
        <v>12</v>
      </c>
      <c r="AF18" s="65">
        <f t="shared" si="7"/>
        <v>0</v>
      </c>
      <c r="AG18" s="62">
        <f>COUNTIF($E$17:$E$106,$AK18)</f>
        <v>0</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67</v>
      </c>
      <c r="D19" s="32" t="s">
        <v>759</v>
      </c>
      <c r="E19" s="33">
        <v>4</v>
      </c>
      <c r="F19" s="36">
        <v>76</v>
      </c>
      <c r="G19" s="36">
        <v>59</v>
      </c>
      <c r="H19" s="38" t="str">
        <f t="shared" si="8"/>
        <v>SCOUTING</v>
      </c>
      <c r="I19" s="34">
        <v>547</v>
      </c>
      <c r="J19" s="13" t="s">
        <v>4</v>
      </c>
      <c r="K19" s="13" t="s">
        <v>62</v>
      </c>
      <c r="L19" s="13" t="s">
        <v>75</v>
      </c>
      <c r="M19" s="13" t="s">
        <v>22</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0</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1</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67</v>
      </c>
      <c r="D20" s="32" t="s">
        <v>760</v>
      </c>
      <c r="E20" s="33">
        <v>4</v>
      </c>
      <c r="F20" s="36">
        <v>85</v>
      </c>
      <c r="G20" s="36">
        <v>69</v>
      </c>
      <c r="H20" s="38" t="str">
        <f t="shared" si="8"/>
        <v>SCOUTING</v>
      </c>
      <c r="I20" s="34">
        <v>623</v>
      </c>
      <c r="J20" s="13" t="s">
        <v>4</v>
      </c>
      <c r="K20" s="13" t="s">
        <v>62</v>
      </c>
      <c r="L20" s="13" t="s">
        <v>48</v>
      </c>
      <c r="M20" s="13" t="s">
        <v>28</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1</v>
      </c>
      <c r="AG20" s="62">
        <f>COUNTIF($E$17:$E$106,$AK20)</f>
        <v>6</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67</v>
      </c>
      <c r="D21" s="32" t="s">
        <v>761</v>
      </c>
      <c r="E21" s="33">
        <v>4</v>
      </c>
      <c r="F21" s="36">
        <v>89</v>
      </c>
      <c r="G21" s="36">
        <v>74</v>
      </c>
      <c r="H21" s="38" t="str">
        <f t="shared" si="8"/>
        <v>SCOUTING</v>
      </c>
      <c r="I21" s="34">
        <v>660</v>
      </c>
      <c r="J21" s="13" t="s">
        <v>4</v>
      </c>
      <c r="K21" s="13" t="s">
        <v>62</v>
      </c>
      <c r="L21" s="13" t="s">
        <v>48</v>
      </c>
      <c r="M21" s="13" t="s">
        <v>27</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67</v>
      </c>
      <c r="D22" s="32" t="s">
        <v>761</v>
      </c>
      <c r="E22" s="33">
        <v>4</v>
      </c>
      <c r="F22" s="36">
        <v>89</v>
      </c>
      <c r="G22" s="36">
        <v>74</v>
      </c>
      <c r="H22" s="38" t="str">
        <f t="shared" si="8"/>
        <v>SCOUTING</v>
      </c>
      <c r="I22" s="34">
        <v>660</v>
      </c>
      <c r="J22" s="13" t="s">
        <v>4</v>
      </c>
      <c r="K22" s="13" t="s">
        <v>62</v>
      </c>
      <c r="L22" s="13" t="s">
        <v>7</v>
      </c>
      <c r="M22" s="13" t="s">
        <v>168</v>
      </c>
      <c r="N22" s="35"/>
      <c r="O22" s="5" t="s">
        <v>6</v>
      </c>
      <c r="P22" s="5">
        <v>1</v>
      </c>
      <c r="Q22" s="84">
        <f t="shared" si="4"/>
        <v>0</v>
      </c>
      <c r="R22" s="5"/>
      <c r="U22" s="66" t="s">
        <v>32</v>
      </c>
      <c r="V22" s="65">
        <f t="shared" si="9"/>
        <v>0</v>
      </c>
      <c r="X22" s="82"/>
      <c r="Y22" s="83"/>
      <c r="Z22" s="105"/>
      <c r="AA22" s="65"/>
      <c r="AB22" s="66" t="s">
        <v>6</v>
      </c>
      <c r="AC22" s="61">
        <f t="shared" si="5"/>
        <v>0</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67</v>
      </c>
      <c r="D23" s="32" t="s">
        <v>762</v>
      </c>
      <c r="E23" s="33">
        <v>4</v>
      </c>
      <c r="F23" s="36">
        <v>92</v>
      </c>
      <c r="G23" s="36">
        <v>74</v>
      </c>
      <c r="H23" s="38" t="str">
        <f t="shared" si="8"/>
        <v>SCOUTING</v>
      </c>
      <c r="I23" s="34">
        <v>662</v>
      </c>
      <c r="J23" s="13" t="s">
        <v>4</v>
      </c>
      <c r="K23" s="13" t="s">
        <v>62</v>
      </c>
      <c r="L23" s="13" t="s">
        <v>7</v>
      </c>
      <c r="M23" s="13" t="s">
        <v>26</v>
      </c>
      <c r="N23" s="35" t="s">
        <v>763</v>
      </c>
      <c r="O23" s="5" t="s">
        <v>7</v>
      </c>
      <c r="P23" s="5">
        <v>2.5</v>
      </c>
      <c r="Q23" s="84">
        <f t="shared" si="4"/>
        <v>0</v>
      </c>
      <c r="R23" s="5"/>
      <c r="U23" s="66" t="s">
        <v>33</v>
      </c>
      <c r="V23" s="65">
        <f t="shared" si="9"/>
        <v>0</v>
      </c>
      <c r="X23" s="82"/>
      <c r="Y23" s="83"/>
      <c r="Z23" s="105"/>
      <c r="AA23" s="65"/>
      <c r="AB23" s="66" t="s">
        <v>7</v>
      </c>
      <c r="AC23" s="61">
        <f t="shared" si="5"/>
        <v>2</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E2025</v>
      </c>
      <c r="C24" s="31">
        <f t="shared" si="3"/>
        <v>67</v>
      </c>
      <c r="D24" s="32" t="s">
        <v>762</v>
      </c>
      <c r="E24" s="33">
        <v>4</v>
      </c>
      <c r="F24" s="36">
        <v>94</v>
      </c>
      <c r="G24" s="36">
        <v>74</v>
      </c>
      <c r="H24" s="38" t="str">
        <f t="shared" si="8"/>
        <v>SCOUTING</v>
      </c>
      <c r="I24" s="34">
        <v>663</v>
      </c>
      <c r="J24" s="13" t="s">
        <v>3</v>
      </c>
      <c r="K24" s="13" t="s">
        <v>62</v>
      </c>
      <c r="L24" s="13" t="s">
        <v>77</v>
      </c>
      <c r="M24" s="13" t="s">
        <v>39</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2</v>
      </c>
      <c r="AD25" s="61">
        <f t="shared" si="6"/>
        <v>2</v>
      </c>
      <c r="AE25" s="66" t="s">
        <v>22</v>
      </c>
      <c r="AF25" s="65">
        <f t="shared" si="7"/>
        <v>2</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1</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2</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1</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1</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1</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1</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3:C3"/>
    <mergeCell ref="M3:N3"/>
    <mergeCell ref="D4:G4"/>
    <mergeCell ref="B4:C4"/>
    <mergeCell ref="B5:C5"/>
    <mergeCell ref="M4:N6"/>
    <mergeCell ref="D5:G5"/>
    <mergeCell ref="B14:C14"/>
    <mergeCell ref="D6:G6"/>
    <mergeCell ref="D7:G7"/>
    <mergeCell ref="D8:G8"/>
    <mergeCell ref="D9:G9"/>
    <mergeCell ref="D10:G10"/>
    <mergeCell ref="D14:G14"/>
    <mergeCell ref="B6:C6"/>
    <mergeCell ref="B7:C7"/>
    <mergeCell ref="B8:C8"/>
    <mergeCell ref="B9:C9"/>
    <mergeCell ref="B10:C10"/>
    <mergeCell ref="B11:C11"/>
    <mergeCell ref="D11:G11"/>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746</v>
      </c>
      <c r="E16" s="137" t="s">
        <v>745</v>
      </c>
      <c r="F16" s="137" t="s">
        <v>747</v>
      </c>
      <c r="G16" s="137" t="s">
        <v>743</v>
      </c>
      <c r="H16" s="137" t="s">
        <v>744</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746</v>
      </c>
      <c r="E30" s="137" t="s">
        <v>745</v>
      </c>
      <c r="F30" s="137" t="s">
        <v>747</v>
      </c>
      <c r="G30" s="137" t="s">
        <v>743</v>
      </c>
      <c r="H30" s="137" t="s">
        <v>744</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3"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REPORT_E2025067</v>
      </c>
    </row>
    <row r="2" spans="2:6" x14ac:dyDescent="0.25">
      <c r="F2" s="45" t="s">
        <v>157</v>
      </c>
    </row>
    <row r="3" spans="2:6" x14ac:dyDescent="0.25">
      <c r="B3" s="43" t="s">
        <v>156</v>
      </c>
      <c r="C3" s="43" t="str">
        <f>""""&amp;'SCOUT &amp; LOGISTICS'!B2&amp;TEXT('SCOUT &amp; LOGISTICS'!C2,"000")&amp;""""</f>
        <v>"E2025067"</v>
      </c>
      <c r="F3" s="45" t="str">
        <f t="shared" ref="F3:F16" si="0">""""&amp;B3&amp;"""" &amp; " : " &amp;C3&amp;","</f>
        <v>"name" : "E2025067",</v>
      </c>
    </row>
    <row r="4" spans="2:6" x14ac:dyDescent="0.25">
      <c r="B4" s="43" t="s">
        <v>119</v>
      </c>
      <c r="C4" s="43" t="str">
        <f>""""&amp;LEFT('SCOUT &amp; LOGISTICS'!B2,1) &amp; TEXT('SCOUT &amp; LOGISTICS'!C2,"000")&amp;""""</f>
        <v>"E067"</v>
      </c>
      <c r="F4" s="45" t="str">
        <f t="shared" si="0"/>
        <v>"cod" : "E067",</v>
      </c>
    </row>
    <row r="5" spans="2:6" x14ac:dyDescent="0.25">
      <c r="B5" s="43" t="s">
        <v>117</v>
      </c>
      <c r="C5" s="43" t="str">
        <f>""""&amp;LEFT('SCOUT &amp; LOGISTICS'!B2,1)&amp;""""</f>
        <v>"E"</v>
      </c>
      <c r="F5" s="45" t="str">
        <f t="shared" si="0"/>
        <v>"competition" : "E",</v>
      </c>
    </row>
    <row r="6" spans="2:6" x14ac:dyDescent="0.25">
      <c r="B6" s="43" t="s">
        <v>118</v>
      </c>
      <c r="C6" s="43" t="str">
        <f>TEXT('SCOUT &amp; LOGISTICS'!C2,"000")</f>
        <v>067</v>
      </c>
      <c r="F6" s="45" t="str">
        <f t="shared" si="0"/>
        <v>"number" : 067,</v>
      </c>
    </row>
    <row r="7" spans="2:6" x14ac:dyDescent="0.25">
      <c r="B7" s="43" t="s">
        <v>116</v>
      </c>
      <c r="C7" s="43" t="str">
        <f ca="1">""""&amp;TEXT('SCOUT &amp; LOGISTICS'!B3,"dd/mm/aaaa")&amp;""""</f>
        <v>"28/10/2025"</v>
      </c>
      <c r="F7" s="45" t="str">
        <f t="shared" ca="1" si="0"/>
        <v>"date" : "28/10/2025",</v>
      </c>
    </row>
    <row r="8" spans="2:6" x14ac:dyDescent="0.25">
      <c r="B8" s="43" t="s">
        <v>125</v>
      </c>
      <c r="C8" s="43" t="str">
        <f>""""&amp;'SCOUT &amp; LOGISTICS'!D4 &amp;""""</f>
        <v>"Valencia Basket"</v>
      </c>
      <c r="F8" s="45" t="str">
        <f t="shared" si="0"/>
        <v>"home_team" : "Valencia Basket",</v>
      </c>
    </row>
    <row r="9" spans="2:6" x14ac:dyDescent="0.25">
      <c r="B9" s="43" t="s">
        <v>126</v>
      </c>
      <c r="C9" s="43" t="str">
        <f>""""&amp;'SCOUT &amp; LOGISTICS'!D5&amp;""""</f>
        <v>"Fenerbahce Beko Istanbul"</v>
      </c>
      <c r="F9" s="45" t="str">
        <f t="shared" si="0"/>
        <v>"away_team" : "Fenerbahce Beko Istanbul",</v>
      </c>
    </row>
    <row r="10" spans="2:6" x14ac:dyDescent="0.25">
      <c r="B10" s="43" t="s">
        <v>127</v>
      </c>
      <c r="C10" s="43" t="str">
        <f>""""&amp;IF('SCOUT &amp; LOGISTICS'!D6="","",'SCOUT &amp; LOGISTICS'!D6)&amp;""""</f>
        <v>"JACOBO LAPRESTA"</v>
      </c>
      <c r="F10" s="45" t="str">
        <f t="shared" si="0"/>
        <v>"Data_entry" : "JACOBO LAPRESTA",</v>
      </c>
    </row>
    <row r="11" spans="2:6" x14ac:dyDescent="0.25">
      <c r="B11" s="43" t="s">
        <v>128</v>
      </c>
      <c r="C11" s="43" t="str">
        <f>""""&amp;IF('SCOUT &amp; LOGISTICS'!D7="","",'SCOUT &amp; LOGISTICS'!D7)&amp;""""</f>
        <v>"JOSE VICENTE ARQUES"</v>
      </c>
      <c r="F11" s="45" t="str">
        <f t="shared" si="0"/>
        <v>"Caller_1" : "JOSE VICENTE ARQUES",</v>
      </c>
    </row>
    <row r="12" spans="2:6" x14ac:dyDescent="0.25">
      <c r="B12" s="43" t="s">
        <v>129</v>
      </c>
      <c r="C12" s="43" t="str">
        <f>""""&amp;IF('SCOUT &amp; LOGISTICS'!D8="","",'SCOUT &amp; LOGISTICS'!D8)&amp;""""</f>
        <v>"JOSE ANTONIO RODRIGUEZ"</v>
      </c>
      <c r="F12" s="45" t="str">
        <f t="shared" si="0"/>
        <v>"Caller_2" : "JOSE ANTONIO RODRIGUEZ",</v>
      </c>
    </row>
    <row r="13" spans="2:6" x14ac:dyDescent="0.25">
      <c r="B13" s="43" t="s">
        <v>98</v>
      </c>
      <c r="C13" s="43" t="str">
        <f>""""&amp;IF('SCOUT &amp; LOGISTICS'!D9="","",'SCOUT &amp; LOGISTICS'!D9)&amp;""""</f>
        <v>"DIEGO RUIZ"</v>
      </c>
      <c r="F13" s="45" t="str">
        <f t="shared" si="0"/>
        <v>"Timerkeeper" : "DIEGO RUIZ",</v>
      </c>
    </row>
    <row r="14" spans="2:6" x14ac:dyDescent="0.25">
      <c r="B14" s="43" t="s">
        <v>99</v>
      </c>
      <c r="C14" s="43" t="str">
        <f>""""&amp;IF('SCOUT &amp; LOGISTICS'!D10="","",'SCOUT &amp; LOGISTICS'!D10)&amp;""""</f>
        <v>"MARIA DESSE"</v>
      </c>
      <c r="F14" s="45" t="str">
        <f t="shared" si="0"/>
        <v>"Shotclock" : "MARIA DESSE",</v>
      </c>
    </row>
    <row r="15" spans="2:6" x14ac:dyDescent="0.25">
      <c r="B15" s="43" t="s">
        <v>108</v>
      </c>
      <c r="C15" s="43" t="str">
        <f>""""&amp;IF('SCOUT &amp; LOGISTICS'!D11="","",'SCOUT &amp; LOGISTICS'!D11)&amp;""""</f>
        <v>"BORJA RODRIGUEZ"</v>
      </c>
      <c r="F15" s="45" t="str">
        <f t="shared" si="0"/>
        <v>"IRS" : "BORJA RODRIGUEZ",</v>
      </c>
    </row>
    <row r="16" spans="2:6" x14ac:dyDescent="0.25">
      <c r="B16" s="43" t="s">
        <v>130</v>
      </c>
      <c r="C16" s="43" t="str">
        <f>""""&amp;IF('SCOUT &amp; LOGISTICS'!D14=0,"",'SCOUT &amp; LOGISTICS'!D14)&amp;""""</f>
        <v>"ELOI VERGÉ"</v>
      </c>
      <c r="F16" s="45" t="str">
        <f t="shared" si="0"/>
        <v>"Live_Game_Manager" : "ELOI VERGÉ",</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"OK"</v>
      </c>
      <c r="F20" s="45" t="str">
        <f>""""&amp;C20&amp;"""" &amp; " : " &amp;D20&amp;","</f>
        <v>"communication" : "OK",</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671</v>
      </c>
      <c r="F25" s="45" t="str">
        <f t="shared" ref="F25:F48" si="1">""""&amp;C25&amp;"""" &amp; " : " &amp;D25&amp;","</f>
        <v>"total_actions" : 671,</v>
      </c>
    </row>
    <row r="26" spans="2:6" x14ac:dyDescent="0.25">
      <c r="C26" s="43" t="s">
        <v>132</v>
      </c>
      <c r="D26" s="43">
        <f>'SCOUT &amp; LOGISTICS'!F3</f>
        <v>8</v>
      </c>
      <c r="F26" s="45" t="str">
        <f t="shared" si="1"/>
        <v>"total_correcions" : 8,</v>
      </c>
    </row>
    <row r="27" spans="2:6" x14ac:dyDescent="0.25">
      <c r="C27" s="43" t="s">
        <v>133</v>
      </c>
      <c r="D27" s="43" t="str">
        <f>""""&amp;IF(OR(D25="",D25=0),"",TEXT(D26/D25,"0,0%"))&amp;""""</f>
        <v>"1,2%"</v>
      </c>
      <c r="F27" s="45" t="str">
        <f t="shared" si="1"/>
        <v>"%_corrections" : "1,2%",</v>
      </c>
    </row>
    <row r="28" spans="2:6" x14ac:dyDescent="0.25">
      <c r="C28" s="43" t="s">
        <v>125</v>
      </c>
      <c r="D28" s="43">
        <f>IF('SCOUT &amp; LOGISTICS'!AA17="","",'SCOUT &amp; LOGISTICS'!AA17)</f>
        <v>2</v>
      </c>
      <c r="F28" s="45" t="str">
        <f t="shared" si="1"/>
        <v>"home_team" : 2,</v>
      </c>
    </row>
    <row r="29" spans="2:6" x14ac:dyDescent="0.25">
      <c r="C29" s="43" t="s">
        <v>134</v>
      </c>
      <c r="D29" s="43">
        <f>IF('SCOUT &amp; LOGISTICS'!AA18="","",'SCOUT &amp; LOGISTICS'!AA18)</f>
        <v>6</v>
      </c>
      <c r="F29" s="45" t="str">
        <f t="shared" si="1"/>
        <v>"no_team" : 6,</v>
      </c>
    </row>
    <row r="30" spans="2:6" x14ac:dyDescent="0.25">
      <c r="C30" s="43" t="s">
        <v>126</v>
      </c>
      <c r="D30" s="43">
        <f>IF('SCOUT &amp; LOGISTICS'!AA19="","",'SCOUT &amp; LOGISTICS'!AA19)</f>
        <v>0</v>
      </c>
      <c r="F30" s="45" t="str">
        <f t="shared" si="1"/>
        <v>"away_team" : 0,</v>
      </c>
    </row>
    <row r="31" spans="2:6" x14ac:dyDescent="0.25">
      <c r="C31" s="43" t="s">
        <v>135</v>
      </c>
      <c r="D31" s="43">
        <f>'SCOUT &amp; LOGISTICS'!AG17</f>
        <v>2</v>
      </c>
      <c r="F31" s="45" t="str">
        <f t="shared" si="1"/>
        <v>"q1" : 2,</v>
      </c>
    </row>
    <row r="32" spans="2:6" x14ac:dyDescent="0.25">
      <c r="C32" s="43" t="s">
        <v>136</v>
      </c>
      <c r="D32" s="43">
        <f>'SCOUT &amp; LOGISTICS'!AG18</f>
        <v>0</v>
      </c>
      <c r="F32" s="45" t="str">
        <f t="shared" si="1"/>
        <v>"q2" : 0,</v>
      </c>
    </row>
    <row r="33" spans="3:6" x14ac:dyDescent="0.25">
      <c r="C33" s="43" t="s">
        <v>137</v>
      </c>
      <c r="D33" s="43">
        <f>'SCOUT &amp; LOGISTICS'!AG19</f>
        <v>0</v>
      </c>
      <c r="F33" s="45" t="str">
        <f t="shared" si="1"/>
        <v>"q3" : 0,</v>
      </c>
    </row>
    <row r="34" spans="3:6" x14ac:dyDescent="0.25">
      <c r="C34" s="43" t="s">
        <v>138</v>
      </c>
      <c r="D34" s="43">
        <f>'SCOUT &amp; LOGISTICS'!AG20</f>
        <v>6</v>
      </c>
      <c r="F34" s="45" t="str">
        <f t="shared" si="1"/>
        <v>"q4" : 6,</v>
      </c>
    </row>
    <row r="35" spans="3:6" x14ac:dyDescent="0.25">
      <c r="C35" s="43" t="s">
        <v>59</v>
      </c>
      <c r="D35" s="43">
        <f>'SCOUT &amp; LOGISTICS'!AG21</f>
        <v>0</v>
      </c>
      <c r="F35" s="45" t="str">
        <f t="shared" si="1"/>
        <v>"et" : 0,</v>
      </c>
    </row>
    <row r="36" spans="3:6" x14ac:dyDescent="0.25">
      <c r="C36" s="43" t="s">
        <v>139</v>
      </c>
      <c r="D36" s="43">
        <f>'SCOUT &amp; LOGISTICS'!Y18</f>
        <v>1</v>
      </c>
      <c r="F36" s="45" t="str">
        <f t="shared" si="1"/>
        <v>"boxscore_corrections" : 1,</v>
      </c>
    </row>
    <row r="37" spans="3:6" x14ac:dyDescent="0.25">
      <c r="C37" s="43" t="s">
        <v>140</v>
      </c>
      <c r="D37" s="43">
        <f>'SCOUT &amp; LOGISTICS'!Y16</f>
        <v>8</v>
      </c>
      <c r="F37" s="45" t="str">
        <f t="shared" si="1"/>
        <v>"scoresheet_corrections" : 8,</v>
      </c>
    </row>
    <row r="38" spans="3:6" x14ac:dyDescent="0.25">
      <c r="C38" s="43" t="s">
        <v>141</v>
      </c>
      <c r="D38" s="43">
        <f>'SCOUT &amp; LOGISTICS'!AC17</f>
        <v>0</v>
      </c>
      <c r="F38" s="45" t="str">
        <f t="shared" si="1"/>
        <v>"criteria" : 0,</v>
      </c>
    </row>
    <row r="39" spans="3:6" x14ac:dyDescent="0.25">
      <c r="C39" s="43" t="s">
        <v>142</v>
      </c>
      <c r="D39" s="43">
        <f>'SCOUT &amp; LOGISTICS'!AC18</f>
        <v>1</v>
      </c>
      <c r="F39" s="45" t="str">
        <f t="shared" si="1"/>
        <v>"missidentity" : 1,</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2</v>
      </c>
      <c r="F46" s="45" t="str">
        <f t="shared" si="1"/>
        <v>"part_of_a_sequence" : 2,</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"Excellent job throughout the entire game; your performance was strong overall. However, there was an important issue in the final minute. I completely understand that, especially with all the ongoing problems with the scoreboards, some people might approach you to ask for the score. That could easily cause you to miss an assist or credit an action to the wrong player. Still, I don’t think that fully explains missing points.
On our side, we’ll continue to look into and address these scoreboard issues, since they make your work and ours much more challenging."</v>
      </c>
      <c r="F51" s="45" t="str">
        <f>""""&amp;B51&amp;"""" &amp; " : " &amp;C51&amp;","</f>
        <v>"comments" : "Excellent job throughout the entire game; your performance was strong overall. However, there was an important issue in the final minute. I completely understand that, especially with all the ongoing problems with the scoreboards, some people might approach you to ask for the score. That could easily cause you to miss an assist or credit an action to the wrong player. Still, I don’t think that fully explains missing points.
On our side, we’ll continue to look into and address these scoreboard issues, since they make your work and ours much more challenging.",</v>
      </c>
    </row>
    <row r="52" spans="2:6" x14ac:dyDescent="0.25">
      <c r="B52" s="43" t="s">
        <v>153</v>
      </c>
      <c r="C52" s="43" t="str">
        <f>TEXT('SCOUT &amp; LOGISTICS'!F1,"0,0")</f>
        <v>07_067_PAM_ULK_E2025</v>
      </c>
      <c r="F52" s="45" t="str">
        <f>""""&amp;B52&amp;"""" &amp; " : " &amp;C52</f>
        <v>"result" : 07_067_PAM_ULK_E2025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5.5" zeroHeight="1" x14ac:dyDescent="0.4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45"/>
    <row r="2" spans="1:33" ht="42.65" customHeight="1" thickBot="1" x14ac:dyDescent="0.5">
      <c r="A2" s="48"/>
      <c r="B2" s="208" t="s">
        <v>708</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48"/>
    </row>
    <row r="3" spans="1:33" ht="27" customHeight="1" thickBot="1" x14ac:dyDescent="0.5">
      <c r="A3" s="48"/>
      <c r="B3" s="202" t="str">
        <f>"GAME: "&amp; LEFT('SCOUT &amp; LOGISTICS'!B2,1) &amp; TEXT('SCOUT &amp; LOGISTICS'!C2,"000") &amp; " " &amp; IF(LEFT('SCOUT &amp; LOGISTICS'!B2,1)="U","(EUROCUP)","(EUROLEAGUE)")</f>
        <v>GAME: E067 (EUROLEAGUE)</v>
      </c>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48"/>
    </row>
    <row r="4" spans="1:33" ht="14.25" customHeight="1" thickBot="1" x14ac:dyDescent="0.5">
      <c r="A4" s="48"/>
      <c r="B4" s="200" t="str">
        <f ca="1">"DATE: " &amp; TEXT('SCOUT &amp; LOGISTICS'!B3,"dd/mm")</f>
        <v>DATE: 28/10</v>
      </c>
      <c r="C4" s="200"/>
      <c r="D4" s="200"/>
      <c r="E4" s="200"/>
      <c r="F4" s="200"/>
      <c r="G4" s="200"/>
      <c r="H4" s="200"/>
      <c r="I4" s="200"/>
      <c r="J4" s="200"/>
      <c r="K4" s="200"/>
      <c r="L4" s="200"/>
      <c r="M4" s="200"/>
      <c r="N4" s="200"/>
      <c r="O4" s="200"/>
      <c r="P4" s="200"/>
      <c r="Q4" s="200"/>
      <c r="R4" s="200"/>
      <c r="S4" s="200"/>
      <c r="T4" s="200"/>
      <c r="U4" s="200"/>
      <c r="V4" s="200"/>
      <c r="W4" s="200"/>
      <c r="X4" s="200"/>
      <c r="Y4" s="200"/>
      <c r="Z4" s="200"/>
      <c r="AA4" s="200"/>
      <c r="AB4" s="200"/>
      <c r="AC4" s="200"/>
      <c r="AD4" s="200"/>
      <c r="AE4" s="200"/>
      <c r="AF4" s="48"/>
    </row>
    <row r="5" spans="1:33" ht="20.149999999999999" customHeight="1" thickBot="1" x14ac:dyDescent="0.5">
      <c r="A5" s="48"/>
      <c r="B5" s="204" t="s">
        <v>62</v>
      </c>
      <c r="C5" s="204"/>
      <c r="D5" s="204"/>
      <c r="E5" s="204"/>
      <c r="F5" s="204"/>
      <c r="G5" s="204"/>
      <c r="H5" s="204"/>
      <c r="I5" s="204"/>
      <c r="J5" s="204"/>
      <c r="K5" s="204"/>
      <c r="L5" s="204"/>
      <c r="M5" s="204"/>
      <c r="N5" s="204"/>
      <c r="O5" s="204"/>
      <c r="P5" s="204"/>
      <c r="Q5" s="204" t="s">
        <v>63</v>
      </c>
      <c r="R5" s="204"/>
      <c r="S5" s="204"/>
      <c r="T5" s="204"/>
      <c r="U5" s="204"/>
      <c r="V5" s="204"/>
      <c r="W5" s="204"/>
      <c r="X5" s="204"/>
      <c r="Y5" s="204"/>
      <c r="Z5" s="204"/>
      <c r="AA5" s="204"/>
      <c r="AB5" s="204"/>
      <c r="AC5" s="204"/>
      <c r="AD5" s="204"/>
      <c r="AE5" s="204"/>
      <c r="AF5" s="48"/>
    </row>
    <row r="6" spans="1:33" ht="23.15" customHeight="1" thickBot="1" x14ac:dyDescent="0.5">
      <c r="A6" s="48"/>
      <c r="B6" s="197" t="str">
        <f>PROPER('SCOUT &amp; LOGISTICS'!D4)</f>
        <v>Valencia Basket</v>
      </c>
      <c r="C6" s="197"/>
      <c r="D6" s="197"/>
      <c r="E6" s="197"/>
      <c r="F6" s="197"/>
      <c r="G6" s="197"/>
      <c r="H6" s="197"/>
      <c r="I6" s="197"/>
      <c r="J6" s="197"/>
      <c r="K6" s="197"/>
      <c r="L6" s="197"/>
      <c r="M6" s="197"/>
      <c r="N6" s="197"/>
      <c r="O6" s="197"/>
      <c r="P6" s="197"/>
      <c r="Q6" s="197" t="str">
        <f>PROPER('SCOUT &amp; LOGISTICS'!D5)</f>
        <v>Fenerbahce Beko Istanbul</v>
      </c>
      <c r="R6" s="197"/>
      <c r="S6" s="197"/>
      <c r="T6" s="197"/>
      <c r="U6" s="197"/>
      <c r="V6" s="197"/>
      <c r="W6" s="197"/>
      <c r="X6" s="197"/>
      <c r="Y6" s="197"/>
      <c r="Z6" s="197"/>
      <c r="AA6" s="197"/>
      <c r="AB6" s="197"/>
      <c r="AC6" s="197"/>
      <c r="AD6" s="197"/>
      <c r="AE6" s="197"/>
      <c r="AF6" s="48"/>
    </row>
    <row r="7" spans="1:33" ht="19.5" customHeight="1" thickBot="1" x14ac:dyDescent="0.5">
      <c r="A7" s="48"/>
      <c r="B7" s="203" t="str">
        <f>'SCOUT &amp; LOGISTICS'!B6</f>
        <v>Data entry</v>
      </c>
      <c r="C7" s="203"/>
      <c r="D7" s="203"/>
      <c r="E7" s="203"/>
      <c r="F7" s="203"/>
      <c r="G7" s="203" t="str">
        <f>'SCOUT &amp; LOGISTICS'!B7</f>
        <v>Caller 1</v>
      </c>
      <c r="H7" s="203"/>
      <c r="I7" s="203"/>
      <c r="J7" s="203"/>
      <c r="K7" s="203"/>
      <c r="L7" s="203" t="str">
        <f>'SCOUT &amp; LOGISTICS'!B8</f>
        <v>Caller 2</v>
      </c>
      <c r="M7" s="203"/>
      <c r="N7" s="203"/>
      <c r="O7" s="203"/>
      <c r="P7" s="203"/>
      <c r="Q7" s="203" t="str">
        <f>'SCOUT &amp; LOGISTICS'!B9</f>
        <v>Timerkeeper</v>
      </c>
      <c r="R7" s="203"/>
      <c r="S7" s="203"/>
      <c r="T7" s="203"/>
      <c r="U7" s="203"/>
      <c r="V7" s="203" t="str">
        <f>'SCOUT &amp; LOGISTICS'!B10</f>
        <v>Shotclock</v>
      </c>
      <c r="W7" s="203"/>
      <c r="X7" s="203"/>
      <c r="Y7" s="203"/>
      <c r="Z7" s="203"/>
      <c r="AA7" s="203" t="str">
        <f>'SCOUT &amp; LOGISTICS'!B11</f>
        <v>IRS</v>
      </c>
      <c r="AB7" s="203"/>
      <c r="AC7" s="203"/>
      <c r="AD7" s="203"/>
      <c r="AE7" s="203"/>
      <c r="AF7" s="48"/>
    </row>
    <row r="8" spans="1:33" ht="36" customHeight="1" thickBot="1" x14ac:dyDescent="0.5">
      <c r="A8" s="48"/>
      <c r="B8" s="201" t="str">
        <f>IF('SCOUT &amp; LOGISTICS'!D6="","",'SCOUT &amp; LOGISTICS'!D6)</f>
        <v>JACOBO LAPRESTA</v>
      </c>
      <c r="C8" s="201"/>
      <c r="D8" s="201"/>
      <c r="E8" s="201"/>
      <c r="F8" s="201"/>
      <c r="G8" s="201" t="str">
        <f>IF('SCOUT &amp; LOGISTICS'!D7="","",'SCOUT &amp; LOGISTICS'!D7)</f>
        <v>JOSE VICENTE ARQUES</v>
      </c>
      <c r="H8" s="201"/>
      <c r="I8" s="201"/>
      <c r="J8" s="201"/>
      <c r="K8" s="201"/>
      <c r="L8" s="201" t="str">
        <f>IF('SCOUT &amp; LOGISTICS'!D8="","",'SCOUT &amp; LOGISTICS'!D8)</f>
        <v>JOSE ANTONIO RODRIGUEZ</v>
      </c>
      <c r="M8" s="201"/>
      <c r="N8" s="201"/>
      <c r="O8" s="201"/>
      <c r="P8" s="201"/>
      <c r="Q8" s="201" t="str">
        <f>IF('SCOUT &amp; LOGISTICS'!D9="","",'SCOUT &amp; LOGISTICS'!D9)</f>
        <v>DIEGO RUIZ</v>
      </c>
      <c r="R8" s="201"/>
      <c r="S8" s="201"/>
      <c r="T8" s="201"/>
      <c r="U8" s="201"/>
      <c r="V8" s="201" t="str">
        <f>IF('SCOUT &amp; LOGISTICS'!D10="","",'SCOUT &amp; LOGISTICS'!D10)</f>
        <v>MARIA DESSE</v>
      </c>
      <c r="W8" s="201"/>
      <c r="X8" s="201"/>
      <c r="Y8" s="201"/>
      <c r="Z8" s="201"/>
      <c r="AA8" s="201" t="str">
        <f>IF('SCOUT &amp; LOGISTICS'!D11="","",'SCOUT &amp; LOGISTICS'!D11)</f>
        <v>BORJA RODRIGUEZ</v>
      </c>
      <c r="AB8" s="201"/>
      <c r="AC8" s="201"/>
      <c r="AD8" s="201"/>
      <c r="AE8" s="201"/>
      <c r="AF8" s="48"/>
    </row>
    <row r="9" spans="1:33" ht="16" thickBot="1" x14ac:dyDescent="0.5">
      <c r="A9" s="48"/>
      <c r="B9" s="209" t="str">
        <f>IF(OR('SCOUT &amp; LOGISTICS'!D14="",'SCOUT &amp; LOGISTICS'!D14=0),"",'SCOUT &amp; LOGISTICS'!B14 &amp; ": " &amp; 'SCOUT &amp; LOGISTICS'!D14) &amp; "     "</f>
        <v xml:space="preserve">L G M: : ELOI VERGÉ     </v>
      </c>
      <c r="C9" s="209"/>
      <c r="D9" s="209"/>
      <c r="E9" s="209"/>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48"/>
    </row>
    <row r="10" spans="1:33" s="48" customFormat="1" ht="16" thickBot="1" x14ac:dyDescent="0.5">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row>
    <row r="11" spans="1:33" ht="20.149999999999999" customHeight="1" thickBot="1" x14ac:dyDescent="0.5">
      <c r="A11" s="48"/>
      <c r="B11" s="200" t="s">
        <v>13</v>
      </c>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48"/>
    </row>
    <row r="12" spans="1:33" ht="21" customHeight="1" thickBot="1" x14ac:dyDescent="0.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5">
      <c r="A13" s="48"/>
      <c r="B13" s="205" t="str">
        <f>IF('SCOUT &amp; LOGISTICS'!I12="","",'SCOUT &amp; LOGISTICS'!I12)</f>
        <v>OK</v>
      </c>
      <c r="C13" s="205"/>
      <c r="D13" s="205"/>
      <c r="E13" s="205"/>
      <c r="F13" s="205"/>
      <c r="G13" s="205"/>
      <c r="H13" s="205" t="str">
        <f>IF('SCOUT &amp; LOGISTICS'!J12="","",'SCOUT &amp; LOGISTICS'!J12)</f>
        <v>YES</v>
      </c>
      <c r="I13" s="205"/>
      <c r="J13" s="205"/>
      <c r="K13" s="205"/>
      <c r="L13" s="205"/>
      <c r="M13" s="205"/>
      <c r="N13" s="205" t="str">
        <f>IF('SCOUT &amp; LOGISTICS'!K12="","",'SCOUT &amp; LOGISTICS'!K12)</f>
        <v>OK</v>
      </c>
      <c r="O13" s="205"/>
      <c r="P13" s="205"/>
      <c r="Q13" s="205"/>
      <c r="R13" s="205"/>
      <c r="S13" s="205"/>
      <c r="T13" s="205" t="str">
        <f>IF('SCOUT &amp; LOGISTICS'!L12="","",'SCOUT &amp; LOGISTICS'!L12)</f>
        <v>FAST</v>
      </c>
      <c r="U13" s="205"/>
      <c r="V13" s="205"/>
      <c r="W13" s="205"/>
      <c r="X13" s="205"/>
      <c r="Y13" s="205"/>
      <c r="Z13" s="205" t="str">
        <f>IF('SCOUT &amp; LOGISTICS'!M12="","",'SCOUT &amp; LOGISTICS'!M12)</f>
        <v>NO</v>
      </c>
      <c r="AA13" s="205"/>
      <c r="AB13" s="205"/>
      <c r="AC13" s="205"/>
      <c r="AD13" s="205"/>
      <c r="AE13" s="205"/>
      <c r="AF13" s="48"/>
    </row>
    <row r="14" spans="1:33" s="48" customFormat="1" ht="16" thickBot="1" x14ac:dyDescent="0.5">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row>
    <row r="15" spans="1:33" ht="20.149999999999999" customHeight="1" thickBot="1" x14ac:dyDescent="0.5">
      <c r="A15" s="48"/>
      <c r="B15" s="200" t="s">
        <v>45</v>
      </c>
      <c r="C15" s="200"/>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0"/>
      <c r="AB15" s="200"/>
      <c r="AC15" s="200"/>
      <c r="AD15" s="200"/>
      <c r="AE15" s="200"/>
      <c r="AF15" s="48"/>
    </row>
    <row r="16" spans="1:33" ht="21" customHeight="1" thickBot="1" x14ac:dyDescent="0.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5">
      <c r="A17" s="48"/>
      <c r="B17" s="203">
        <f>'SCOUT &amp; LOGISTICS'!D3</f>
        <v>671</v>
      </c>
      <c r="C17" s="203"/>
      <c r="D17" s="203"/>
      <c r="E17" s="203"/>
      <c r="F17" s="203"/>
      <c r="G17" s="203"/>
      <c r="H17" s="203"/>
      <c r="I17" s="203"/>
      <c r="J17" s="203"/>
      <c r="K17" s="203"/>
      <c r="L17" s="203">
        <f>'SCOUT &amp; LOGISTICS'!F3</f>
        <v>8</v>
      </c>
      <c r="M17" s="203"/>
      <c r="N17" s="203"/>
      <c r="O17" s="203"/>
      <c r="P17" s="203"/>
      <c r="Q17" s="203"/>
      <c r="R17" s="203"/>
      <c r="S17" s="203"/>
      <c r="T17" s="203"/>
      <c r="U17" s="203"/>
      <c r="V17" s="206">
        <f>IF(OR(B17="",B17=0),"",L17/B17)</f>
        <v>1.1922503725782414E-2</v>
      </c>
      <c r="W17" s="206"/>
      <c r="X17" s="206"/>
      <c r="Y17" s="206"/>
      <c r="Z17" s="206"/>
      <c r="AA17" s="206"/>
      <c r="AB17" s="206"/>
      <c r="AC17" s="206"/>
      <c r="AD17" s="206"/>
      <c r="AE17" s="206"/>
      <c r="AF17" s="48"/>
    </row>
    <row r="18" spans="1:32" s="48" customFormat="1" ht="16" thickBot="1" x14ac:dyDescent="0.5">
      <c r="B18" s="196"/>
      <c r="C18" s="196"/>
      <c r="D18" s="196"/>
      <c r="E18" s="196"/>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c r="AD18" s="196"/>
      <c r="AE18" s="196"/>
    </row>
    <row r="19" spans="1:32" ht="21" customHeight="1" thickBot="1" x14ac:dyDescent="0.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5">
      <c r="A20" s="48"/>
      <c r="B20" s="199">
        <f>IF('SCOUT &amp; LOGISTICS'!AA17="","",'SCOUT &amp; LOGISTICS'!AA17)</f>
        <v>2</v>
      </c>
      <c r="C20" s="199"/>
      <c r="D20" s="199"/>
      <c r="E20" s="199"/>
      <c r="F20" s="199"/>
      <c r="G20" s="199"/>
      <c r="H20" s="199"/>
      <c r="I20" s="199"/>
      <c r="J20" s="199"/>
      <c r="K20" s="199"/>
      <c r="L20" s="199">
        <f>IF('SCOUT &amp; LOGISTICS'!AA18="","",'SCOUT &amp; LOGISTICS'!AA18)</f>
        <v>6</v>
      </c>
      <c r="M20" s="199"/>
      <c r="N20" s="199"/>
      <c r="O20" s="199"/>
      <c r="P20" s="199"/>
      <c r="Q20" s="199"/>
      <c r="R20" s="199"/>
      <c r="S20" s="199"/>
      <c r="T20" s="199"/>
      <c r="U20" s="199"/>
      <c r="V20" s="199">
        <f>IF('SCOUT &amp; LOGISTICS'!AA19="","",'SCOUT &amp; LOGISTICS'!AA19)</f>
        <v>0</v>
      </c>
      <c r="W20" s="199"/>
      <c r="X20" s="199"/>
      <c r="Y20" s="199"/>
      <c r="Z20" s="199"/>
      <c r="AA20" s="199"/>
      <c r="AB20" s="199"/>
      <c r="AC20" s="199"/>
      <c r="AD20" s="199"/>
      <c r="AE20" s="199"/>
      <c r="AF20" s="48"/>
    </row>
    <row r="21" spans="1:32" ht="21" customHeight="1" thickBot="1" x14ac:dyDescent="0.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5">
      <c r="A22" s="48"/>
      <c r="B22" s="199">
        <f>'SCOUT &amp; LOGISTICS'!AG17</f>
        <v>2</v>
      </c>
      <c r="C22" s="199"/>
      <c r="D22" s="199"/>
      <c r="E22" s="199"/>
      <c r="F22" s="199"/>
      <c r="G22" s="199"/>
      <c r="H22" s="199">
        <f>'SCOUT &amp; LOGISTICS'!AG18</f>
        <v>0</v>
      </c>
      <c r="I22" s="199"/>
      <c r="J22" s="199"/>
      <c r="K22" s="199"/>
      <c r="L22" s="199"/>
      <c r="M22" s="199"/>
      <c r="N22" s="199">
        <f>'SCOUT &amp; LOGISTICS'!AG19</f>
        <v>0</v>
      </c>
      <c r="O22" s="199"/>
      <c r="P22" s="199"/>
      <c r="Q22" s="199"/>
      <c r="R22" s="199"/>
      <c r="S22" s="199"/>
      <c r="T22" s="199">
        <f>'SCOUT &amp; LOGISTICS'!AG20</f>
        <v>6</v>
      </c>
      <c r="U22" s="199"/>
      <c r="V22" s="199"/>
      <c r="W22" s="199"/>
      <c r="X22" s="199"/>
      <c r="Y22" s="199"/>
      <c r="Z22" s="199">
        <f>IF('SCOUT &amp; LOGISTICS'!AG21="","",'SCOUT &amp; LOGISTICS'!AG21)</f>
        <v>0</v>
      </c>
      <c r="AA22" s="199"/>
      <c r="AB22" s="199"/>
      <c r="AC22" s="199"/>
      <c r="AD22" s="199"/>
      <c r="AE22" s="199"/>
      <c r="AF22" s="48"/>
    </row>
    <row r="23" spans="1:32" s="48" customFormat="1" ht="16" thickBot="1" x14ac:dyDescent="0.5">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row>
    <row r="24" spans="1:32" ht="21" customHeight="1" thickBot="1" x14ac:dyDescent="0.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5">
      <c r="A25" s="48"/>
      <c r="B25" s="199">
        <f>'SCOUT &amp; LOGISTICS'!Y17</f>
        <v>7</v>
      </c>
      <c r="C25" s="199"/>
      <c r="D25" s="199"/>
      <c r="E25" s="199"/>
      <c r="F25" s="199"/>
      <c r="G25" s="199"/>
      <c r="H25" s="199"/>
      <c r="I25" s="199"/>
      <c r="J25" s="199"/>
      <c r="K25" s="199"/>
      <c r="L25" s="199"/>
      <c r="M25" s="199"/>
      <c r="N25" s="199"/>
      <c r="O25" s="199"/>
      <c r="P25" s="199"/>
      <c r="Q25" s="199">
        <f>'SCOUT &amp; LOGISTICS'!Y18</f>
        <v>1</v>
      </c>
      <c r="R25" s="199"/>
      <c r="S25" s="199"/>
      <c r="T25" s="199"/>
      <c r="U25" s="199"/>
      <c r="V25" s="199"/>
      <c r="W25" s="199"/>
      <c r="X25" s="199"/>
      <c r="Y25" s="199"/>
      <c r="Z25" s="199"/>
      <c r="AA25" s="199"/>
      <c r="AB25" s="199"/>
      <c r="AC25" s="199"/>
      <c r="AD25" s="199"/>
      <c r="AE25" s="199"/>
      <c r="AF25" s="48"/>
    </row>
    <row r="26" spans="1:32" ht="21" customHeight="1" thickBot="1" x14ac:dyDescent="0.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7" t="s">
        <v>161</v>
      </c>
      <c r="AB26" s="198"/>
      <c r="AC26" s="198"/>
      <c r="AD26" s="198"/>
      <c r="AE26" s="198"/>
      <c r="AF26" s="48"/>
    </row>
    <row r="27" spans="1:32" ht="20.149999999999999" customHeight="1" thickBot="1" x14ac:dyDescent="0.5">
      <c r="A27" s="48"/>
      <c r="B27" s="199">
        <f>'SCOUT &amp; LOGISTICS'!AC18</f>
        <v>1</v>
      </c>
      <c r="C27" s="199"/>
      <c r="D27" s="199"/>
      <c r="E27" s="199"/>
      <c r="F27" s="199"/>
      <c r="G27" s="199">
        <f>'SCOUT &amp; LOGISTICS'!AC22</f>
        <v>0</v>
      </c>
      <c r="H27" s="199"/>
      <c r="I27" s="199"/>
      <c r="J27" s="199"/>
      <c r="K27" s="199"/>
      <c r="L27" s="199">
        <f>'SCOUT &amp; LOGISTICS'!AC23</f>
        <v>2</v>
      </c>
      <c r="M27" s="199"/>
      <c r="N27" s="199"/>
      <c r="O27" s="199"/>
      <c r="P27" s="199"/>
      <c r="Q27" s="199">
        <f>'SCOUT &amp; LOGISTICS'!AC21</f>
        <v>0</v>
      </c>
      <c r="R27" s="199"/>
      <c r="S27" s="199"/>
      <c r="T27" s="199"/>
      <c r="U27" s="199"/>
      <c r="V27" s="199">
        <f>'SCOUT &amp; LOGISTICS'!AC27</f>
        <v>0</v>
      </c>
      <c r="W27" s="199"/>
      <c r="X27" s="199"/>
      <c r="Y27" s="199"/>
      <c r="Z27" s="199"/>
      <c r="AA27" s="199">
        <f>'SCOUT &amp; LOGISTICS'!AC17+'SCOUT &amp; LOGISTICS'!AC20</f>
        <v>0</v>
      </c>
      <c r="AB27" s="199"/>
      <c r="AC27" s="199"/>
      <c r="AD27" s="199"/>
      <c r="AE27" s="199"/>
      <c r="AF27" s="48"/>
    </row>
    <row r="28" spans="1:32" ht="21" customHeight="1" thickBot="1" x14ac:dyDescent="0.5">
      <c r="A28" s="48"/>
      <c r="B28" s="198" t="s">
        <v>48</v>
      </c>
      <c r="C28" s="198"/>
      <c r="D28" s="198"/>
      <c r="E28" s="198"/>
      <c r="F28" s="198"/>
      <c r="G28" s="198" t="s">
        <v>47</v>
      </c>
      <c r="H28" s="198"/>
      <c r="I28" s="198"/>
      <c r="J28" s="198"/>
      <c r="K28" s="198"/>
      <c r="L28" s="207"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5">
      <c r="A29" s="48"/>
      <c r="B29" s="199">
        <f>'SCOUT &amp; LOGISTICS'!AC25</f>
        <v>2</v>
      </c>
      <c r="C29" s="199"/>
      <c r="D29" s="199"/>
      <c r="E29" s="199"/>
      <c r="F29" s="199"/>
      <c r="G29" s="199">
        <f>'SCOUT &amp; LOGISTICS'!AC24</f>
        <v>0</v>
      </c>
      <c r="H29" s="199"/>
      <c r="I29" s="199"/>
      <c r="J29" s="199"/>
      <c r="K29" s="199"/>
      <c r="L29" s="199">
        <f>'SCOUT &amp; LOGISTICS'!$AC$29</f>
        <v>2</v>
      </c>
      <c r="M29" s="199"/>
      <c r="N29" s="199"/>
      <c r="O29" s="199"/>
      <c r="P29" s="199"/>
      <c r="Q29" s="199">
        <f>'SCOUT &amp; LOGISTICS'!AC28</f>
        <v>0</v>
      </c>
      <c r="R29" s="199"/>
      <c r="S29" s="199"/>
      <c r="T29" s="199"/>
      <c r="U29" s="199"/>
      <c r="V29" s="199">
        <f>'SCOUT &amp; LOGISTICS'!AC19</f>
        <v>0</v>
      </c>
      <c r="W29" s="199"/>
      <c r="X29" s="199"/>
      <c r="Y29" s="199"/>
      <c r="Z29" s="199"/>
      <c r="AA29" s="199">
        <f>'SCOUT &amp; LOGISTICS'!AC26</f>
        <v>1</v>
      </c>
      <c r="AB29" s="199"/>
      <c r="AC29" s="199"/>
      <c r="AD29" s="199"/>
      <c r="AE29" s="199"/>
      <c r="AF29" s="48"/>
    </row>
    <row r="30" spans="1:32" s="48" customFormat="1" ht="16" thickBot="1" x14ac:dyDescent="0.5">
      <c r="B30" s="196"/>
      <c r="C30" s="196"/>
      <c r="D30" s="196"/>
      <c r="E30" s="196"/>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row>
    <row r="31" spans="1:32" s="52" customFormat="1" ht="20.149999999999999" customHeight="1" thickBot="1" x14ac:dyDescent="0.5">
      <c r="A31" s="51"/>
      <c r="B31" s="200" t="s">
        <v>80</v>
      </c>
      <c r="C31" s="200"/>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c r="AB31" s="200"/>
      <c r="AC31" s="200"/>
      <c r="AD31" s="200"/>
      <c r="AE31" s="200"/>
      <c r="AF31" s="51"/>
    </row>
    <row r="32" spans="1:32" ht="87.65" customHeight="1" thickBot="1" x14ac:dyDescent="0.5">
      <c r="A32" s="48"/>
      <c r="B32" s="211" t="str">
        <f>IF('SCOUT &amp; LOGISTICS'!M4="","",'SCOUT &amp; LOGISTICS'!M4)</f>
        <v>Excellent job throughout the entire game; your performance was strong overall. However, there was an important issue in the final minute. I completely understand that, especially with all the ongoing problems with the scoreboards, some people might approach you to ask for the score. That could easily cause you to miss an assist or credit an action to the wrong player. Still, I don’t think that fully explains missing points.
On our side, we’ll continue to look into and address these scoreboard issues, since they make your work and ours much more challenging.</v>
      </c>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48"/>
    </row>
    <row r="33" spans="1:32" ht="20.149999999999999" customHeight="1" thickBot="1" x14ac:dyDescent="0.5">
      <c r="A33" s="48"/>
      <c r="B33" s="210"/>
      <c r="C33" s="210"/>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210"/>
      <c r="AB33" s="210"/>
      <c r="AC33" s="210"/>
      <c r="AD33" s="210"/>
      <c r="AE33" s="210"/>
      <c r="AF33" s="48"/>
    </row>
    <row r="34" spans="1:32" ht="20.149999999999999" customHeight="1" thickBot="1" x14ac:dyDescent="0.5">
      <c r="A34" s="48"/>
      <c r="B34" s="200" t="s">
        <v>81</v>
      </c>
      <c r="C34" s="200"/>
      <c r="D34" s="200"/>
      <c r="E34" s="200"/>
      <c r="F34" s="200"/>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5">
      <c r="A35" s="48"/>
      <c r="B35" s="212">
        <f>'SCOUT &amp; LOGISTICS'!M7</f>
        <v>33.692250372578243</v>
      </c>
      <c r="C35" s="212"/>
      <c r="D35" s="212"/>
      <c r="E35" s="212"/>
      <c r="F35" s="212"/>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45">
      <c r="A36" s="48"/>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48"/>
    </row>
  </sheetData>
  <sheetProtection algorithmName="SHA-512" hashValue="KYjs3UbCBMVzqruL4Nbq/9Q6XwH5AzfZYPonAL7uosobAsvXNgu99bNS00NA5GLTbcqrSUqQhNYh0XcTbuC+bw==" saltValue="ZJeV0uctt+VQU9866py/Ug==" spinCount="100000" sheet="1" selectLockedCells="1"/>
  <mergeCells count="93">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 ref="B21:G21"/>
    <mergeCell ref="H21:M21"/>
    <mergeCell ref="N21:S21"/>
    <mergeCell ref="T21:Y21"/>
    <mergeCell ref="Z21:AE21"/>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4:P24"/>
    <mergeCell ref="Q24:AE24"/>
    <mergeCell ref="B25:P25"/>
    <mergeCell ref="Q25:AE25"/>
    <mergeCell ref="B26:F26"/>
    <mergeCell ref="G26:K26"/>
    <mergeCell ref="L26:P26"/>
    <mergeCell ref="Q26:U26"/>
    <mergeCell ref="V26:Z26"/>
    <mergeCell ref="AA26:AE26"/>
    <mergeCell ref="B17:K17"/>
    <mergeCell ref="L17:U17"/>
    <mergeCell ref="V17:AE17"/>
    <mergeCell ref="B15:AE15"/>
    <mergeCell ref="B16:K16"/>
    <mergeCell ref="L16:U16"/>
    <mergeCell ref="V16:AE16"/>
    <mergeCell ref="V8:Z8"/>
    <mergeCell ref="AA8:AE8"/>
    <mergeCell ref="B13:G13"/>
    <mergeCell ref="H13:M13"/>
    <mergeCell ref="N13:S13"/>
    <mergeCell ref="T13:Y13"/>
    <mergeCell ref="Z13:AE13"/>
    <mergeCell ref="B12:G12"/>
    <mergeCell ref="H12:M12"/>
    <mergeCell ref="N12:S12"/>
    <mergeCell ref="T12:Y12"/>
    <mergeCell ref="Z12:AE12"/>
    <mergeCell ref="B10:AE10"/>
    <mergeCell ref="B3:AE3"/>
    <mergeCell ref="B4:AE4"/>
    <mergeCell ref="B7:F7"/>
    <mergeCell ref="G7:K7"/>
    <mergeCell ref="L7:P7"/>
    <mergeCell ref="Q7:U7"/>
    <mergeCell ref="V7:Z7"/>
    <mergeCell ref="AA7:AE7"/>
    <mergeCell ref="B5:P5"/>
    <mergeCell ref="Q5:AE5"/>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01D44AB8-E827-41E0-9AE6-1C5DA612F694}"/>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Eloi Vergé</cp:lastModifiedBy>
  <cp:lastPrinted>2025-10-09T17:11:09Z</cp:lastPrinted>
  <dcterms:created xsi:type="dcterms:W3CDTF">2023-09-19T19:50:35Z</dcterms:created>
  <dcterms:modified xsi:type="dcterms:W3CDTF">2025-10-29T15:50:10Z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