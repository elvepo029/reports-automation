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02" documentId="8_{B86754A4-9CEE-429D-9685-3A6BC339D6EB}" xr6:coauthVersionLast="47" xr6:coauthVersionMax="47" xr10:uidLastSave="{F92F936E-7B22-4209-8C1E-E58C43E88F03}"/>
  <bookViews>
    <workbookView minimized="1" xWindow="2240" yWindow="3140" windowWidth="14400" windowHeight="728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<sst xmlns="http://schemas.openxmlformats.org/spreadsheetml/2006/main" count="3284" uniqueCount="764">
  <si>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</si>
  <si>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</si>
  <si>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</si>
  <si>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</si>
  <si>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</si>
  <si>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</si>
  <si>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</si>
  <si>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</si>
  <si>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</si>
  <si>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</si>
  <si>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</si>
  <si>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</si>
  <si>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</si>
  <si>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</si>
  <si>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</si>
  <si>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</si>
  <si>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</si>
  <si>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</si>
  <si>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</si>
  <si>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</si>
  <si>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</si>
  <si>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</si>
  <si>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</si>
  <si>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</si>
  <si>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</si>
  <si>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</si>
  <si>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</si>
  <si>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</si>
  <si>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</si>
  <si>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</si>
  <si>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</si>
  <si>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</si>
  <si>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</si>
  <si>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</si>
  <si>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</si>
  <si>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</si>
  <si>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</si>
  <si>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</si>
  <si>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</si>
  <si>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</si>
  <si>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</si>
  <si>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</si>
  <si>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</si>
  <si>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</si>
  <si>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</si>
  <si>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</si>
  <si>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</si>
  <si>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</si>
  <si>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</si>
  <si>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</si>
  <si>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</si>
  <si>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</si>
  <si>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</si>
  <si>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</si>
  <si>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</si>
  <si>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</si>
  <si>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</si>
  <si>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</si>
  <si>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</si>
  <si>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</si>
  <si>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</si>
  <si>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</si>
  <si>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</si>
  <si>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</si>
  <si>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</si>
  <si>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</si>
  <si>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</si>
  <si>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</si>
  <si>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</si>
  <si>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</si>
  <si>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</si>
  <si>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</si>
  <si>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</si>
  <si>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</si>
  <si>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</si>
  <si>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</si>
  <si>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</si>
  <si>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</si>
  <si>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</si>
  <si>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</si>
  <si>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</si>
  <si>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</si>
  <si>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</si>
  <si>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</si>
  <si>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</si>
  <si>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</si>
  <si>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</si>
  <si>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</si>
  <si>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</si>
  <si>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</si>
  <si>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</si>
  <si>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</si>
  <si>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</si>
  <si>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</si>
  <si>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</si>
  <si>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</si>
  <si>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</si>
  <si>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</si>
  <si>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</si>
  <si>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</si>
  <si>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</si>
  <si>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</si>
  <si>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</si>
  <si>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</si>
  <si>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</si>
  <si>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</si>
  <si>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</si>
  <si>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</si>
  <si>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</si>
  <si>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</si>
  <si>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</si>
  <si>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</si>
  <si>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</si>
  <si>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</si>
  <si>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</si>
  <si>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</si>
  <si>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</si>
  <si>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</si>
  <si>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</si>
  <si>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</si>
  <si>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</si>
  <si>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</si>
  <si>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</si>
  <si>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</si>
  <si>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</si>
  <si>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</si>
  <si>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</si>
  <si>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</si>
  <si>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</si>
  <si>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</si>
  <si>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</si>
  <si>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</si>
  <si>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</si>
  <si>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</si>
  <si>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</si>
  <si>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</si>
  <si>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</si>
  <si>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</si>
  <si>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</si>
  <si>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</si>
  <si>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</si>
  <si>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</si>
  <si>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</si>
  <si>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</si>
  <si>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</si>
  <si>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</si>
  <si>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</si>
  <si>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</si>
  <si>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</si>
  <si>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</si>
  <si>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</si>
  <si>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</si>
  <si>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</si>
  <si>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</si>
  <si>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</si>
  <si>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</si>
  <si>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</si>
  <si>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</si>
  <si>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</si>
  <si>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</si>
  <si>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</si>
  <si>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</si>
  <si>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</si>
  <si>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</si>
  <si>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</si>
  <si>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</si>
  <si>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</si>
  <si>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</si>
  <si>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</si>
  <si>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</si>
  <si>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</si>
  <si>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</si>
  <si>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</si>
  <si>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</si>
  <si>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</si>
  <si>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</si>
  <si>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</si>
  <si>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</si>
  <si>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</si>
  <si>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</si>
  <si>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</si>
  <si>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</si>
  <si>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</si>
  <si>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</si>
  <si>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</si>
  <si>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</si>
  <si>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</si>
  <si>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</si>
  <si>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</si>
  <si>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</si>
  <si>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</si>
  <si>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</si>
  <si>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</si>
  <si>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</si>
  <si>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</si>
  <si>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</si>
  <si>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</si>
  <si>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</si>
  <si>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</si>
  <si>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</si>
  <si>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</si>
  <si>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</si>
  <si>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</si>
  <si>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</si>
  <si>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</si>
  <si>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</si>
  <si>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</si>
  <si>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</si>
  <si>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</si>
  <si>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</si>
  <si>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</si>
  <si>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</si>
  <si>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</si>
  <si>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</si>
  <si>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</si>
  <si>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</si>
  <si>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</si>
  <si>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</si>
  <si>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</si>
  <si>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</si>
  <si>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</si>
  <si>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</si>
  <si>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</si>
  <si>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</si>
  <si>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</si>
  <si>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</si>
  <si>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</si>
  <si>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</si>
  <si>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</si>
  <si>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</si>
  <si>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</si>
  <si>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</si>
  <si>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</si>
  <si>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</si>
  <si>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</si>
  <si>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</si>
  <si>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</si>
  <si>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</si>
  <si>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</si>
  <si>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</si>
  <si>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</si>
  <si>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</si>
  <si>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</si>
  <si>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</si>
  <si>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</si>
  <si>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</si>
  <si>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</si>
  <si>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</si>
  <si>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</si>
  <si>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</si>
  <si>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</si>
  <si>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</si>
  <si>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</si>
  <si>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</si>
  <si>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</si>
  <si>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</si>
  <si>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</si>
  <si>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</si>
  <si>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</si>
  <si>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</si>
  <si>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</si>
  <si>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</si>
  <si>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</si>
  <si>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</si>
  <si>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</si>
  <si>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</si>
  <si>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</si>
  <si>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</si>
  <si>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</si>
  <si>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</si>
  <si>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</si>
  <si>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</si>
  <si>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</si>
  <si>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</si>
  <si>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</si>
  <si>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</si>
  <si>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</si>
  <si>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</si>
  <si>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</si>
  <si>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</si>
  <si>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</si>
  <si>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</si>
  <si>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</si>
  <si>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</si>
  <si>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</si>
  <si>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</si>
  <si>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</si>
  <si>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</si>
  <si>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</si>
  <si>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</si>
  <si>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</si>
  <si>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</si>
  <si>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</si>
  <si>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</si>
  <si>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</si>
  <si>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</si>
  <si>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</si>
  <si>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</si>
  <si>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</si>
  <si>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</si>
  <si>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</si>
  <si>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</si>
  <si>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</si>
  <si>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</si>
  <si>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</si>
  <si>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</si>
  <si>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</si>
  <si>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</si>
  <si>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</si>
  <si>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</si>
  <si>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</si>
  <si>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</si>
  <si>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</si>
  <si>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</si>
  <si>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</si>
  <si>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</si>
  <si>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</si>
  <si>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</si>
  <si>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</si>
  <si>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</si>
  <si>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</si>
  <si>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</si>
  <si>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</si>
  <si>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</si>
  <si>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</si>
  <si>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</si>
  <si>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</si>
  <si>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</si>
  <si>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</si>
  <si>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</si>
  <si>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</si>
  <si>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</si>
  <si>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</si>
  <si>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</si>
  <si>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</si>
  <si>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</si>
  <si>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</si>
  <si>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</si>
  <si>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</si>
  <si>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</si>
  <si>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</si>
  <si>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</si>
  <si>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</si>
  <si>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</si>
  <si>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</si>
  <si>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</si>
  <si>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</si>
  <si>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</si>
  <si>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</si>
  <si>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</si>
  <si>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</si>
  <si>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</si>
  <si>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</si>
  <si>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</si>
  <si>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</si>
  <si>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</si>
  <si>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</si>
  <si>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</si>
  <si>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</si>
  <si>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</si>
  <si>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</si>
  <si>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</si>
  <si>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</si>
  <si>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</si>
  <si>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</si>
  <si>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</si>
  <si>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</si>
  <si>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</si>
  <si>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</si>
  <si>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</si>
  <si>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</si>
  <si>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</si>
  <si>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</si>
  <si>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</si>
  <si>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</si>
  <si>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</si>
  <si>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</si>
  <si>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</si>
  <si>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</si>
  <si>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</si>
  <si>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</si>
  <si>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</si>
  <si>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</si>
  <si>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</si>
  <si>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</si>
  <si>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</si>
  <si>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</si>
  <si>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</si>
  <si>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</si>
  <si>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</si>
  <si>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</si>
  <si>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</si>
  <si>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</si>
  <si>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</si>
  <si>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</si>
  <si>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</si>
  <si>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</si>
  <si>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</si>
  <si>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</si>
  <si>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</si>
  <si>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</si>
  <si>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</si>
  <si>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</si>
  <si>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</si>
  <si>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</si>
  <si>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</si>
  <si>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</si>
  <si>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</si>
  <si>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</si>
  <si>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</si>
  <si>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</si>
  <si>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</si>
  <si>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</si>
  <si>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</si>
  <si>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</si>
  <si>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</si>
  <si>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</si>
  <si>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</si>
  <si>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</si>
  <si>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</si>
  <si>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</si>
  <si>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</si>
  <si>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</si>
  <si>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</si>
  <si>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</si>
  <si>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</si>
  <si>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</si>
  <si>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</si>
  <si>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</si>
  <si>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</si>
  <si>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</si>
  <si>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</si>
  <si>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</si>
  <si>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</si>
  <si>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</si>
  <si>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</si>
  <si>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</si>
  <si>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</si>
  <si>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</si>
  <si>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</si>
  <si>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</si>
  <si>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</si>
  <si>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</si>
  <si>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</si>
  <si>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</si>
  <si>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</si>
  <si>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</si>
  <si>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</si>
  <si>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</si>
  <si>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</si>
  <si>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</si>
  <si>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</si>
  <si>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</si>
  <si>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</si>
  <si>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</si>
  <si>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</si>
  <si>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</si>
  <si>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</si>
  <si>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</si>
  <si>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</si>
  <si>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</si>
  <si>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</si>
  <si>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</si>
  <si>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</si>
  <si>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</si>
  <si>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</si>
  <si>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</si>
  <si>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</si>
  <si>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</si>
  <si>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</si>
  <si>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</si>
  <si>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</si>
  <si>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</si>
  <si>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</si>
  <si>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</si>
  <si>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</si>
  <si>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</si>
  <si>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</si>
  <si>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</si>
  <si>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</si>
  <si>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</si>
  <si>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</si>
  <si>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</si>
  <si>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</si>
  <si>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</si>
  <si>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</si>
  <si>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</si>
  <si>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</si>
  <si>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</si>
  <si>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</si>
  <si>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</si>
  <si>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</si>
  <si>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</si>
  <si>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</si>
  <si>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</si>
  <si>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</si>
  <si>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</si>
  <si>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</si>
  <si>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</si>
  <si>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</si>
  <si>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</si>
  <si>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</si>
  <si>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</si>
  <si>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</si>
  <si>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</si>
  <si>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</si>
  <si>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</si>
  <si>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</si>
  <si>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</si>
  <si>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</si>
  <si>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</si>
  <si>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</si>
  <si>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</si>
  <si>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</si>
  <si>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</si>
  <si>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</si>
  <si>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</si>
  <si>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</si>
  <si>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</si>
  <si>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</si>
  <si>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</si>
  <si>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</si>
  <si>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</si>
  <si>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</si>
  <si>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</si>
  <si>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</si>
  <si>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</si>
  <si>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</si>
  <si>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</si>
  <si>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</si>
  <si>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</si>
  <si>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</si>
  <si>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</si>
  <si>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</si>
  <si>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</si>
  <si>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</si>
  <si>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</si>
  <si>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</si>
  <si>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</si>
  <si>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</si>
  <si>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</si>
  <si>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</si>
  <si>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</si>
  <si>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</si>
  <si>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</si>
  <si>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</si>
  <si>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</si>
  <si>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</si>
  <si>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</si>
  <si>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</si>
  <si>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</si>
  <si>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</si>
  <si>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</si>
  <si>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</si>
  <si>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</si>
  <si>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</si>
  <si>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</si>
  <si>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</si>
  <si>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</si>
  <si>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</si>
  <si>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</si>
  <si>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</si>
  <si>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</si>
  <si>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</si>
  <si>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</si>
  <si>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</si>
  <si>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</si>
  <si>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</si>
  <si>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</si>
  <si>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</si>
  <si>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</si>
  <si>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</si>
  <si>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</si>
  <si>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</si>
  <si>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</si>
  <si>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</si>
  <si>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</si>
  <si>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</si>
  <si>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</si>
  <si>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</si>
  <si>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</si>
  <si>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</si>
  <si>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</si>
  <si>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</si>
  <si>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</si>
  <si>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</si>
  <si>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</si>
  <si>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</si>
  <si>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</si>
  <si>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</si>
  <si>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</si>
  <si>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</si>
  <si>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</si>
  <si>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</si>
  <si>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</si>
  <si>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</si>
  <si>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</si>
  <si>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</si>
  <si>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</si>
  <si>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</si>
  <si>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</si>
  <si>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</si>
  <si>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</si>
  <si>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</si>
  <si>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</si>
  <si>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</si>
  <si>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</si>
  <si>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</si>
  <si>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</si>
  <si>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</si>
  <si>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</si>
  <si>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</si>
  <si>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</si>
  <si>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</si>
  <si>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</si>
  <si>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</si>
  <si>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</si>
  <si>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</si>
  <si>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</si>
  <si>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</si>
  <si>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</si>
  <si>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</si>
  <si>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</si>
  <si>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</si>
  <si>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</si>
  <si>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</si>
  <si>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</si>
  <si>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</si>
  <si>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</si>
  <si>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</si>
  <si>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</si>
  <si>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</si>
  <si>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</si>
  <si>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</si>
  <si>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</si>
  <si>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</si>
  <si>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</si>
  <si>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</si>
  <si>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</si>
  <si>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</si>
  <si>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</si>
  <si>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</si>
  <si>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</si>
  <si>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</si>
  <si>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</si>
  <si>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</si>
  <si>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</si>
  <si>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</si>
  <si>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</si>
  <si>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</si>
  <si>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</si>
  <si>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</si>
  <si>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</si>
  <si>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</si>
  <si>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</si>
  <si>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</si>
  <si>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</si>
  <si>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</si>
  <si>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</si>
  <si>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</si>
  <si>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</si>
  <si>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</si>
  <si>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</si>
  <si>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</si>
  <si>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</si>
  <si>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</si>
  <si>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</si>
  <si>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</si>
  <si>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</si>
  <si>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</si>
  <si>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</si>
  <si>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</si>
  <si>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</si>
  <si>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</si>
  <si>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</si>
  <si>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</si>
  <si>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</si>
  <si>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</si>
  <si>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</si>
  <si>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</si>
  <si>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</si>
  <si>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</si>
  <si>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</si>
  <si>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</si>
  <si>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</si>
  <si>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</si>
  <si>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</si>
  <si>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</si>
  <si>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</si>
  <si>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</si>
  <si>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</si>
  <si>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</si>
  <si>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</si>
  <si>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</si>
  <si>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</si>
  <si>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</si>
  <si>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</si>
  <si>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</si>
  <si>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</si>
  <si>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</si>
  <si>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</si>
  <si>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</si>
  <si>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</si>
  <si>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</si>
  <si>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</si>
  <si>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</si>
  <si>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</si>
  <si>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</si>
  <si>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</si>
  <si>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</si>
  <si>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</si>
  <si>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</si>
  <si>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</si>
  <si>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</si>
  <si>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</si>
  <si>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</si>
  <si>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</si>
  <si>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</si>
  <si>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</si>
  <si>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</si>
  <si>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</si>
  <si>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</si>
  <si>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</si>
  <si>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</si>
  <si>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</si>
  <si>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</si>
  <si>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</si>
  <si>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</si>
  <si>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</si>
  <si>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</si>
  <si>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</si>
  <si>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</si>
  <si>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</si>
  <si>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</si>
  <si>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</si>
  <si>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</si>
  <si>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</si>
  <si>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</si>
  <si>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</si>
  <si>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</si>
  <si>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</si>
  <si>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</si>
  <si>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</si>
  <si>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</si>
  <si>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</si>
  <si>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</si>
  <si>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</si>
  <si>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</si>
  <si>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</si>
  <si>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</si>
  <si>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SERTAC DOSTEL</t>
  </si>
  <si>
    <t>AHMET GEZINTI</t>
  </si>
  <si>
    <t>AYBERK PARALI</t>
  </si>
  <si>
    <t>GORKEM GORGULU</t>
  </si>
  <si>
    <t>06:43</t>
  </si>
  <si>
    <t>02:14</t>
  </si>
  <si>
    <t>08:13</t>
  </si>
  <si>
    <t>07:07</t>
  </si>
  <si>
    <t>07:05</t>
  </si>
  <si>
    <t>08:37</t>
  </si>
  <si>
    <t>07:44</t>
  </si>
  <si>
    <t>Good job!</t>
  </si>
  <si>
    <t>XAVI MATEU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</si>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</sst>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07_068_BES_TRN_U2025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68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45973.833333333336</v>
      </c>
      <c r="C3" s="178"/>
      <c r="D3" s="39">
        <v>631</v>
      </c>
      <c r="E3" s="29"/>
      <c r="F3" s="26">
        <f>SUBTOTAL(3,I17:I106)</f>
        <v>8</v>
      </c>
      <c r="G3" s="27">
        <f>IF(OR(D3="",D3=0),"",F3/D3)</f>
        <v>1.2678288431061807E-2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Besiktas GAIN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BES</v>
      </c>
      <c r="I4" s="5"/>
      <c r="J4" s="119" t="s">
        <v>714</v>
      </c>
      <c r="K4" s="54" t="s">
        <v>743</v>
      </c>
      <c r="L4" s="5"/>
      <c r="M4" s="185" t="s">
        <v>761</v>
      </c>
      <c r="N4" s="186"/>
      <c r="O4" s="2"/>
      <c r="P4" s="2"/>
      <c r="Q4" s="84" t="s">
        <v>175</v>
      </c>
      <c r="R4" s="94">
        <f>(IF(G3="",0,G3))</f>
        <v>1.2678288431061807E-2</v>
      </c>
      <c r="S4" s="61">
        <f>SUM(I13:M13)</f>
        <v>0</v>
      </c>
      <c r="T4" s="78"/>
      <c r="U4" s="61">
        <f>AC18</f>
        <v>3</v>
      </c>
      <c r="V4" s="61">
        <f>+AC22</f>
        <v>4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Dolomiti Energia Trento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TRN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1.2678288431061806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4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735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750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9.2678288431061802</v>
      </c>
      <c r="N7" s="58"/>
      <c r="O7" s="2"/>
      <c r="P7" s="2"/>
      <c r="Q7" s="86">
        <f>SUM(R5,S5,AC16)</f>
        <v>9.2678288431061802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751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9.2678288431061802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752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753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68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762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8</v>
      </c>
      <c r="J15" s="24">
        <f>SUBTOTAL(3,J17:J106)</f>
        <v>8</v>
      </c>
      <c r="K15" s="24">
        <f>SUBTOTAL(3,K17:K106)</f>
        <v>8</v>
      </c>
      <c r="L15" s="24">
        <f>SUBTOTAL(3,L17:L106)</f>
        <v>8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8</v>
      </c>
      <c r="Z16" s="90" t="s">
        <v>110</v>
      </c>
      <c r="AA16" s="75">
        <f>SUM(AA17:AA24)</f>
        <v>8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8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8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68</v>
      </c>
      <c r="D17" s="32" t="s">
        <v>754</v>
      </c>
      <c r="E17" s="33">
        <v>1</v>
      </c>
      <c r="F17" s="36">
        <v>2</v>
      </c>
      <c r="G17" s="36">
        <v>6</v>
      </c>
      <c r="H17" s="38" t="str">
        <f>IF(I17="","",$I$14)</f>
        <v>SCOUTING</v>
      </c>
      <c r="I17" s="34">
        <v>34</v>
      </c>
      <c r="J17" s="13" t="s">
        <v>4</v>
      </c>
      <c r="K17" s="13" t="s">
        <v>63</v>
      </c>
      <c r="L17" s="13" t="s">
        <v>6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8</v>
      </c>
      <c r="Z17" s="105" t="s">
        <v>63</v>
      </c>
      <c r="AA17" s="62">
        <f>COUNTIF($K$17:$K$106,Z17)</f>
        <v>5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68</v>
      </c>
      <c r="D18" s="32" t="s">
        <v>755</v>
      </c>
      <c r="E18" s="33">
        <v>1</v>
      </c>
      <c r="F18" s="36">
        <v>16</v>
      </c>
      <c r="G18" s="36">
        <v>25</v>
      </c>
      <c r="H18" s="38" t="str">
        <f t="shared" ref="H18:H81" si="8">IF(I18="","",$I$14)</f>
        <v>SCOUTING</v>
      </c>
      <c r="I18" s="34">
        <v>101</v>
      </c>
      <c r="J18" s="13" t="s">
        <v>4</v>
      </c>
      <c r="K18" s="13" t="s">
        <v>63</v>
      </c>
      <c r="L18" s="13" t="s">
        <v>6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68</v>
      </c>
      <c r="D19" s="32" t="s">
        <v>756</v>
      </c>
      <c r="E19" s="33">
        <v>3</v>
      </c>
      <c r="F19" s="36">
        <v>48</v>
      </c>
      <c r="G19" s="36">
        <v>53</v>
      </c>
      <c r="H19" s="38" t="str">
        <f t="shared" si="8"/>
        <v>SCOUTING</v>
      </c>
      <c r="I19" s="34">
        <v>316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4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68</v>
      </c>
      <c r="D20" s="32" t="s">
        <v>757</v>
      </c>
      <c r="E20" s="33">
        <v>3</v>
      </c>
      <c r="F20" s="36">
        <v>53</v>
      </c>
      <c r="G20" s="36">
        <v>56</v>
      </c>
      <c r="H20" s="38" t="str">
        <f t="shared" si="8"/>
        <v>SCOUTING</v>
      </c>
      <c r="I20" s="34">
        <v>339</v>
      </c>
      <c r="J20" s="13" t="s">
        <v>4</v>
      </c>
      <c r="K20" s="13" t="s">
        <v>63</v>
      </c>
      <c r="L20" s="13" t="s">
        <v>7</v>
      </c>
      <c r="M20" s="13" t="s">
        <v>28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68</v>
      </c>
      <c r="D21" s="32" t="s">
        <v>758</v>
      </c>
      <c r="E21" s="33">
        <v>3</v>
      </c>
      <c r="F21" s="36">
        <v>53</v>
      </c>
      <c r="G21" s="36">
        <v>56</v>
      </c>
      <c r="H21" s="38" t="str">
        <f t="shared" si="8"/>
        <v>SCOUTING</v>
      </c>
      <c r="I21" s="34">
        <v>341</v>
      </c>
      <c r="J21" s="13" t="s">
        <v>4</v>
      </c>
      <c r="K21" s="13" t="s">
        <v>62</v>
      </c>
      <c r="L21" s="13" t="s">
        <v>6</v>
      </c>
      <c r="M21" s="13" t="s">
        <v>168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68</v>
      </c>
      <c r="D22" s="32" t="s">
        <v>758</v>
      </c>
      <c r="E22" s="33">
        <v>3</v>
      </c>
      <c r="F22" s="36">
        <v>53</v>
      </c>
      <c r="G22" s="36">
        <v>56</v>
      </c>
      <c r="H22" s="38" t="str">
        <f t="shared" si="8"/>
        <v>SCOUTING</v>
      </c>
      <c r="I22" s="34">
        <v>343</v>
      </c>
      <c r="J22" s="13" t="s">
        <v>4</v>
      </c>
      <c r="K22" s="13" t="s">
        <v>62</v>
      </c>
      <c r="L22" s="13" t="s">
        <v>6</v>
      </c>
      <c r="M22" s="13" t="s">
        <v>22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4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68</v>
      </c>
      <c r="D23" s="32" t="s">
        <v>759</v>
      </c>
      <c r="E23" s="33">
        <v>4</v>
      </c>
      <c r="F23" s="36">
        <v>78</v>
      </c>
      <c r="G23" s="36">
        <v>63</v>
      </c>
      <c r="H23" s="38" t="str">
        <f t="shared" si="8"/>
        <v>SCOUTING</v>
      </c>
      <c r="I23" s="34">
        <v>478</v>
      </c>
      <c r="J23" s="13" t="s">
        <v>4</v>
      </c>
      <c r="K23" s="13" t="s">
        <v>62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68</v>
      </c>
      <c r="D24" s="32" t="s">
        <v>760</v>
      </c>
      <c r="E24" s="33">
        <v>4</v>
      </c>
      <c r="F24" s="36">
        <v>80</v>
      </c>
      <c r="G24" s="36">
        <v>65</v>
      </c>
      <c r="H24" s="38" t="str">
        <f t="shared" si="8"/>
        <v>SCOUTING</v>
      </c>
      <c r="I24" s="34">
        <v>488</v>
      </c>
      <c r="J24" s="13" t="s">
        <v>4</v>
      </c>
      <c r="K24" s="13" t="s">
        <v>63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REPORT_U2025068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"U2025068"</v>
      </c>
      <c r="F3" s="45" t="str">
        <f t="shared" ref="F3:F16" si="0">""""&amp;B3&amp;"""" &amp; " : " &amp;C3&amp;","</f>
        <v>"name" : "U2025068",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"U068"</v>
      </c>
      <c r="F4" s="45" t="str">
        <f t="shared" si="0"/>
        <v>"cod" : "U068",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068</v>
      </c>
      <c r="F6" s="45" t="str">
        <f t="shared" si="0"/>
        <v>"number" : 068,</v>
      </c>
    </row>
    <row r="7" spans="2:6" x14ac:dyDescent="0.25">
      <c r="B7" s="43" t="s">
        <v>116</v>
      </c>
      <c r="C7" s="43" t="str">
        <f ca="1">""""&amp;TEXT('SCOUT &amp; LOGISTICS'!B3,"dd/mm/aaaa")&amp;""""</f>
        <v>"12/11/Wednesday"</v>
      </c>
      <c r="F7" s="45" t="str">
        <f t="shared" ca="1" si="0"/>
        <v>"date" : "12/11/Wednesday",</v>
      </c>
    </row>
    <row r="8" spans="2:6" x14ac:dyDescent="0.25">
      <c r="B8" s="43" t="s">
        <v>125</v>
      </c>
      <c r="C8" s="43" t="str">
        <f>""""&amp;'SCOUT &amp; LOGISTICS'!D4 &amp;""""</f>
        <v>"Besiktas GAIN Istanbul"</v>
      </c>
      <c r="F8" s="45" t="str">
        <f t="shared" si="0"/>
        <v>"home_team" : "Besiktas GAIN Istanbul",</v>
      </c>
    </row>
    <row r="9" spans="2:6" x14ac:dyDescent="0.25">
      <c r="B9" s="43" t="s">
        <v>126</v>
      </c>
      <c r="C9" s="43" t="str">
        <f>""""&amp;'SCOUT &amp; LOGISTICS'!D5&amp;""""</f>
        <v>"Dolomiti Energia Trento"</v>
      </c>
      <c r="F9" s="45" t="str">
        <f t="shared" si="0"/>
        <v>"away_team" : "Dolomiti Energia Trento",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"SERTAC DOSTEL"</v>
      </c>
      <c r="F11" s="45" t="str">
        <f t="shared" si="0"/>
        <v>"Caller_1" : "SERTAC DOSTEL",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"AHMET GEZINTI"</v>
      </c>
      <c r="F12" s="45" t="str">
        <f t="shared" si="0"/>
        <v>"Caller_2" : "AHMET GEZINTI",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"AYBERK PARALI"</v>
      </c>
      <c r="F13" s="45" t="str">
        <f t="shared" si="0"/>
        <v>"Timerkeeper" : "AYBERK PARALI",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"GORKEM GORGULU"</v>
      </c>
      <c r="F14" s="45" t="str">
        <f t="shared" si="0"/>
        <v>"Shotclock" : "GORKEM GORGULU",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631</v>
      </c>
      <c r="F25" s="45" t="str">
        <f t="shared" ref="F25:F48" si="1">""""&amp;C25&amp;"""" &amp; " : " &amp;D25&amp;","</f>
        <v>"total_actions" : 631,</v>
      </c>
    </row>
    <row r="26" spans="2:6" x14ac:dyDescent="0.25">
      <c r="C26" s="43" t="s">
        <v>132</v>
      </c>
      <c r="D26" s="43">
        <f>'SCOUT &amp; LOGISTICS'!F3</f>
        <v>8</v>
      </c>
      <c r="F26" s="45" t="str">
        <f t="shared" si="1"/>
        <v>"total_correcions" : 8,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5</v>
      </c>
      <c r="F28" s="45" t="str">
        <f t="shared" si="1"/>
        <v>"home_team" : 5,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4</v>
      </c>
      <c r="F33" s="45" t="str">
        <f t="shared" si="1"/>
        <v>"q3" : 4,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8</v>
      </c>
      <c r="F37" s="45" t="str">
        <f t="shared" si="1"/>
        <v>"scoresheet_corrections" : 8,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job!"</v>
      </c>
      <c r="F51" s="45" t="str">
        <f>""""&amp;B51&amp;"""" &amp; " : " &amp;C51&amp;","</f>
        <v>"comments" : "Good job!",</v>
      </c>
    </row>
    <row r="52" spans="2:6" x14ac:dyDescent="0.25">
      <c r="B52" s="43" t="s">
        <v>153</v>
      </c>
      <c r="C52" s="43" t="str">
        <f>TEXT('SCOUT &amp; LOGISTICS'!F1,"0,0")</f>
        <v>07_068_BES_TRN_U2025</v>
      </c>
      <c r="F52" s="45" t="str">
        <f>""""&amp;B52&amp;"""" &amp; " : " &amp;C52</f>
        <v>"result" : 07_068_BES_TRN_U2025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U068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12/11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Besiktas Gain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Dolomiti Energia Trento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CAN KUTLUATA</v>
      </c>
      <c r="C8" s="201"/>
      <c r="D8" s="201"/>
      <c r="E8" s="201"/>
      <c r="F8" s="201"/>
      <c r="G8" s="201" t="str">
        <f>IF('SCOUT &amp; LOGISTICS'!D7="","",'SCOUT &amp; LOGISTICS'!D7)</f>
        <v>SERTAC DOSTEL</v>
      </c>
      <c r="H8" s="201"/>
      <c r="I8" s="201"/>
      <c r="J8" s="201"/>
      <c r="K8" s="201"/>
      <c r="L8" s="201" t="str">
        <f>IF('SCOUT &amp; LOGISTICS'!D8="","",'SCOUT &amp; LOGISTICS'!D8)</f>
        <v>AHMET GEZINTI</v>
      </c>
      <c r="M8" s="201"/>
      <c r="N8" s="201"/>
      <c r="O8" s="201"/>
      <c r="P8" s="201"/>
      <c r="Q8" s="201" t="str">
        <f>IF('SCOUT &amp; LOGISTICS'!D9="","",'SCOUT &amp; LOGISTICS'!D9)</f>
        <v>AYBERK PARALI</v>
      </c>
      <c r="R8" s="201"/>
      <c r="S8" s="201"/>
      <c r="T8" s="201"/>
      <c r="U8" s="201"/>
      <c r="V8" s="201" t="str">
        <f>IF('SCOUT &amp; LOGISTICS'!D10="","",'SCOUT &amp; LOGISTICS'!D10)</f>
        <v>GORKEM GORGULU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XAVI MATEU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631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8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1.2678288431061807E-2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5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3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2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4</v>
      </c>
      <c r="O22" s="199"/>
      <c r="P22" s="199"/>
      <c r="Q22" s="199"/>
      <c r="R22" s="199"/>
      <c r="S22" s="199"/>
      <c r="T22" s="199">
        <f>'SCOUT &amp; LOGISTICS'!AG20</f>
        <v>2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8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3</v>
      </c>
      <c r="C27" s="199"/>
      <c r="D27" s="199"/>
      <c r="E27" s="199"/>
      <c r="F27" s="199"/>
      <c r="G27" s="199">
        <f>'SCOUT &amp; LOGISTICS'!AC22</f>
        <v>4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9.2678288431061802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A3CDE3B-3CA8-4A6B-84C2-65549F3E170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2025-11-13T16:46:58Z</cp:lastPrinted>
  <dcterms:created xsi:type="dcterms:W3CDTF">2023-09-19T19:50:35Z</dcterms:created>
  <dcterms:modified xsi:type="dcterms:W3CDTF">2025-11-13T16:49:11Z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