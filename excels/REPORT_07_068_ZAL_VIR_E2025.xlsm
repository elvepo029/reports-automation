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2" documentId="8_{03145293-438F-4CB6-A0A0-139E008C5E39}" xr6:coauthVersionLast="47" xr6:coauthVersionMax="47" xr10:uidLastSave="{4B620954-733A-4750-950E-899E529328F5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<sst xmlns="http://schemas.openxmlformats.org/spreadsheetml/2006/main" count="3265" uniqueCount="762">
  <si>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</si>
  <si>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</si>
  <si>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</si>
  <si>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</si>
  <si>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</si>
  <si>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</si>
  <si>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</si>
  <si>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</si>
  <si>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</si>
  <si>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</si>
  <si>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</si>
  <si>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</si>
  <si>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</si>
  <si>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</si>
  <si>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</si>
  <si>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</si>
  <si>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</si>
  <si>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</si>
  <si>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</si>
  <si>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</si>
  <si>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</si>
  <si>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</si>
  <si>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</si>
  <si>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</si>
  <si>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</si>
  <si>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</si>
  <si>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</si>
  <si>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</si>
  <si>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</si>
  <si>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</si>
  <si>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</si>
  <si>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</si>
  <si>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</si>
  <si>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</si>
  <si>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</si>
  <si>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</si>
  <si>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</si>
  <si>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</si>
  <si>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</si>
  <si>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</si>
  <si>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</si>
  <si>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</si>
  <si>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</si>
  <si>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</si>
  <si>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</si>
  <si>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</si>
  <si>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</si>
  <si>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</si>
  <si>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</si>
  <si>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</si>
  <si>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</si>
  <si>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</si>
  <si>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</si>
  <si>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</si>
  <si>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</si>
  <si>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</si>
  <si>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</si>
  <si>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</si>
  <si>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</si>
  <si>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</si>
  <si>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</si>
  <si>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</si>
  <si>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</si>
  <si>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</si>
  <si>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</si>
  <si>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</si>
  <si>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</si>
  <si>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</si>
  <si>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</si>
  <si>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</si>
  <si>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</si>
  <si>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</si>
  <si>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</si>
  <si>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</si>
  <si>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</si>
  <si>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</si>
  <si>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</si>
  <si>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</si>
  <si>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</si>
  <si>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</si>
  <si>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</si>
  <si>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</si>
  <si>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</si>
  <si>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</si>
  <si>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</si>
  <si>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</si>
  <si>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</si>
  <si>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</si>
  <si>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</si>
  <si>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</si>
  <si>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</si>
  <si>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</si>
  <si>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</si>
  <si>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</si>
  <si>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</si>
  <si>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</si>
  <si>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</si>
  <si>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</si>
  <si>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</si>
  <si>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</si>
  <si>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</si>
  <si>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</si>
  <si>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</si>
  <si>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</si>
  <si>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</si>
  <si>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</si>
  <si>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</si>
  <si>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</si>
  <si>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</si>
  <si>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</si>
  <si>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</si>
  <si>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</si>
  <si>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</si>
  <si>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</si>
  <si>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</si>
  <si>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</si>
  <si>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</si>
  <si>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</si>
  <si>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</si>
  <si>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</si>
  <si>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</si>
  <si>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</si>
  <si>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</si>
  <si>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</si>
  <si>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</si>
  <si>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</si>
  <si>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</si>
  <si>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</si>
  <si>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</si>
  <si>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</si>
  <si>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</si>
  <si>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</si>
  <si>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</si>
  <si>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</si>
  <si>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</si>
  <si>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</si>
  <si>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</si>
  <si>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</si>
  <si>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</si>
  <si>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</si>
  <si>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</si>
  <si>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</si>
  <si>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</si>
  <si>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</si>
  <si>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</si>
  <si>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</si>
  <si>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</si>
  <si>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</si>
  <si>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</si>
  <si>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</si>
  <si>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</si>
  <si>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</si>
  <si>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</si>
  <si>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</si>
  <si>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</si>
  <si>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</si>
  <si>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</si>
  <si>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</si>
  <si>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</si>
  <si>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</si>
  <si>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</si>
  <si>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</si>
  <si>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</si>
  <si>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</si>
  <si>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</si>
  <si>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</si>
  <si>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</si>
  <si>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</si>
  <si>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</si>
  <si>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</si>
  <si>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</si>
  <si>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</si>
  <si>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</si>
  <si>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</si>
  <si>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</si>
  <si>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</si>
  <si>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</si>
  <si>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</si>
  <si>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</si>
  <si>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</si>
  <si>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</si>
  <si>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</si>
  <si>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</si>
  <si>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</si>
  <si>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</si>
  <si>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</si>
  <si>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</si>
  <si>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</si>
  <si>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</si>
  <si>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</si>
  <si>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</si>
  <si>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</si>
  <si>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</si>
  <si>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</si>
  <si>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</si>
  <si>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</si>
  <si>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</si>
  <si>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</si>
  <si>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</si>
  <si>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</si>
  <si>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</si>
  <si>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</si>
  <si>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</si>
  <si>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</si>
  <si>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</si>
  <si>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</si>
  <si>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</si>
  <si>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</si>
  <si>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</si>
  <si>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</si>
  <si>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</si>
  <si>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</si>
  <si>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</si>
  <si>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</si>
  <si>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</si>
  <si>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</si>
  <si>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</si>
  <si>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</si>
  <si>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</si>
  <si>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</si>
  <si>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</si>
  <si>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</si>
  <si>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</si>
  <si>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</si>
  <si>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</si>
  <si>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</si>
  <si>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</si>
  <si>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</si>
  <si>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</si>
  <si>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</si>
  <si>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</si>
  <si>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</si>
  <si>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</si>
  <si>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</si>
  <si>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</si>
  <si>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</si>
  <si>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</si>
  <si>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</si>
  <si>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</si>
  <si>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</si>
  <si>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</si>
  <si>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</si>
  <si>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</si>
  <si>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</si>
  <si>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</si>
  <si>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</si>
  <si>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</si>
  <si>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</si>
  <si>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</si>
  <si>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</si>
  <si>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</si>
  <si>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</si>
  <si>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</si>
  <si>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</si>
  <si>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</si>
  <si>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</si>
  <si>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</si>
  <si>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</si>
  <si>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</si>
  <si>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</si>
  <si>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</si>
  <si>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</si>
  <si>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</si>
  <si>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</si>
  <si>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</si>
  <si>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</si>
  <si>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</si>
  <si>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</si>
  <si>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</si>
  <si>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</si>
  <si>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</si>
  <si>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</si>
  <si>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</si>
  <si>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</si>
  <si>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</si>
  <si>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</si>
  <si>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</si>
  <si>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</si>
  <si>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</si>
  <si>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</si>
  <si>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</si>
  <si>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</si>
  <si>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</si>
  <si>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</si>
  <si>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</si>
  <si>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</si>
  <si>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</si>
  <si>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</si>
  <si>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</si>
  <si>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</si>
  <si>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</si>
  <si>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</si>
  <si>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</si>
  <si>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</si>
  <si>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</si>
  <si>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</si>
  <si>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</si>
  <si>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</si>
  <si>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</si>
  <si>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</si>
  <si>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</si>
  <si>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</si>
  <si>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</si>
  <si>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</si>
  <si>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</si>
  <si>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</si>
  <si>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</si>
  <si>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</si>
  <si>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</si>
  <si>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</si>
  <si>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</si>
  <si>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</si>
  <si>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</si>
  <si>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</si>
  <si>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</si>
  <si>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</si>
  <si>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</si>
  <si>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</si>
  <si>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</si>
  <si>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</si>
  <si>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</si>
  <si>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</si>
  <si>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</si>
  <si>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</si>
  <si>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</si>
  <si>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</si>
  <si>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</si>
  <si>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</si>
  <si>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</si>
  <si>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</si>
  <si>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</si>
  <si>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</si>
  <si>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</si>
  <si>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</si>
  <si>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</si>
  <si>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</si>
  <si>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</si>
  <si>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</si>
  <si>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</si>
  <si>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</si>
  <si>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</si>
  <si>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</si>
  <si>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</si>
  <si>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</si>
  <si>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</si>
  <si>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</si>
  <si>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</si>
  <si>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</si>
  <si>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</si>
  <si>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</si>
  <si>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</si>
  <si>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</si>
  <si>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</si>
  <si>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</si>
  <si>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</si>
  <si>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</si>
  <si>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</si>
  <si>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</si>
  <si>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</si>
  <si>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</si>
  <si>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</si>
  <si>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</si>
  <si>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</si>
  <si>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</si>
  <si>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</si>
  <si>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</si>
  <si>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</si>
  <si>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</si>
  <si>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</si>
  <si>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</si>
  <si>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</si>
  <si>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</si>
  <si>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</si>
  <si>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</si>
  <si>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</si>
  <si>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</si>
  <si>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</si>
  <si>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</si>
  <si>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</si>
  <si>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</si>
  <si>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</si>
  <si>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</si>
  <si>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</si>
  <si>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</si>
  <si>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</si>
  <si>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</si>
  <si>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</si>
  <si>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</si>
  <si>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</si>
  <si>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</si>
  <si>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</si>
  <si>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</si>
  <si>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</si>
  <si>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</si>
  <si>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</si>
  <si>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</si>
  <si>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</si>
  <si>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</si>
  <si>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</si>
  <si>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</si>
  <si>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</si>
  <si>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</si>
  <si>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</si>
  <si>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</si>
  <si>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</si>
  <si>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</si>
  <si>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</si>
  <si>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</si>
  <si>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</si>
  <si>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</si>
  <si>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</si>
  <si>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</si>
  <si>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</si>
  <si>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</si>
  <si>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</si>
  <si>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</si>
  <si>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</si>
  <si>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</si>
  <si>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</si>
  <si>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</si>
  <si>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</si>
  <si>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</si>
  <si>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</si>
  <si>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</si>
  <si>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</si>
  <si>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</si>
  <si>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</si>
  <si>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</si>
  <si>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</si>
  <si>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</si>
  <si>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</si>
  <si>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</si>
  <si>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</si>
  <si>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</si>
  <si>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</si>
  <si>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</si>
  <si>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</si>
  <si>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</si>
  <si>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</si>
  <si>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</si>
  <si>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</si>
  <si>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</si>
  <si>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</si>
  <si>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</si>
  <si>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</si>
  <si>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</si>
  <si>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</si>
  <si>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</si>
  <si>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</si>
  <si>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</si>
  <si>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</si>
  <si>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</si>
  <si>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</si>
  <si>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</si>
  <si>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</si>
  <si>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</si>
  <si>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</si>
  <si>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</si>
  <si>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</si>
  <si>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</si>
  <si>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</si>
  <si>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</si>
  <si>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</si>
  <si>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</si>
  <si>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</si>
  <si>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</si>
  <si>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</si>
  <si>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</si>
  <si>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</si>
  <si>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</si>
  <si>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</si>
  <si>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</si>
  <si>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</si>
  <si>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</si>
  <si>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</si>
  <si>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</si>
  <si>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</si>
  <si>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</si>
  <si>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</si>
  <si>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</si>
  <si>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</si>
  <si>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</si>
  <si>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</si>
  <si>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</si>
  <si>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</si>
  <si>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</si>
  <si>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</si>
  <si>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</si>
  <si>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</si>
  <si>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</si>
  <si>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</si>
  <si>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</si>
  <si>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</si>
  <si>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</si>
  <si>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</si>
  <si>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</si>
  <si>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</si>
  <si>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</si>
  <si>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</si>
  <si>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</si>
  <si>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</si>
  <si>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</si>
  <si>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</si>
  <si>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</si>
  <si>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</si>
  <si>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</si>
  <si>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</si>
  <si>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</si>
  <si>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</si>
  <si>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</si>
  <si>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</si>
  <si>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</si>
  <si>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</si>
  <si>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</si>
  <si>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</si>
  <si>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</si>
  <si>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</si>
  <si>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</si>
  <si>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</si>
  <si>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</si>
  <si>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</si>
  <si>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</si>
  <si>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</si>
  <si>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</si>
  <si>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</si>
  <si>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</si>
  <si>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</si>
  <si>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</si>
  <si>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</si>
  <si>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</si>
  <si>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</si>
  <si>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</si>
  <si>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</si>
  <si>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</si>
  <si>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</si>
  <si>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</si>
  <si>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</si>
  <si>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</si>
  <si>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</si>
  <si>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</si>
  <si>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</si>
  <si>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</si>
  <si>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</si>
  <si>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</si>
  <si>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</si>
  <si>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</si>
  <si>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</si>
  <si>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</si>
  <si>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</si>
  <si>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</si>
  <si>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</si>
  <si>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</si>
  <si>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</si>
  <si>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</si>
  <si>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</si>
  <si>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</si>
  <si>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</si>
  <si>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</si>
  <si>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</si>
  <si>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</si>
  <si>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</si>
  <si>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</si>
  <si>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</si>
  <si>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</si>
  <si>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</si>
  <si>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</si>
  <si>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</si>
  <si>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</si>
  <si>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</si>
  <si>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</si>
  <si>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</si>
  <si>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</si>
  <si>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</si>
  <si>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</si>
  <si>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</si>
  <si>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</si>
  <si>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</si>
  <si>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</si>
  <si>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</si>
  <si>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</si>
  <si>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</si>
  <si>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</si>
  <si>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</si>
  <si>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</si>
  <si>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</si>
  <si>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</si>
  <si>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</si>
  <si>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</si>
  <si>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</si>
  <si>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</si>
  <si>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</si>
  <si>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</si>
  <si>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</si>
  <si>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</si>
  <si>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</si>
  <si>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</si>
  <si>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</si>
  <si>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</si>
  <si>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</si>
  <si>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</si>
  <si>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</si>
  <si>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</si>
  <si>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</si>
  <si>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</si>
  <si>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</si>
  <si>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</si>
  <si>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</si>
  <si>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</si>
  <si>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</si>
  <si>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</si>
  <si>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</si>
  <si>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</si>
  <si>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</si>
  <si>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</si>
  <si>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</si>
  <si>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</si>
  <si>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</si>
  <si>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</si>
  <si>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</si>
  <si>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</si>
  <si>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</si>
  <si>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</si>
  <si>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</si>
  <si>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</si>
  <si>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</si>
  <si>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</si>
  <si>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</si>
  <si>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</si>
  <si>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</si>
  <si>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</si>
  <si>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</si>
  <si>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</si>
  <si>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</si>
  <si>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</si>
  <si>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</si>
  <si>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</si>
  <si>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</si>
  <si>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</si>
  <si>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</si>
  <si>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</si>
  <si>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</si>
  <si>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</si>
  <si>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</si>
  <si>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</si>
  <si>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</si>
  <si>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</si>
  <si>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</si>
  <si>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</si>
  <si>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</si>
  <si>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</si>
  <si>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</si>
  <si>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</si>
  <si>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</si>
  <si>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</si>
  <si>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</si>
  <si>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</si>
  <si>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</si>
  <si>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</si>
  <si>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</si>
  <si>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</si>
  <si>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</si>
  <si>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</si>
  <si>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</si>
  <si>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</si>
  <si>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</si>
  <si>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</si>
  <si>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</si>
  <si>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</si>
  <si>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</si>
  <si>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</si>
  <si>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</si>
  <si>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</si>
  <si>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</si>
  <si>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</si>
  <si>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</si>
  <si>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</si>
  <si>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</si>
  <si>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</si>
  <si>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</si>
  <si>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</si>
  <si>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</si>
  <si>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</si>
  <si>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</si>
  <si>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</si>
  <si>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</si>
  <si>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</si>
  <si>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</si>
  <si>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</si>
  <si>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</si>
  <si>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</si>
  <si>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</si>
  <si>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</si>
  <si>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</si>
  <si>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</si>
  <si>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</si>
  <si>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</si>
  <si>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</si>
  <si>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</si>
  <si>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</si>
  <si>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</si>
  <si>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</si>
  <si>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</si>
  <si>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</si>
  <si>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</si>
  <si>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</si>
  <si>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</si>
  <si>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</si>
  <si>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</si>
  <si>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</si>
  <si>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</si>
  <si>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</si>
  <si>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</si>
  <si>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</si>
  <si>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</si>
  <si>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</si>
  <si>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</si>
  <si>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</si>
  <si>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</si>
  <si>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</si>
  <si>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</si>
  <si>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</si>
  <si>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</si>
  <si>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</si>
  <si>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</si>
  <si>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</si>
  <si>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</si>
  <si>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</si>
  <si>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</si>
  <si>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</si>
  <si>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</si>
  <si>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</si>
  <si>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</si>
  <si>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</si>
  <si>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</si>
  <si>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</si>
  <si>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</si>
  <si>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</si>
  <si>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</si>
  <si>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</si>
  <si>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</si>
  <si>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</si>
  <si>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</si>
  <si>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</si>
  <si>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</si>
  <si>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</si>
  <si>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</si>
  <si>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</si>
  <si>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</si>
  <si>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</si>
  <si>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ELOI VERGÉ</t>
  </si>
  <si>
    <t>C:\Users\eloi.verge\OneDrive - EUROLEAGUE\Desktop\GAME REPORTS\25-26</t>
  </si>
  <si>
    <t>GIEDRE GARCINSKAITE</t>
  </si>
  <si>
    <t>RASA KIZIKAITE</t>
  </si>
  <si>
    <t>AUKSE ZAKRIENE</t>
  </si>
  <si>
    <t>VYTAUTAS RUDZEVICIUS</t>
  </si>
  <si>
    <t>MINDAUGAS RUDZEVICIUS</t>
  </si>
  <si>
    <t>NERIJUS MAINONIS</t>
  </si>
  <si>
    <t>01:33</t>
  </si>
  <si>
    <t>01:31</t>
  </si>
  <si>
    <t>08:45</t>
  </si>
  <si>
    <t>09:37</t>
  </si>
  <si>
    <t>Really good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</si>
</sst>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29" sqref="J29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07_068_ZAL_VIR_E2025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45958.833333333336</v>
      </c>
      <c r="C3" s="157"/>
      <c r="D3" s="39">
        <v>557</v>
      </c>
      <c r="E3" s="29"/>
      <c r="F3" s="26">
        <f>SUBTOTAL(3,I17:I106)</f>
        <v>4</v>
      </c>
      <c r="G3" s="27">
        <f>IF(OR(D3="",D3=0),"",F3/D3)</f>
        <v>7.1813285457809697E-3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7.1813285457809697E-3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0.71813285457809695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5.7181328545780969</v>
      </c>
      <c r="N7" s="58"/>
      <c r="O7" s="2"/>
      <c r="P7" s="2"/>
      <c r="Q7" s="86">
        <f>SUM(R5,S5,AC16)</f>
        <v>5.7181328545780969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5.7181328545780969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68</v>
      </c>
      <c r="D17" s="32" t="s">
        <v>757</v>
      </c>
      <c r="E17" s="33">
        <v>1</v>
      </c>
      <c r="F17" s="36">
        <v>20</v>
      </c>
      <c r="G17" s="36">
        <v>9</v>
      </c>
      <c r="H17" s="38" t="str">
        <f>IF(I17="","",$I$14)</f>
        <v>SCOUTING</v>
      </c>
      <c r="I17" s="34">
        <v>129</v>
      </c>
      <c r="J17" s="13" t="s">
        <v>4</v>
      </c>
      <c r="K17" s="13" t="s">
        <v>63</v>
      </c>
      <c r="L17" s="13" t="s">
        <v>48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68</v>
      </c>
      <c r="D18" s="32" t="s">
        <v>758</v>
      </c>
      <c r="E18" s="33">
        <v>1</v>
      </c>
      <c r="F18" s="36">
        <v>20</v>
      </c>
      <c r="G18" s="36">
        <v>9</v>
      </c>
      <c r="H18" s="38" t="str">
        <f t="shared" ref="H18:H81" si="8">IF(I18="","",$I$14)</f>
        <v>SCOUTING</v>
      </c>
      <c r="I18" s="34">
        <v>130</v>
      </c>
      <c r="J18" s="13" t="s">
        <v>4</v>
      </c>
      <c r="K18" s="13" t="s">
        <v>62</v>
      </c>
      <c r="L18" s="13" t="s">
        <v>48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68</v>
      </c>
      <c r="D19" s="32" t="s">
        <v>759</v>
      </c>
      <c r="E19" s="33">
        <v>2</v>
      </c>
      <c r="F19" s="36">
        <v>27</v>
      </c>
      <c r="G19" s="36">
        <v>13</v>
      </c>
      <c r="H19" s="38" t="str">
        <f t="shared" si="8"/>
        <v>SCOUTING</v>
      </c>
      <c r="I19" s="34">
        <v>162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68</v>
      </c>
      <c r="D20" s="32" t="s">
        <v>760</v>
      </c>
      <c r="E20" s="33">
        <v>3</v>
      </c>
      <c r="F20" s="36">
        <v>58</v>
      </c>
      <c r="G20" s="36">
        <v>52</v>
      </c>
      <c r="H20" s="38" t="str">
        <f t="shared" si="8"/>
        <v>SCOUTING</v>
      </c>
      <c r="I20" s="34">
        <v>418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REPORT_E2025068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"E2025068"</v>
      </c>
      <c r="F3" s="45" t="str">
        <f t="shared" ref="F3:F16" si="0">""""&amp;B3&amp;"""" &amp; " : " &amp;C3&amp;","</f>
        <v>"name" : "E2025068",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"E068"</v>
      </c>
      <c r="F4" s="45" t="str">
        <f t="shared" si="0"/>
        <v>"cod" : "E068",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068</v>
      </c>
      <c r="F6" s="45" t="str">
        <f t="shared" si="0"/>
        <v>"number" : 068,</v>
      </c>
    </row>
    <row r="7" spans="2:6" x14ac:dyDescent="0.25">
      <c r="B7" s="43" t="s">
        <v>116</v>
      </c>
      <c r="C7" s="43" t="str">
        <f ca="1">""""&amp;TEXT('SCOUT &amp; LOGISTICS'!B3,"dd/mm/aaaa")&amp;""""</f>
        <v>"28/10/2025"</v>
      </c>
      <c r="F7" s="45" t="str">
        <f t="shared" ca="1" si="0"/>
        <v>"date" : "28/10/2025",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557</v>
      </c>
      <c r="F25" s="45" t="str">
        <f t="shared" ref="F25:F48" si="1">""""&amp;C25&amp;"""" &amp; " : " &amp;D25&amp;","</f>
        <v>"total_actions" : 557,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 as always! Keep it up!"</v>
      </c>
      <c r="F51" s="45" t="str">
        <f>""""&amp;B51&amp;"""" &amp; " : " &amp;C51&amp;","</f>
        <v>"comments" : "Really good job as always! Keep it up!",</v>
      </c>
    </row>
    <row r="52" spans="2:6" x14ac:dyDescent="0.25">
      <c r="B52" s="43" t="s">
        <v>153</v>
      </c>
      <c r="C52" s="43" t="str">
        <f>TEXT('SCOUT &amp; LOGISTICS'!F1,"0,0")</f>
        <v>07_068_ZAL_VIR_E2025</v>
      </c>
      <c r="F52" s="45" t="str">
        <f>""""&amp;B52&amp;"""" &amp; " : " &amp;C52</f>
        <v>"result" : 07_068_ZAL_VIR_E2025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E068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557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7.1813285457809697E-3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 as always!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5.7181328545780969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BA122E9-1E00-40D0-B52E-3518EC1DC781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2025-10-29T15:23:55Z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