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69" documentId="8_{838380AC-93AB-444B-B803-B391060A9734}" xr6:coauthVersionLast="47" xr6:coauthVersionMax="47" xr10:uidLastSave="{F4F79D42-D227-4241-9172-D6FD45B54D4A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<sst xmlns="http://schemas.openxmlformats.org/spreadsheetml/2006/main" count="3275" uniqueCount="763">
  <si>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</si>
  <si>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</si>
  <si>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</si>
  <si>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</si>
  <si>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</si>
  <si>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</si>
  <si>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</si>
  <si>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</si>
  <si>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</si>
  <si>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</si>
  <si>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</si>
  <si>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</si>
  <si>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</si>
  <si>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</si>
  <si>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</si>
  <si>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</si>
  <si>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</si>
  <si>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</si>
  <si>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</si>
  <si>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</si>
  <si>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</si>
  <si>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</si>
  <si>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</si>
  <si>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</si>
  <si>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</si>
  <si>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</si>
  <si>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</si>
  <si>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</si>
  <si>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</si>
  <si>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</si>
  <si>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</si>
  <si>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</si>
  <si>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</si>
  <si>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</si>
  <si>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</si>
  <si>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</si>
  <si>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</si>
  <si>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</si>
  <si>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</si>
  <si>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</si>
  <si>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</si>
  <si>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</si>
  <si>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</si>
  <si>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</si>
  <si>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</si>
  <si>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</si>
  <si>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</si>
  <si>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</si>
  <si>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</si>
  <si>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</si>
  <si>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</si>
  <si>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</si>
  <si>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</si>
  <si>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</si>
  <si>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</si>
  <si>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</si>
  <si>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</si>
  <si>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</si>
  <si>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</si>
  <si>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</si>
  <si>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</si>
  <si>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</si>
  <si>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</si>
  <si>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</si>
  <si>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</si>
  <si>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</si>
  <si>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</si>
  <si>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</si>
  <si>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</si>
  <si>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</si>
  <si>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</si>
  <si>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</si>
  <si>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</si>
  <si>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</si>
  <si>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</si>
  <si>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</si>
  <si>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</si>
  <si>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</si>
  <si>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</si>
  <si>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</si>
  <si>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</si>
  <si>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</si>
  <si>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</si>
  <si>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</si>
  <si>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</si>
  <si>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</si>
  <si>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</si>
  <si>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</si>
  <si>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</si>
  <si>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</si>
  <si>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</si>
  <si>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</si>
  <si>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</si>
  <si>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</si>
  <si>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</si>
  <si>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</si>
  <si>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</si>
  <si>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</si>
  <si>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</si>
  <si>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</si>
  <si>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</si>
  <si>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</si>
  <si>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</si>
  <si>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</si>
  <si>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</si>
  <si>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</si>
  <si>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</si>
  <si>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</si>
  <si>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</si>
  <si>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</si>
  <si>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</si>
  <si>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</si>
  <si>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</si>
  <si>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</si>
  <si>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</si>
  <si>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</si>
  <si>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</si>
  <si>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</si>
  <si>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</si>
  <si>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</si>
  <si>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</si>
  <si>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</si>
  <si>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</si>
  <si>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</si>
  <si>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</si>
  <si>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</si>
  <si>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</si>
  <si>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</si>
  <si>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</si>
  <si>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</si>
  <si>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</si>
  <si>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</si>
  <si>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</si>
  <si>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</si>
  <si>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</si>
  <si>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</si>
  <si>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</si>
  <si>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</si>
  <si>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</si>
  <si>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</si>
  <si>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</si>
  <si>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</si>
  <si>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</si>
  <si>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</si>
  <si>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</si>
  <si>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</si>
  <si>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</si>
  <si>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</si>
  <si>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</si>
  <si>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</si>
  <si>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</si>
  <si>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</si>
  <si>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</si>
  <si>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</si>
  <si>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</si>
  <si>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</si>
  <si>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</si>
  <si>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</si>
  <si>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</si>
  <si>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</si>
  <si>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</si>
  <si>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</si>
  <si>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</si>
  <si>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</si>
  <si>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</si>
  <si>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</si>
  <si>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</si>
  <si>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</si>
  <si>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</si>
  <si>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</si>
  <si>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</si>
  <si>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</si>
  <si>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</si>
  <si>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</si>
  <si>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</si>
  <si>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</si>
  <si>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</si>
  <si>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</si>
  <si>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</si>
  <si>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</si>
  <si>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</si>
  <si>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</si>
  <si>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</si>
  <si>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</si>
  <si>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</si>
  <si>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</si>
  <si>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</si>
  <si>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</si>
  <si>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</si>
  <si>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</si>
  <si>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</si>
  <si>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</si>
  <si>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</si>
  <si>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</si>
  <si>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</si>
  <si>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</si>
  <si>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</si>
  <si>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</si>
  <si>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</si>
  <si>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</si>
  <si>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</si>
  <si>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</si>
  <si>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</si>
  <si>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</si>
  <si>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</si>
  <si>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</si>
  <si>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</si>
  <si>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</si>
  <si>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</si>
  <si>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</si>
  <si>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</si>
  <si>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</si>
  <si>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</si>
  <si>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</si>
  <si>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</si>
  <si>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</si>
  <si>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</si>
  <si>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</si>
  <si>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</si>
  <si>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</si>
  <si>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</si>
  <si>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</si>
  <si>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</si>
  <si>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</si>
  <si>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</si>
  <si>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</si>
  <si>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</si>
  <si>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</si>
  <si>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</si>
  <si>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</si>
  <si>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</si>
  <si>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</si>
  <si>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</si>
  <si>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</si>
  <si>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</si>
  <si>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</si>
  <si>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</si>
  <si>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</si>
  <si>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</si>
  <si>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</si>
  <si>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</si>
  <si>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</si>
  <si>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</si>
  <si>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</si>
  <si>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</si>
  <si>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</si>
  <si>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</si>
  <si>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</si>
  <si>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</si>
  <si>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</si>
  <si>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</si>
  <si>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</si>
  <si>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</si>
  <si>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</si>
  <si>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</si>
  <si>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</si>
  <si>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</si>
  <si>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</si>
  <si>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</si>
  <si>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</si>
  <si>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</si>
  <si>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</si>
  <si>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</si>
  <si>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</si>
  <si>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</si>
  <si>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</si>
  <si>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</si>
  <si>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</si>
  <si>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</si>
  <si>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</si>
  <si>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</si>
  <si>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</si>
  <si>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</si>
  <si>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</si>
  <si>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</si>
  <si>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</si>
  <si>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</si>
  <si>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</si>
  <si>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</si>
  <si>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</si>
  <si>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</si>
  <si>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</si>
  <si>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</si>
  <si>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</si>
  <si>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</si>
  <si>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</si>
  <si>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</si>
  <si>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</si>
  <si>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</si>
  <si>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</si>
  <si>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</si>
  <si>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</si>
  <si>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</si>
  <si>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</si>
  <si>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</si>
  <si>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</si>
  <si>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</si>
  <si>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</si>
  <si>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</si>
  <si>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</si>
  <si>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</si>
  <si>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</si>
  <si>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</si>
  <si>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</si>
  <si>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</si>
  <si>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</si>
  <si>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</si>
  <si>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</si>
  <si>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</si>
  <si>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</si>
  <si>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</si>
  <si>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</si>
  <si>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</si>
  <si>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</si>
  <si>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</si>
  <si>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</si>
  <si>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</si>
  <si>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</si>
  <si>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</si>
  <si>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</si>
  <si>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</si>
  <si>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</si>
  <si>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</si>
  <si>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</si>
  <si>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</si>
  <si>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</si>
  <si>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</si>
  <si>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</si>
  <si>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</si>
  <si>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</si>
  <si>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</si>
  <si>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</si>
  <si>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</si>
  <si>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</si>
  <si>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</si>
  <si>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</si>
  <si>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</si>
  <si>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</si>
  <si>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</si>
  <si>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</si>
  <si>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</si>
  <si>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</si>
  <si>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</si>
  <si>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</si>
  <si>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</si>
  <si>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</si>
  <si>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</si>
  <si>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</si>
  <si>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</si>
  <si>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</si>
  <si>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</si>
  <si>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</si>
  <si>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</si>
  <si>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</si>
  <si>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</si>
  <si>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</si>
  <si>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</si>
  <si>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</si>
  <si>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</si>
  <si>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</si>
  <si>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</si>
  <si>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</si>
  <si>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</si>
  <si>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</si>
  <si>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</si>
  <si>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</si>
  <si>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</si>
  <si>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</si>
  <si>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</si>
  <si>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</si>
  <si>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</si>
  <si>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</si>
  <si>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</si>
  <si>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</si>
  <si>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</si>
  <si>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</si>
  <si>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</si>
  <si>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</si>
  <si>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</si>
  <si>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</si>
  <si>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</si>
  <si>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</si>
  <si>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</si>
  <si>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</si>
  <si>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</si>
  <si>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</si>
  <si>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</si>
  <si>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</si>
  <si>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</si>
  <si>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</si>
  <si>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</si>
  <si>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</si>
  <si>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</si>
  <si>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</si>
  <si>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</si>
  <si>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</si>
  <si>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</si>
  <si>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</si>
  <si>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</si>
  <si>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</si>
  <si>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</si>
  <si>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</si>
  <si>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</si>
  <si>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</si>
  <si>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</si>
  <si>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</si>
  <si>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</si>
  <si>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</si>
  <si>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</si>
  <si>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</si>
  <si>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</si>
  <si>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</si>
  <si>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</si>
  <si>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</si>
  <si>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</si>
  <si>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</si>
  <si>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</si>
  <si>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</si>
  <si>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</si>
  <si>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</si>
  <si>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</si>
  <si>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</si>
  <si>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</si>
  <si>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</si>
  <si>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</si>
  <si>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</si>
  <si>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</si>
  <si>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</si>
  <si>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</si>
  <si>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</si>
  <si>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</si>
  <si>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</si>
  <si>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</si>
  <si>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</si>
  <si>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</si>
  <si>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</si>
  <si>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</si>
  <si>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</si>
  <si>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</si>
  <si>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</si>
  <si>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</si>
  <si>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</si>
  <si>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</si>
  <si>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</si>
  <si>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</si>
  <si>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</si>
  <si>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</si>
  <si>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</si>
  <si>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</si>
  <si>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</si>
  <si>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</si>
  <si>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</si>
  <si>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</si>
  <si>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</si>
  <si>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</si>
  <si>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</si>
  <si>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</si>
  <si>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</si>
  <si>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</si>
  <si>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</si>
  <si>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</si>
  <si>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</si>
  <si>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</si>
  <si>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</si>
  <si>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</si>
  <si>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</si>
  <si>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</si>
  <si>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</si>
  <si>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</si>
  <si>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</si>
  <si>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</si>
  <si>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</si>
  <si>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</si>
  <si>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</si>
  <si>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</si>
  <si>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</si>
  <si>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</si>
  <si>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</si>
  <si>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</si>
  <si>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</si>
  <si>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</si>
  <si>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</si>
  <si>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</si>
  <si>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</si>
  <si>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</si>
  <si>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</si>
  <si>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</si>
  <si>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</si>
  <si>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</si>
  <si>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</si>
  <si>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</si>
  <si>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</si>
  <si>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</si>
  <si>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</si>
  <si>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</si>
  <si>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</si>
  <si>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</si>
  <si>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</si>
  <si>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</si>
  <si>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</si>
  <si>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</si>
  <si>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</si>
  <si>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</si>
  <si>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</si>
  <si>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</si>
  <si>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</si>
  <si>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</si>
  <si>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</si>
  <si>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</si>
  <si>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</si>
  <si>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</si>
  <si>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</si>
  <si>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</si>
  <si>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</si>
  <si>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</si>
  <si>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</si>
  <si>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</si>
  <si>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</si>
  <si>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</si>
  <si>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</si>
  <si>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</si>
  <si>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</si>
  <si>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</si>
  <si>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</si>
  <si>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</si>
  <si>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</si>
  <si>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</si>
  <si>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</si>
  <si>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</si>
  <si>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</si>
  <si>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</si>
  <si>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</si>
  <si>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</si>
  <si>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</si>
  <si>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</si>
  <si>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</si>
  <si>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</si>
  <si>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</si>
  <si>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</si>
  <si>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</si>
  <si>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</si>
  <si>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</si>
  <si>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</si>
  <si>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</si>
  <si>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</si>
  <si>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</si>
  <si>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</si>
  <si>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</si>
  <si>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</si>
  <si>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</si>
  <si>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</si>
  <si>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</si>
  <si>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</si>
  <si>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</si>
  <si>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</si>
  <si>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</si>
  <si>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</si>
  <si>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</si>
  <si>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</si>
  <si>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</si>
  <si>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</si>
  <si>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</si>
  <si>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</si>
  <si>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</si>
  <si>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</si>
  <si>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</si>
  <si>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</si>
  <si>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</si>
  <si>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</si>
  <si>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</si>
  <si>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</si>
  <si>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</si>
  <si>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</si>
  <si>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</si>
  <si>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</si>
  <si>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</si>
  <si>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</si>
  <si>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</si>
  <si>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</si>
  <si>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</si>
  <si>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</si>
  <si>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</si>
  <si>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</si>
  <si>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</si>
  <si>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</si>
  <si>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</si>
  <si>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</si>
  <si>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</si>
  <si>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</si>
  <si>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</si>
  <si>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</si>
  <si>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</si>
  <si>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</si>
  <si>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</si>
  <si>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</si>
  <si>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</si>
  <si>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</si>
  <si>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</si>
  <si>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</si>
  <si>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</si>
  <si>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</si>
  <si>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</si>
  <si>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</si>
  <si>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</si>
  <si>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</si>
  <si>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</si>
  <si>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</si>
  <si>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</si>
  <si>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</si>
  <si>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</si>
  <si>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</si>
  <si>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</si>
  <si>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</si>
  <si>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</si>
  <si>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</si>
  <si>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</si>
  <si>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</si>
  <si>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</si>
  <si>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</si>
  <si>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</si>
  <si>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</si>
  <si>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</si>
  <si>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</si>
  <si>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</si>
  <si>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</si>
  <si>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</si>
  <si>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</si>
  <si>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</si>
  <si>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</si>
  <si>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</si>
  <si>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</si>
  <si>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</si>
  <si>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</si>
  <si>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</si>
  <si>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</si>
  <si>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</si>
  <si>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</si>
  <si>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</si>
  <si>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</si>
  <si>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</si>
  <si>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</si>
  <si>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</si>
  <si>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</si>
  <si>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</si>
  <si>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</si>
  <si>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</si>
  <si>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</si>
  <si>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</si>
  <si>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</si>
  <si>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</si>
  <si>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</si>
  <si>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</si>
  <si>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</si>
  <si>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</si>
  <si>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</si>
  <si>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</si>
  <si>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</si>
  <si>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</si>
  <si>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</si>
  <si>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</si>
  <si>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</si>
  <si>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</si>
  <si>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</si>
  <si>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</si>
  <si>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</si>
  <si>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</si>
  <si>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</si>
  <si>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</si>
  <si>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</si>
  <si>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</si>
  <si>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</si>
  <si>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</si>
  <si>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</si>
  <si>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</si>
  <si>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</si>
  <si>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</si>
  <si>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</si>
  <si>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</si>
  <si>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</si>
  <si>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</si>
  <si>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</si>
  <si>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</si>
  <si>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</si>
  <si>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</si>
  <si>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</si>
  <si>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</si>
  <si>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</si>
  <si>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</si>
  <si>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</si>
  <si>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</si>
  <si>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</si>
  <si>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</si>
  <si>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</si>
  <si>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</si>
  <si>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</si>
  <si>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</si>
  <si>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</si>
  <si>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</si>
  <si>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</si>
  <si>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</si>
  <si>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</si>
  <si>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</si>
  <si>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</si>
  <si>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</si>
  <si>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</si>
  <si>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</si>
  <si>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</si>
  <si>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</si>
  <si>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</si>
  <si>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</si>
  <si>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</si>
  <si>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</si>
  <si>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</si>
  <si>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</si>
  <si>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</si>
  <si>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</si>
  <si>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</si>
  <si>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</si>
  <si>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</si>
  <si>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</si>
  <si>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</si>
  <si>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</si>
  <si>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</si>
  <si>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</si>
  <si>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</si>
  <si>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</si>
  <si>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</si>
  <si>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</si>
  <si>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</si>
  <si>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</si>
  <si>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</si>
  <si>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</si>
  <si>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</si>
  <si>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</si>
  <si>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</si>
  <si>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</si>
  <si>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</si>
  <si>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</si>
  <si>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</si>
  <si>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</si>
  <si>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</si>
  <si>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</si>
  <si>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</si>
  <si>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</si>
  <si>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</si>
  <si>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</si>
  <si>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</si>
  <si>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</si>
  <si>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</si>
  <si>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</si>
  <si>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ISKREN IVANOV</t>
  </si>
  <si>
    <t>ATHINA KAROUMPALOU</t>
  </si>
  <si>
    <t>EVGENIA MALLOUCHOU</t>
  </si>
  <si>
    <t>ANGELOS KALOGERAKOS</t>
  </si>
  <si>
    <t>ORIOL GARCIA</t>
  </si>
  <si>
    <t>07:20</t>
  </si>
  <si>
    <t>06:23</t>
  </si>
  <si>
    <t>05:12</t>
  </si>
  <si>
    <t>02:55</t>
  </si>
  <si>
    <t>01:46</t>
  </si>
  <si>
    <t>08:01</t>
  </si>
  <si>
    <t>Not the best start with most corrections on 1st quarter. I don't know if the error came from you or referees but we had a wrong foul that was correctly edited following the correct protocol. Second half was much better.</t>
  </si>
  <si>
    <t>C:\Users\oriol.garcia\OneDrive - EUROLEAGUE\Documents\Season 25-26\Reports\Euroleague\Hapoel Tel Aviv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</si>
</sst>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24" sqref="N24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07_069_HTA_PAR_E2025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69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45959.833333333336</v>
      </c>
      <c r="C3" s="178"/>
      <c r="D3" s="39">
        <v>0</v>
      </c>
      <c r="E3" s="29"/>
      <c r="F3" s="26">
        <f>SUBTOTAL(3,I17:I106)</f>
        <v>6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Hapoel IBI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85" t="s">
        <v>761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2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1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15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729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20.5</v>
      </c>
      <c r="N7" s="58"/>
      <c r="O7" s="2"/>
      <c r="P7" s="2"/>
      <c r="Q7" s="86">
        <f>SUM(R5,S5,AC16)</f>
        <v>20.5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20.5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734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69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754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20.5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69</v>
      </c>
      <c r="D17" s="32" t="s">
        <v>755</v>
      </c>
      <c r="E17" s="33">
        <v>1</v>
      </c>
      <c r="F17" s="36">
        <v>4</v>
      </c>
      <c r="G17" s="36">
        <v>3</v>
      </c>
      <c r="H17" s="38" t="str">
        <f>IF(I17="","",$I$14)</f>
        <v>SCOUTING</v>
      </c>
      <c r="I17" s="34">
        <v>26</v>
      </c>
      <c r="J17" s="13" t="s">
        <v>3</v>
      </c>
      <c r="K17" s="13" t="s">
        <v>62</v>
      </c>
      <c r="L17" s="13" t="s">
        <v>76</v>
      </c>
      <c r="M17" s="13" t="s">
        <v>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69</v>
      </c>
      <c r="D18" s="32" t="s">
        <v>756</v>
      </c>
      <c r="E18" s="33">
        <v>1</v>
      </c>
      <c r="F18" s="36">
        <v>4</v>
      </c>
      <c r="G18" s="36">
        <v>5</v>
      </c>
      <c r="H18" s="38" t="str">
        <f t="shared" ref="H18:H81" si="8">IF(I18="","",$I$14)</f>
        <v>SCOUTING</v>
      </c>
      <c r="I18" s="34">
        <v>36</v>
      </c>
      <c r="J18" s="13" t="s">
        <v>4</v>
      </c>
      <c r="K18" s="13" t="s">
        <v>62</v>
      </c>
      <c r="L18" s="13" t="s">
        <v>7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E2025</v>
      </c>
      <c r="C19" s="31">
        <f t="shared" si="3"/>
        <v>69</v>
      </c>
      <c r="D19" s="32" t="s">
        <v>757</v>
      </c>
      <c r="E19" s="33">
        <v>1</v>
      </c>
      <c r="F19" s="36">
        <v>10</v>
      </c>
      <c r="G19" s="36">
        <v>8</v>
      </c>
      <c r="H19" s="38" t="str">
        <f t="shared" si="8"/>
        <v>SCOUTING</v>
      </c>
      <c r="I19" s="34">
        <v>47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1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E2025</v>
      </c>
      <c r="C20" s="31">
        <f t="shared" si="3"/>
        <v>69</v>
      </c>
      <c r="D20" s="32" t="s">
        <v>758</v>
      </c>
      <c r="E20" s="33">
        <v>1</v>
      </c>
      <c r="F20" s="36">
        <v>16</v>
      </c>
      <c r="G20" s="36">
        <v>13</v>
      </c>
      <c r="H20" s="38" t="str">
        <f t="shared" si="8"/>
        <v>SCOUTING</v>
      </c>
      <c r="I20" s="34">
        <v>80</v>
      </c>
      <c r="J20" s="13" t="s">
        <v>4</v>
      </c>
      <c r="K20" s="13" t="s">
        <v>62</v>
      </c>
      <c r="L20" s="13" t="s">
        <v>6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E2025</v>
      </c>
      <c r="C21" s="31">
        <f t="shared" si="3"/>
        <v>69</v>
      </c>
      <c r="D21" s="32" t="s">
        <v>759</v>
      </c>
      <c r="E21" s="33">
        <v>2</v>
      </c>
      <c r="F21" s="36">
        <v>39</v>
      </c>
      <c r="G21" s="36">
        <v>37</v>
      </c>
      <c r="H21" s="38" t="str">
        <f t="shared" si="8"/>
        <v>SCOUTING</v>
      </c>
      <c r="I21" s="34">
        <v>249</v>
      </c>
      <c r="J21" s="13" t="s">
        <v>4</v>
      </c>
      <c r="K21" s="13" t="s">
        <v>62</v>
      </c>
      <c r="L21" s="13" t="s">
        <v>5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>E2025</v>
      </c>
      <c r="C22" s="31">
        <f t="shared" si="3"/>
        <v>69</v>
      </c>
      <c r="D22" s="32" t="s">
        <v>760</v>
      </c>
      <c r="E22" s="33">
        <v>3</v>
      </c>
      <c r="F22" s="36">
        <v>48</v>
      </c>
      <c r="G22" s="36">
        <v>48</v>
      </c>
      <c r="H22" s="38" t="str">
        <f t="shared" si="8"/>
        <v>SCOUTING</v>
      </c>
      <c r="I22" s="34">
        <v>303</v>
      </c>
      <c r="J22" s="13" t="s">
        <v>4</v>
      </c>
      <c r="K22" s="13" t="s">
        <v>63</v>
      </c>
      <c r="L22" s="13" t="s">
        <v>6</v>
      </c>
      <c r="M22" s="13" t="s">
        <v>28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REPORT_E2025069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"E2025069"</v>
      </c>
      <c r="F3" s="45" t="str">
        <f t="shared" ref="F3:F16" si="0">""""&amp;B3&amp;"""" &amp; " : " &amp;C3&amp;","</f>
        <v>"name" : "E2025069",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"E069"</v>
      </c>
      <c r="F4" s="45" t="str">
        <f t="shared" si="0"/>
        <v>"cod" : "E069",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069</v>
      </c>
      <c r="F6" s="45" t="str">
        <f t="shared" si="0"/>
        <v>"number" : 069,</v>
      </c>
    </row>
    <row r="7" spans="2:6" x14ac:dyDescent="0.2">
      <c r="B7" s="43" t="s">
        <v>116</v>
      </c>
      <c r="C7" s="43" t="str">
        <f ca="1">""""&amp;TEXT('SCOUT &amp; LOGISTICS'!B3,"dd/mm/aaaa")&amp;""""</f>
        <v>"29/10/Wednesday"</v>
      </c>
      <c r="F7" s="45" t="str">
        <f t="shared" ca="1" si="0"/>
        <v>"date" : "29/10/Wednesday",</v>
      </c>
    </row>
    <row r="8" spans="2:6" x14ac:dyDescent="0.2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"ISKREN IVANOV"</v>
      </c>
      <c r="F11" s="45" t="str">
        <f t="shared" si="0"/>
        <v>"Caller_1" : "ISKREN IVANOV",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"EVGENIA MALLOUCHOU"</v>
      </c>
      <c r="F13" s="45" t="str">
        <f t="shared" si="0"/>
        <v>"Timerkeeper" : "EVGENIA MALLOUCHOU",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"ANGELOS KALOGERAKOS"</v>
      </c>
      <c r="F14" s="45" t="str">
        <f t="shared" si="0"/>
        <v>"Shotclock" : "ANGELOS KALOGERAKOS",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">
      <c r="C40" s="43" t="s">
        <v>143</v>
      </c>
      <c r="D40" s="43">
        <f>'SCOUT &amp; LOGISTICS'!AC19</f>
        <v>1</v>
      </c>
      <c r="F40" s="45" t="str">
        <f t="shared" si="1"/>
        <v>"missing" : 1,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"Not the best start with most corrections on 1st quarter. I don't know if the error came from you or referees but we had a wrong foul that was correctly edited following the correct protocol. Second half was much better."</v>
      </c>
      <c r="F51" s="45" t="str">
        <f>""""&amp;B51&amp;"""" &amp; " : " &amp;C51&amp;","</f>
        <v>"comments" : "Not the best start with most corrections on 1st quarter. I don't know if the error came from you or referees but we had a wrong foul that was correctly edited following the correct protocol. Second half was much better.",</v>
      </c>
    </row>
    <row r="52" spans="2:6" x14ac:dyDescent="0.2">
      <c r="B52" s="43" t="s">
        <v>153</v>
      </c>
      <c r="C52" s="43" t="str">
        <f>TEXT('SCOUT &amp; LOGISTICS'!F1,"0,0")</f>
        <v>07_069_HTA_PAR_E2025</v>
      </c>
      <c r="F52" s="45" t="str">
        <f>""""&amp;B52&amp;"""" &amp; " : " &amp;C52</f>
        <v>"result" : 07_069_HTA_PAR_E2025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E069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29/10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Hapoel Ibi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EMMANOUIL SMPOKOS</v>
      </c>
      <c r="C8" s="201"/>
      <c r="D8" s="201"/>
      <c r="E8" s="201"/>
      <c r="F8" s="201"/>
      <c r="G8" s="201" t="str">
        <f>IF('SCOUT &amp; LOGISTICS'!D7="","",'SCOUT &amp; LOGISTICS'!D7)</f>
        <v>ISKREN IVANOV</v>
      </c>
      <c r="H8" s="201"/>
      <c r="I8" s="201"/>
      <c r="J8" s="201"/>
      <c r="K8" s="201"/>
      <c r="L8" s="201" t="str">
        <f>IF('SCOUT &amp; LOGISTICS'!D8="","",'SCOUT &amp; LOGISTICS'!D8)</f>
        <v>ATHINA KAROUMPALOU</v>
      </c>
      <c r="M8" s="201"/>
      <c r="N8" s="201"/>
      <c r="O8" s="201"/>
      <c r="P8" s="201"/>
      <c r="Q8" s="201" t="str">
        <f>IF('SCOUT &amp; LOGISTICS'!D9="","",'SCOUT &amp; LOGISTICS'!D9)</f>
        <v>EVGENIA MALLOUCHOU</v>
      </c>
      <c r="R8" s="201"/>
      <c r="S8" s="201"/>
      <c r="T8" s="201"/>
      <c r="U8" s="201"/>
      <c r="V8" s="201" t="str">
        <f>IF('SCOUT &amp; LOGISTICS'!D10="","",'SCOUT &amp; LOGISTICS'!D10)</f>
        <v>ANGELOS KALOGERAKOS</v>
      </c>
      <c r="W8" s="201"/>
      <c r="X8" s="201"/>
      <c r="Y8" s="201"/>
      <c r="Z8" s="201"/>
      <c r="AA8" s="201" t="str">
        <f>IF('SCOUT &amp; LOGISTICS'!D11="","",'SCOUT &amp; LOGISTICS'!D11)</f>
        <v>KONSTANTINOS TROUPIS</v>
      </c>
      <c r="AB8" s="201"/>
      <c r="AC8" s="201"/>
      <c r="AD8" s="201"/>
      <c r="AE8" s="201"/>
      <c r="AF8" s="48"/>
    </row>
    <row r="9" spans="1:33" ht="13.5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5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5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6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5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5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4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5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5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1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5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Not the best start with most corrections on 1st quarter. I don't know if the error came from you or referees but we had a wrong foul that was correctly edited following the correct protocol. Second half was much better.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20.5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12E4632-C493-49D4-A006-A1FD48032CB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2025-11-10T10:44:56Z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