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4" documentId="8_{BCECD49E-1AD0-49EA-AF85-F4ED9FFB2756}" xr6:coauthVersionLast="47" xr6:coauthVersionMax="47" xr10:uidLastSave="{DD9C3EC2-C9DD-4C8C-AEBC-DFE61DF601DA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<sst xmlns="http://schemas.openxmlformats.org/spreadsheetml/2006/main" count="3251" uniqueCount="760">
  <si>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</si>
  <si>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</si>
  <si>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</si>
  <si>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</si>
  <si>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</si>
  <si>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</si>
  <si>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</si>
  <si>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</si>
  <si>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</si>
  <si>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</si>
  <si>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</si>
  <si>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</si>
  <si>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</si>
  <si>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</si>
  <si>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</si>
  <si>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</si>
  <si>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</si>
  <si>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</si>
  <si>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</si>
  <si>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</si>
  <si>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</si>
  <si>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</si>
  <si>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</si>
  <si>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</si>
  <si>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</si>
  <si>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</si>
  <si>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</si>
  <si>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</si>
  <si>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</si>
  <si>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</si>
  <si>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</si>
  <si>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</si>
  <si>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</si>
  <si>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</si>
  <si>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</si>
  <si>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</si>
  <si>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</si>
  <si>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</si>
  <si>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</si>
  <si>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</si>
  <si>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</si>
  <si>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</si>
  <si>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</si>
  <si>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</si>
  <si>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</si>
  <si>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</si>
  <si>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</si>
  <si>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</si>
  <si>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</si>
  <si>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</si>
  <si>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</si>
  <si>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</si>
  <si>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</si>
  <si>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</si>
  <si>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</si>
  <si>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</si>
  <si>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</si>
  <si>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</si>
  <si>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</si>
  <si>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</si>
  <si>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</si>
  <si>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</si>
  <si>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</si>
  <si>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</si>
  <si>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</si>
  <si>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</si>
  <si>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</si>
  <si>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</si>
  <si>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</si>
  <si>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</si>
  <si>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</si>
  <si>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</si>
  <si>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</si>
  <si>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</si>
  <si>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</si>
  <si>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</si>
  <si>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</si>
  <si>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</si>
  <si>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</si>
  <si>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</si>
  <si>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</si>
  <si>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</si>
  <si>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</si>
  <si>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</si>
  <si>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</si>
  <si>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</si>
  <si>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</si>
  <si>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</si>
  <si>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</si>
  <si>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</si>
  <si>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</si>
  <si>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</si>
  <si>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</si>
  <si>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</si>
  <si>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</si>
  <si>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</si>
  <si>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</si>
  <si>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</si>
  <si>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</si>
  <si>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</si>
  <si>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</si>
  <si>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</si>
  <si>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</si>
  <si>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</si>
  <si>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</si>
  <si>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</si>
  <si>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</si>
  <si>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</si>
  <si>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</si>
  <si>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</si>
  <si>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</si>
  <si>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</si>
  <si>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</si>
  <si>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</si>
  <si>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</si>
  <si>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</si>
  <si>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</si>
  <si>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</si>
  <si>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</si>
  <si>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</si>
  <si>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</si>
  <si>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</si>
  <si>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</si>
  <si>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</si>
  <si>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</si>
  <si>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</si>
  <si>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</si>
  <si>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</si>
  <si>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</si>
  <si>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</si>
  <si>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</si>
  <si>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</si>
  <si>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</si>
  <si>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</si>
  <si>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</si>
  <si>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</si>
  <si>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</si>
  <si>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</si>
  <si>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</si>
  <si>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</si>
  <si>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</si>
  <si>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</si>
  <si>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</si>
  <si>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</si>
  <si>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</si>
  <si>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</si>
  <si>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</si>
  <si>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</si>
  <si>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</si>
  <si>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</si>
  <si>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</si>
  <si>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</si>
  <si>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</si>
  <si>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</si>
  <si>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</si>
  <si>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</si>
  <si>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</si>
  <si>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</si>
  <si>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</si>
  <si>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</si>
  <si>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</si>
  <si>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</si>
  <si>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</si>
  <si>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</si>
  <si>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</si>
  <si>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</si>
  <si>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</si>
  <si>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</si>
  <si>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</si>
  <si>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</si>
  <si>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</si>
  <si>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</si>
  <si>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</si>
  <si>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</si>
  <si>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</si>
  <si>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</si>
  <si>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</si>
  <si>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</si>
  <si>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</si>
  <si>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</si>
  <si>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</si>
  <si>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</si>
  <si>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</si>
  <si>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</si>
  <si>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</si>
  <si>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</si>
  <si>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</si>
  <si>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</si>
  <si>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</si>
  <si>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</si>
  <si>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</si>
  <si>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</si>
  <si>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</si>
  <si>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</si>
  <si>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</si>
  <si>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</si>
  <si>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</si>
  <si>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</si>
  <si>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</si>
  <si>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</si>
  <si>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</si>
  <si>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</si>
  <si>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</si>
  <si>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</si>
  <si>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</si>
  <si>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</si>
  <si>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</si>
  <si>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</si>
  <si>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</si>
  <si>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</si>
  <si>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</si>
  <si>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</si>
  <si>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</si>
  <si>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</si>
  <si>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</si>
  <si>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</si>
  <si>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</si>
  <si>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</si>
  <si>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</si>
  <si>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</si>
  <si>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</si>
  <si>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</si>
  <si>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</si>
  <si>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</si>
  <si>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</si>
  <si>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</si>
  <si>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</si>
  <si>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</si>
  <si>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</si>
  <si>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</si>
  <si>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</si>
  <si>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</si>
  <si>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</si>
  <si>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</si>
  <si>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</si>
  <si>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</si>
  <si>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</si>
  <si>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</si>
  <si>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</si>
  <si>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</si>
  <si>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</si>
  <si>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</si>
  <si>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</si>
  <si>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</si>
  <si>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</si>
  <si>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</si>
  <si>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</si>
  <si>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</si>
  <si>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</si>
  <si>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</si>
  <si>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</si>
  <si>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</si>
  <si>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</si>
  <si>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</si>
  <si>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</si>
  <si>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</si>
  <si>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</si>
  <si>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</si>
  <si>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</si>
  <si>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</si>
  <si>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</si>
  <si>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</si>
  <si>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</si>
  <si>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</si>
  <si>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</si>
  <si>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</si>
  <si>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</si>
  <si>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</si>
  <si>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</si>
  <si>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</si>
  <si>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</si>
  <si>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</si>
  <si>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</si>
  <si>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</si>
  <si>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</si>
  <si>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</si>
  <si>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</si>
  <si>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</si>
  <si>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</si>
  <si>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</si>
  <si>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</si>
  <si>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</si>
  <si>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</si>
  <si>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</si>
  <si>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</si>
  <si>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</si>
  <si>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</si>
  <si>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</si>
  <si>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</si>
  <si>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</si>
  <si>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</si>
  <si>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</si>
  <si>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</si>
  <si>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</si>
  <si>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</si>
  <si>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</si>
  <si>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</si>
  <si>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</si>
  <si>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</si>
  <si>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</si>
  <si>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</si>
  <si>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</si>
  <si>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</si>
  <si>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</si>
  <si>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</si>
  <si>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</si>
  <si>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</si>
  <si>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</si>
  <si>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</si>
  <si>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</si>
  <si>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</si>
  <si>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</si>
  <si>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</si>
  <si>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</si>
  <si>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</si>
  <si>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</si>
  <si>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</si>
  <si>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</si>
  <si>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</si>
  <si>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</si>
  <si>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</si>
  <si>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</si>
  <si>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</si>
  <si>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</si>
  <si>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</si>
  <si>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</si>
  <si>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</si>
  <si>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</si>
  <si>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</si>
  <si>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</si>
  <si>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</si>
  <si>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</si>
  <si>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</si>
  <si>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</si>
  <si>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</si>
  <si>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</si>
  <si>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</si>
  <si>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</si>
  <si>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</si>
  <si>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</si>
  <si>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</si>
  <si>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</si>
  <si>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</si>
  <si>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</si>
  <si>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</si>
  <si>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</si>
  <si>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</si>
  <si>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</si>
  <si>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</si>
  <si>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</si>
  <si>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</si>
  <si>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</si>
  <si>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</si>
  <si>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</si>
  <si>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</si>
  <si>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</si>
  <si>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</si>
  <si>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</si>
  <si>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</si>
  <si>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</si>
  <si>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</si>
  <si>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</si>
  <si>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</si>
  <si>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</si>
  <si>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</si>
  <si>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</si>
  <si>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</si>
  <si>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</si>
  <si>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</si>
  <si>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</si>
  <si>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</si>
  <si>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</si>
  <si>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</si>
  <si>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</si>
  <si>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</si>
  <si>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</si>
  <si>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</si>
  <si>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</si>
  <si>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</si>
  <si>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</si>
  <si>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</si>
  <si>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</si>
  <si>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</si>
  <si>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</si>
  <si>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</si>
  <si>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</si>
  <si>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</si>
  <si>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</si>
  <si>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</si>
  <si>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</si>
  <si>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</si>
  <si>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</si>
  <si>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</si>
  <si>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</si>
  <si>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</si>
  <si>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</si>
  <si>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</si>
  <si>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</si>
  <si>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</si>
  <si>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</si>
  <si>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</si>
  <si>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</si>
  <si>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</si>
  <si>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</si>
  <si>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</si>
  <si>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</si>
  <si>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</si>
  <si>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</si>
  <si>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</si>
  <si>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</si>
  <si>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</si>
  <si>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</si>
  <si>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</si>
  <si>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</si>
  <si>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</si>
  <si>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</si>
  <si>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</si>
  <si>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</si>
  <si>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</si>
  <si>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</si>
  <si>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</si>
  <si>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</si>
  <si>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</si>
  <si>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</si>
  <si>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</si>
  <si>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</si>
  <si>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</si>
  <si>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</si>
  <si>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</si>
  <si>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</si>
  <si>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</si>
  <si>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</si>
  <si>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</si>
  <si>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</si>
  <si>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</si>
  <si>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</si>
  <si>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</si>
  <si>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</si>
  <si>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</si>
  <si>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</si>
  <si>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</si>
  <si>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</si>
  <si>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</si>
  <si>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</si>
  <si>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</si>
  <si>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</si>
  <si>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</si>
  <si>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</si>
  <si>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</si>
  <si>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</si>
  <si>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</si>
  <si>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</si>
  <si>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</si>
  <si>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</si>
  <si>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</si>
  <si>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</si>
  <si>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</si>
  <si>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</si>
  <si>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</si>
  <si>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</si>
  <si>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</si>
  <si>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</si>
  <si>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</si>
  <si>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</si>
  <si>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</si>
  <si>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</si>
  <si>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</si>
  <si>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</si>
  <si>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</si>
  <si>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</si>
  <si>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</si>
  <si>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</si>
  <si>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</si>
  <si>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</si>
  <si>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</si>
  <si>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</si>
  <si>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</si>
  <si>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</si>
  <si>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</si>
  <si>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</si>
  <si>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</si>
  <si>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</si>
  <si>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</si>
  <si>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</si>
  <si>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</si>
  <si>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</si>
  <si>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</si>
  <si>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</si>
  <si>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</si>
  <si>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</si>
  <si>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</si>
  <si>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</si>
  <si>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</si>
  <si>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</si>
  <si>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</si>
  <si>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</si>
  <si>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</si>
  <si>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</si>
  <si>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</si>
  <si>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</si>
  <si>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</si>
  <si>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</si>
  <si>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</si>
  <si>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</si>
  <si>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</si>
  <si>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</si>
  <si>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</si>
  <si>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</si>
  <si>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</si>
  <si>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</si>
  <si>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</si>
  <si>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</si>
  <si>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</si>
  <si>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</si>
  <si>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</si>
  <si>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</si>
  <si>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</si>
  <si>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</si>
  <si>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</si>
  <si>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</si>
  <si>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</si>
  <si>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</si>
  <si>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</si>
  <si>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</si>
  <si>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</si>
  <si>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</si>
  <si>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</si>
  <si>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</si>
  <si>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</si>
  <si>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</si>
  <si>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</si>
  <si>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</si>
  <si>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</si>
  <si>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</si>
  <si>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</si>
  <si>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</si>
  <si>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</si>
  <si>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</si>
  <si>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</si>
  <si>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</si>
  <si>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</si>
  <si>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</si>
  <si>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</si>
  <si>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</si>
  <si>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</si>
  <si>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</si>
  <si>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</si>
  <si>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</si>
  <si>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</si>
  <si>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</si>
  <si>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</si>
  <si>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</si>
  <si>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</si>
  <si>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</si>
  <si>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</si>
  <si>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</si>
  <si>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</si>
  <si>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</si>
  <si>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</si>
  <si>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</si>
  <si>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</si>
  <si>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</si>
  <si>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</si>
  <si>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</si>
  <si>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</si>
  <si>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</si>
  <si>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</si>
  <si>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</si>
  <si>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</si>
  <si>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</si>
  <si>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</si>
  <si>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</si>
  <si>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</si>
  <si>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</si>
  <si>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</si>
  <si>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</si>
  <si>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</si>
  <si>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</si>
  <si>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</si>
  <si>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</si>
  <si>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</si>
  <si>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</si>
  <si>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</si>
  <si>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</si>
  <si>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</si>
  <si>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</si>
  <si>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</si>
  <si>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</si>
  <si>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</si>
  <si>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</si>
  <si>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</si>
  <si>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</si>
  <si>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</si>
  <si>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</si>
  <si>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</si>
  <si>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</si>
  <si>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</si>
  <si>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</si>
  <si>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</si>
  <si>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</si>
  <si>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</si>
  <si>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</si>
  <si>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</si>
  <si>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</si>
  <si>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</si>
  <si>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</si>
  <si>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</si>
  <si>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</si>
  <si>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</si>
  <si>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</si>
  <si>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</si>
  <si>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</si>
  <si>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</si>
  <si>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</si>
  <si>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</si>
  <si>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</si>
  <si>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</si>
  <si>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</si>
  <si>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</si>
  <si>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</si>
  <si>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</si>
  <si>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</si>
  <si>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</si>
  <si>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</si>
  <si>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</si>
  <si>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</si>
  <si>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</si>
  <si>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</si>
  <si>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</si>
  <si>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</si>
  <si>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</si>
  <si>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</si>
  <si>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</si>
  <si>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</si>
  <si>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</si>
  <si>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</si>
  <si>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</si>
  <si>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</si>
  <si>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</si>
  <si>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</si>
  <si>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</si>
  <si>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</si>
  <si>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</si>
  <si>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</si>
  <si>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</si>
  <si>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</si>
  <si>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</si>
  <si>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</si>
  <si>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</si>
  <si>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</si>
  <si>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</si>
  <si>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</si>
  <si>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</si>
  <si>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</si>
  <si>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</si>
  <si>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</si>
  <si>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</si>
  <si>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</si>
  <si>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</si>
  <si>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</si>
  <si>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</si>
  <si>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</si>
  <si>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</si>
  <si>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</si>
  <si>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</si>
  <si>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</si>
  <si>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</si>
  <si>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</si>
  <si>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</si>
  <si>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</si>
  <si>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</si>
  <si>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</si>
  <si>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</si>
  <si>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</si>
  <si>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</si>
  <si>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</si>
  <si>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</si>
  <si>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</si>
  <si>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</si>
  <si>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</si>
  <si>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</si>
  <si>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</si>
  <si>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</si>
  <si>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</si>
  <si>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</si>
  <si>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</si>
  <si>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</si>
  <si>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</si>
  <si>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</si>
  <si>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</si>
  <si>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</si>
  <si>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</si>
  <si>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</si>
  <si>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</si>
  <si>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</si>
  <si>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</si>
  <si>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</si>
  <si>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</si>
  <si>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</si>
  <si>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</si>
  <si>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</si>
  <si>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</si>
  <si>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</si>
  <si>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</si>
  <si>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</si>
  <si>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</si>
  <si>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</si>
  <si>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</si>
  <si>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</si>
  <si>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</si>
  <si>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</si>
  <si>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</si>
  <si>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</si>
  <si>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</si>
  <si>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</si>
  <si>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</si>
  <si>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</si>
  <si>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</si>
  <si>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</si>
  <si>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</si>
  <si>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</si>
  <si>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</si>
  <si>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</si>
  <si>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</si>
  <si>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</si>
  <si>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</si>
  <si>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</si>
  <si>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</si>
  <si>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</si>
  <si>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</si>
  <si>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</si>
  <si>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</si>
  <si>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</si>
  <si>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</si>
  <si>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</si>
  <si>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</si>
  <si>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</si>
  <si>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</si>
  <si>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</si>
  <si>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</si>
  <si>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</si>
  <si>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</si>
  <si>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</si>
  <si>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</si>
  <si>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</si>
  <si>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</si>
  <si>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</si>
  <si>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</si>
  <si>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</si>
  <si>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</si>
  <si>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KIM THÄMMIG</t>
  </si>
  <si>
    <t>MORITZ HEIM</t>
  </si>
  <si>
    <t>MARC ROTHE</t>
  </si>
  <si>
    <t>HOLGER LANGENAU</t>
  </si>
  <si>
    <t>FRANZISKA BRÜCKNER</t>
  </si>
  <si>
    <t>MICHAEL BÖMER</t>
  </si>
  <si>
    <t>MARC 606VENTURA</t>
  </si>
  <si>
    <t>GOOD PREGAME (BUT NO PROPERLY CHECKED THE BACKUP LAPTOP, AT LEAST NOT VISIBLE ON LINE AND NO CHECKED ON THE CHECKLIST</t>
  </si>
  <si>
    <t>VERY VERY GOOD PERFORMANCE. NO MISTAKES. VERY COMMUNICATIVE. ASKED WHEN IN DOUBT AND MOST OF THE TIMES RIGHT CRITERIA!! CONGRATS</t>
  </si>
  <si>
    <t>1:31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</si>
</sst>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7" sqref="N17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07_069_NIN_BUD_U2025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45973.791666666664</v>
      </c>
      <c r="C3" s="178"/>
      <c r="D3" s="39">
        <v>606</v>
      </c>
      <c r="E3" s="29"/>
      <c r="F3" s="26">
        <f>SUBTOTAL(3,I17:I106)</f>
        <v>1</v>
      </c>
      <c r="G3" s="27">
        <f>IF(OR(D3="",D3=0),"",F3/D3)</f>
        <v>1.6501650165016502E-3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NINERS Chemnitz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NIN</v>
      </c>
      <c r="I4" s="5"/>
      <c r="J4" s="119" t="s">
        <v>714</v>
      </c>
      <c r="K4" s="54" t="s">
        <v>743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1.6501650165016502E-3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0.16501650165016502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0.66501650165016502</v>
      </c>
      <c r="N7" s="58"/>
      <c r="O7" s="2"/>
      <c r="P7" s="2"/>
      <c r="Q7" s="86">
        <f>SUM(R5,S5,AC16)</f>
        <v>0.66501650165016502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0.66501650165016502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39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757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69</v>
      </c>
      <c r="D17" s="32" t="s">
        <v>759</v>
      </c>
      <c r="E17" s="33">
        <v>4</v>
      </c>
      <c r="F17" s="36">
        <v>71</v>
      </c>
      <c r="G17" s="36">
        <v>76</v>
      </c>
      <c r="H17" s="38" t="str">
        <f>IF(I17="","",$I$14)</f>
        <v>SCOUTING</v>
      </c>
      <c r="I17" s="34">
        <v>570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REPORT_U2025069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"U2025069"</v>
      </c>
      <c r="F3" s="45" t="str">
        <f t="shared" ref="F3:F16" si="0">""""&amp;B3&amp;"""" &amp; " : " &amp;C3&amp;","</f>
        <v>"name" : "U2025069",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"U069"</v>
      </c>
      <c r="F4" s="45" t="str">
        <f t="shared" si="0"/>
        <v>"cod" : "U069",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069</v>
      </c>
      <c r="F6" s="45" t="str">
        <f t="shared" si="0"/>
        <v>"number" : 069,</v>
      </c>
    </row>
    <row r="7" spans="2:6" x14ac:dyDescent="0.2">
      <c r="B7" s="43" t="s">
        <v>116</v>
      </c>
      <c r="C7" s="43" t="str">
        <f ca="1">""""&amp;TEXT('SCOUT &amp; LOGISTICS'!B3,"dd/mm/aaaa")&amp;""""</f>
        <v>"12/11/2025"</v>
      </c>
      <c r="F7" s="45" t="str">
        <f t="shared" ca="1" si="0"/>
        <v>"date" : "12/11/2025",</v>
      </c>
    </row>
    <row r="8" spans="2:6" x14ac:dyDescent="0.2">
      <c r="B8" s="43" t="s">
        <v>125</v>
      </c>
      <c r="C8" s="43" t="str">
        <f>""""&amp;'SCOUT &amp; LOGISTICS'!D4 &amp;""""</f>
        <v>"NINERS Chemnitz"</v>
      </c>
      <c r="F8" s="45" t="str">
        <f t="shared" si="0"/>
        <v>"home_team" : "NINERS Chemnitz",</v>
      </c>
    </row>
    <row r="9" spans="2:6" x14ac:dyDescent="0.2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"KIM THÄMMIG"</v>
      </c>
      <c r="F10" s="45" t="str">
        <f t="shared" si="0"/>
        <v>"Data_entry" : "KIM THÄMMIG",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"MORITZ HEIM"</v>
      </c>
      <c r="F11" s="45" t="str">
        <f t="shared" si="0"/>
        <v>"Caller_1" : "MORITZ HEIM",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"MARC ROTHE"</v>
      </c>
      <c r="F12" s="45" t="str">
        <f t="shared" si="0"/>
        <v>"Caller_2" : "MARC ROTHE",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"HOLGER LANGENAU"</v>
      </c>
      <c r="F13" s="45" t="str">
        <f t="shared" si="0"/>
        <v>"Timerkeeper" : "HOLGER LANGENAU",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"FRANZISKA BRÜCKNER"</v>
      </c>
      <c r="F14" s="45" t="str">
        <f t="shared" si="0"/>
        <v>"Shotclock" : "FRANZISKA BRÜCKNER",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"MICHAEL BÖMER"</v>
      </c>
      <c r="F15" s="45" t="str">
        <f t="shared" si="0"/>
        <v>"IRS" : "MICHAEL BÖMER",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606VENTURA"</v>
      </c>
      <c r="F16" s="45" t="str">
        <f t="shared" si="0"/>
        <v>"Live_Game_Manager" : "MARC 606VENTURA",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606</v>
      </c>
      <c r="F25" s="45" t="str">
        <f t="shared" ref="F25:F48" si="1">""""&amp;C25&amp;"""" &amp; " : " &amp;D25&amp;","</f>
        <v>"total_actions" : 606,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VERY GOOD PERFORMANCE. NO MISTAKES. VERY COMMUNICATIVE. ASKED WHEN IN DOUBT AND MOST OF THE TIMES RIGHT CRITERIA!! CONGRATS"</v>
      </c>
      <c r="F51" s="45" t="str">
        <f>""""&amp;B51&amp;"""" &amp; " : " &amp;C51&amp;","</f>
        <v>"comments" : "VERY VERY GOOD PERFORMANCE. NO MISTAKES. VERY COMMUNICATIVE. ASKED WHEN IN DOUBT AND MOST OF THE TIMES RIGHT CRITERIA!! CONGRATS",</v>
      </c>
    </row>
    <row r="52" spans="2:6" x14ac:dyDescent="0.2">
      <c r="B52" s="43" t="s">
        <v>153</v>
      </c>
      <c r="C52" s="43" t="str">
        <f>TEXT('SCOUT &amp; LOGISTICS'!F1,"0,0")</f>
        <v>07_069_NIN_BUD_U2025</v>
      </c>
      <c r="F52" s="45" t="str">
        <f>""""&amp;B52&amp;"""" &amp; " : " &amp;C52</f>
        <v>"result" : 07_069_NIN_BUD_U2025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U069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Niners Chemnitz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KIM THÄMMIG</v>
      </c>
      <c r="C8" s="201"/>
      <c r="D8" s="201"/>
      <c r="E8" s="201"/>
      <c r="F8" s="201"/>
      <c r="G8" s="201" t="str">
        <f>IF('SCOUT &amp; LOGISTICS'!D7="","",'SCOUT &amp; LOGISTICS'!D7)</f>
        <v>MORITZ HEIM</v>
      </c>
      <c r="H8" s="201"/>
      <c r="I8" s="201"/>
      <c r="J8" s="201"/>
      <c r="K8" s="201"/>
      <c r="L8" s="201" t="str">
        <f>IF('SCOUT &amp; LOGISTICS'!D8="","",'SCOUT &amp; LOGISTICS'!D8)</f>
        <v>MARC ROTHE</v>
      </c>
      <c r="M8" s="201"/>
      <c r="N8" s="201"/>
      <c r="O8" s="201"/>
      <c r="P8" s="201"/>
      <c r="Q8" s="201" t="str">
        <f>IF('SCOUT &amp; LOGISTICS'!D9="","",'SCOUT &amp; LOGISTICS'!D9)</f>
        <v>HOLGER LANGENAU</v>
      </c>
      <c r="R8" s="201"/>
      <c r="S8" s="201"/>
      <c r="T8" s="201"/>
      <c r="U8" s="201"/>
      <c r="V8" s="201" t="str">
        <f>IF('SCOUT &amp; LOGISTICS'!D10="","",'SCOUT &amp; LOGISTICS'!D10)</f>
        <v>FRANZISKA BRÜCKNER</v>
      </c>
      <c r="W8" s="201"/>
      <c r="X8" s="201"/>
      <c r="Y8" s="201"/>
      <c r="Z8" s="201"/>
      <c r="AA8" s="201" t="str">
        <f>IF('SCOUT &amp; LOGISTICS'!D11="","",'SCOUT &amp; LOGISTICS'!D11)</f>
        <v>MICHAEL BÖMER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606VENTURA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1.6501650165016502E-3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VERY GOOD PERFORMANCE. NO MISTAKES. VERY COMMUNICATIVE. ASKED WHEN IN DOUBT AND MOST OF THE TIMES RIGHT CRITERIA!! CONGRATS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0.66501650165016502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1967BD-0766-4DA7-9809-57B95F3868DB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2025-11-11T14:16:20Z</cp:lastPrinted>
  <dcterms:created xsi:type="dcterms:W3CDTF">2023-09-19T19:50:35Z</dcterms:created>
  <dcterms:modified xsi:type="dcterms:W3CDTF">2025-11-12T20:27:04Z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