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28" documentId="8_{31F7702D-FF4A-4CBC-9D15-73DD8746CD5A}" xr6:coauthVersionLast="47" xr6:coauthVersionMax="47" xr10:uidLastSave="{C13D57F4-D01A-4744-941E-09E5E5B92B61}"/>
  <bookViews>
    <workbookView xWindow="-2760" yWindow="-14325" windowWidth="25020" windowHeight="12645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<sst xmlns="http://schemas.openxmlformats.org/spreadsheetml/2006/main" count="3250" uniqueCount="759">
  <si>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</si>
  <si>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</si>
  <si>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</si>
  <si>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</si>
  <si>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</si>
  <si>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</si>
  <si>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</si>
  <si>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</si>
  <si>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</si>
  <si>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</si>
  <si>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</si>
  <si>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</si>
  <si>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</si>
  <si>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</si>
  <si>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</si>
  <si>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</si>
  <si>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</si>
  <si>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</si>
  <si>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</si>
  <si>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</si>
  <si>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</si>
  <si>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</si>
  <si>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</si>
  <si>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</si>
  <si>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</si>
  <si>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</si>
  <si>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</si>
  <si>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</si>
  <si>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</si>
  <si>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</si>
  <si>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</si>
  <si>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</si>
  <si>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</si>
  <si>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</si>
  <si>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</si>
  <si>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</si>
  <si>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</si>
  <si>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</si>
  <si>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</si>
  <si>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</si>
  <si>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</si>
  <si>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</si>
  <si>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</si>
  <si>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</si>
  <si>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</si>
  <si>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</si>
  <si>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</si>
  <si>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</si>
  <si>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</si>
  <si>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</si>
  <si>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</si>
  <si>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</si>
  <si>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</si>
  <si>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</si>
  <si>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</si>
  <si>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</si>
  <si>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</si>
  <si>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</si>
  <si>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</si>
  <si>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</si>
  <si>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</si>
  <si>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</si>
  <si>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</si>
  <si>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</si>
  <si>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</si>
  <si>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</si>
  <si>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</si>
  <si>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</si>
  <si>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</si>
  <si>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</si>
  <si>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</si>
  <si>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</si>
  <si>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</si>
  <si>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</si>
  <si>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</si>
  <si>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</si>
  <si>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</si>
  <si>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</si>
  <si>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</si>
  <si>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</si>
  <si>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</si>
  <si>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</si>
  <si>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</si>
  <si>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</si>
  <si>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</si>
  <si>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</si>
  <si>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</si>
  <si>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</si>
  <si>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</si>
  <si>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</si>
  <si>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</si>
  <si>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</si>
  <si>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</si>
  <si>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</si>
  <si>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</si>
  <si>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</si>
  <si>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</si>
  <si>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</si>
  <si>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</si>
  <si>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</si>
  <si>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</si>
  <si>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</si>
  <si>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</si>
  <si>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</si>
  <si>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</si>
  <si>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</si>
  <si>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</si>
  <si>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</si>
  <si>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</si>
  <si>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</si>
  <si>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</si>
  <si>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</si>
  <si>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</si>
  <si>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</si>
  <si>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</si>
  <si>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</si>
  <si>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</si>
  <si>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</si>
  <si>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</si>
  <si>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</si>
  <si>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</si>
  <si>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</si>
  <si>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</si>
  <si>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</si>
  <si>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</si>
  <si>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</si>
  <si>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</si>
  <si>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</si>
  <si>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</si>
  <si>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</si>
  <si>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</si>
  <si>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</si>
  <si>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</si>
  <si>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</si>
  <si>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</si>
  <si>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</si>
  <si>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</si>
  <si>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</si>
  <si>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</si>
  <si>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</si>
  <si>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</si>
  <si>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</si>
  <si>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</si>
  <si>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</si>
  <si>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</si>
  <si>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</si>
  <si>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</si>
  <si>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</si>
  <si>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</si>
  <si>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</si>
  <si>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</si>
  <si>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</si>
  <si>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</si>
  <si>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</si>
  <si>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</si>
  <si>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</si>
  <si>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</si>
  <si>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</si>
  <si>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</si>
  <si>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</si>
  <si>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</si>
  <si>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</si>
  <si>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</si>
  <si>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</si>
  <si>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</si>
  <si>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</si>
  <si>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</si>
  <si>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</si>
  <si>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</si>
  <si>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</si>
  <si>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</si>
  <si>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</si>
  <si>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</si>
  <si>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</si>
  <si>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</si>
  <si>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</si>
  <si>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</si>
  <si>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</si>
  <si>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</si>
  <si>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</si>
  <si>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</si>
  <si>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</si>
  <si>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</si>
  <si>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</si>
  <si>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</si>
  <si>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</si>
  <si>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</si>
  <si>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</si>
  <si>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</si>
  <si>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</si>
  <si>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</si>
  <si>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</si>
  <si>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</si>
  <si>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</si>
  <si>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</si>
  <si>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</si>
  <si>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</si>
  <si>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</si>
  <si>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</si>
  <si>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</si>
  <si>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</si>
  <si>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</si>
  <si>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</si>
  <si>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</si>
  <si>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</si>
  <si>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</si>
  <si>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</si>
  <si>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</si>
  <si>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</si>
  <si>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</si>
  <si>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</si>
  <si>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</si>
  <si>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</si>
  <si>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</si>
  <si>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</si>
  <si>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</si>
  <si>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</si>
  <si>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</si>
  <si>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</si>
  <si>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</si>
  <si>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</si>
  <si>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</si>
  <si>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</si>
  <si>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</si>
  <si>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</si>
  <si>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</si>
  <si>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</si>
  <si>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</si>
  <si>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</si>
  <si>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</si>
  <si>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</si>
  <si>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</si>
  <si>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</si>
  <si>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</si>
  <si>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</si>
  <si>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</si>
  <si>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</si>
  <si>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</si>
  <si>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</si>
  <si>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</si>
  <si>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</si>
  <si>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</si>
  <si>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</si>
  <si>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</si>
  <si>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</si>
  <si>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</si>
  <si>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</si>
  <si>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</si>
  <si>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</si>
  <si>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</si>
  <si>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</si>
  <si>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</si>
  <si>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</si>
  <si>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</si>
  <si>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</si>
  <si>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</si>
  <si>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</si>
  <si>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</si>
  <si>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</si>
  <si>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</si>
  <si>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</si>
  <si>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</si>
  <si>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</si>
  <si>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</si>
  <si>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</si>
  <si>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</si>
  <si>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</si>
  <si>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</si>
  <si>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</si>
  <si>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</si>
  <si>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</si>
  <si>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</si>
  <si>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</si>
  <si>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</si>
  <si>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</si>
  <si>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</si>
  <si>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</si>
  <si>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</si>
  <si>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</si>
  <si>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</si>
  <si>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</si>
  <si>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</si>
  <si>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</si>
  <si>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</si>
  <si>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</si>
  <si>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</si>
  <si>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</si>
  <si>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</si>
  <si>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</si>
  <si>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</si>
  <si>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</si>
  <si>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</si>
  <si>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</si>
  <si>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</si>
  <si>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</si>
  <si>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</si>
  <si>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</si>
  <si>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</si>
  <si>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</si>
  <si>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</si>
  <si>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</si>
  <si>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</si>
  <si>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</si>
  <si>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</si>
  <si>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</si>
  <si>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</si>
  <si>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</si>
  <si>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</si>
  <si>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</si>
  <si>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</si>
  <si>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</si>
  <si>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</si>
  <si>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</si>
  <si>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</si>
  <si>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</si>
  <si>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</si>
  <si>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</si>
  <si>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</si>
  <si>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</si>
  <si>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</si>
  <si>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</si>
  <si>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</si>
  <si>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</si>
  <si>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</si>
  <si>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</si>
  <si>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</si>
  <si>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</si>
  <si>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</si>
  <si>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</si>
  <si>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</si>
  <si>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</si>
  <si>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</si>
  <si>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</si>
  <si>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</si>
  <si>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</si>
  <si>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</si>
  <si>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</si>
  <si>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</si>
  <si>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</si>
  <si>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</si>
  <si>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</si>
  <si>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</si>
  <si>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</si>
  <si>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</si>
  <si>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</si>
  <si>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</si>
  <si>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</si>
  <si>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</si>
  <si>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</si>
  <si>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</si>
  <si>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</si>
  <si>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</si>
  <si>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</si>
  <si>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</si>
  <si>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</si>
  <si>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</si>
  <si>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</si>
  <si>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</si>
  <si>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</si>
  <si>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</si>
  <si>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</si>
  <si>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</si>
  <si>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</si>
  <si>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</si>
  <si>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</si>
  <si>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</si>
  <si>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</si>
  <si>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</si>
  <si>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</si>
  <si>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</si>
  <si>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</si>
  <si>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</si>
  <si>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</si>
  <si>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</si>
  <si>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</si>
  <si>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</si>
  <si>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</si>
  <si>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</si>
  <si>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</si>
  <si>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</si>
  <si>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</si>
  <si>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</si>
  <si>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</si>
  <si>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</si>
  <si>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</si>
  <si>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</si>
  <si>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</si>
  <si>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</si>
  <si>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</si>
  <si>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</si>
  <si>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</si>
  <si>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</si>
  <si>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</si>
  <si>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</si>
  <si>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</si>
  <si>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</si>
  <si>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</si>
  <si>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</si>
  <si>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</si>
  <si>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</si>
  <si>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</si>
  <si>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</si>
  <si>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</si>
  <si>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</si>
  <si>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</si>
  <si>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</si>
  <si>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</si>
  <si>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</si>
  <si>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</si>
  <si>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</si>
  <si>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</si>
  <si>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</si>
  <si>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</si>
  <si>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</si>
  <si>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</si>
  <si>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</si>
  <si>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</si>
  <si>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</si>
  <si>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</si>
  <si>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</si>
  <si>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</si>
  <si>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</si>
  <si>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</si>
  <si>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</si>
  <si>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</si>
  <si>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</si>
  <si>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</si>
  <si>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</si>
  <si>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</si>
  <si>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</si>
  <si>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</si>
  <si>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</si>
  <si>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</si>
  <si>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</si>
  <si>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</si>
  <si>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</si>
  <si>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</si>
  <si>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</si>
  <si>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</si>
  <si>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</si>
  <si>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</si>
  <si>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</si>
  <si>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</si>
  <si>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</si>
  <si>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</si>
  <si>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</si>
  <si>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</si>
  <si>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</si>
  <si>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</si>
  <si>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</si>
  <si>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</si>
  <si>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</si>
  <si>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</si>
  <si>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</si>
  <si>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</si>
  <si>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</si>
  <si>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</si>
  <si>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</si>
  <si>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</si>
  <si>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</si>
  <si>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</si>
  <si>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</si>
  <si>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</si>
  <si>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</si>
  <si>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</si>
  <si>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</si>
  <si>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</si>
  <si>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</si>
  <si>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</si>
  <si>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</si>
  <si>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</si>
  <si>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</si>
  <si>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</si>
  <si>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</si>
  <si>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</si>
  <si>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</si>
  <si>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</si>
  <si>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</si>
  <si>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</si>
  <si>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</si>
  <si>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</si>
  <si>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</si>
  <si>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</si>
  <si>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</si>
  <si>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</si>
  <si>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</si>
  <si>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</si>
  <si>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</si>
  <si>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</si>
  <si>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</si>
  <si>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</si>
  <si>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</si>
  <si>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</si>
  <si>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</si>
  <si>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</si>
  <si>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</si>
  <si>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</si>
  <si>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</si>
  <si>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</si>
  <si>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</si>
  <si>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</si>
  <si>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</si>
  <si>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</si>
  <si>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</si>
  <si>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</si>
  <si>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</si>
  <si>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</si>
  <si>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</si>
  <si>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</si>
  <si>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</si>
  <si>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</si>
  <si>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</si>
  <si>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</si>
  <si>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</si>
  <si>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</si>
  <si>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</si>
  <si>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</si>
  <si>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</si>
  <si>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</si>
  <si>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</si>
  <si>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</si>
  <si>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</si>
  <si>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</si>
  <si>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</si>
  <si>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</si>
  <si>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</si>
  <si>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</si>
  <si>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</si>
  <si>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</si>
  <si>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</si>
  <si>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</si>
  <si>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</si>
  <si>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</si>
  <si>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</si>
  <si>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</si>
  <si>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</si>
  <si>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</si>
  <si>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</si>
  <si>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</si>
  <si>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</si>
  <si>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</si>
  <si>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</si>
  <si>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</si>
  <si>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</si>
  <si>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</si>
  <si>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</si>
  <si>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</si>
  <si>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</si>
  <si>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</si>
  <si>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</si>
  <si>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</si>
  <si>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</si>
  <si>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</si>
  <si>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</si>
  <si>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</si>
  <si>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</si>
  <si>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</si>
  <si>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</si>
  <si>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</si>
  <si>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</si>
  <si>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</si>
  <si>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</si>
  <si>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</si>
  <si>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</si>
  <si>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</si>
  <si>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</si>
  <si>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</si>
  <si>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</si>
  <si>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</si>
  <si>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</si>
  <si>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</si>
  <si>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</si>
  <si>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</si>
  <si>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</si>
  <si>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</si>
  <si>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</si>
  <si>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</si>
  <si>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</si>
  <si>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</si>
  <si>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</si>
  <si>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</si>
  <si>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</si>
  <si>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</si>
  <si>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</si>
  <si>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</si>
  <si>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</si>
  <si>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</si>
  <si>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</si>
  <si>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</si>
  <si>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</si>
  <si>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</si>
  <si>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</si>
  <si>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</si>
  <si>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</si>
  <si>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</si>
  <si>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</si>
  <si>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</si>
  <si>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</si>
  <si>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</si>
  <si>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</si>
  <si>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</si>
  <si>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</si>
  <si>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</si>
  <si>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</si>
  <si>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</si>
  <si>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</si>
  <si>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</si>
  <si>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</si>
  <si>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</si>
  <si>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</si>
  <si>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</si>
  <si>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</si>
  <si>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</si>
  <si>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</si>
  <si>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</si>
  <si>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</si>
  <si>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</si>
  <si>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</si>
  <si>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</si>
  <si>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</si>
  <si>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</si>
  <si>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</si>
  <si>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</si>
  <si>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</si>
  <si>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</si>
  <si>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</si>
  <si>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</si>
  <si>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</si>
  <si>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</si>
  <si>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</si>
  <si>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</si>
  <si>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</si>
  <si>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</si>
  <si>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</si>
  <si>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</si>
  <si>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</si>
  <si>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</si>
  <si>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</si>
  <si>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</si>
  <si>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</si>
  <si>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</si>
  <si>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</si>
  <si>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</si>
  <si>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</si>
  <si>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</si>
  <si>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</si>
  <si>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</si>
  <si>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</si>
  <si>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</si>
  <si>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</si>
  <si>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</si>
  <si>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</si>
  <si>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</si>
  <si>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</si>
  <si>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</si>
  <si>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</si>
  <si>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</si>
  <si>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</si>
  <si>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</si>
  <si>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</si>
  <si>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</si>
  <si>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</si>
  <si>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</si>
  <si>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</si>
  <si>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</si>
  <si>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</si>
  <si>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</si>
  <si>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</si>
  <si>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</si>
  <si>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</si>
  <si>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</si>
  <si>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</si>
  <si>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</si>
  <si>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</si>
  <si>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</si>
  <si>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</si>
  <si>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</si>
  <si>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</si>
  <si>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</si>
  <si>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</si>
  <si>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</si>
  <si>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</si>
  <si>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</si>
  <si>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</si>
  <si>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</si>
  <si>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</si>
  <si>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</si>
  <si>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</si>
  <si>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</si>
  <si>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</si>
  <si>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</si>
  <si>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</si>
  <si>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</si>
  <si>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</si>
  <si>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</si>
  <si>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</si>
  <si>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</si>
  <si>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</si>
  <si>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</si>
  <si>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</si>
  <si>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</si>
  <si>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</si>
  <si>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</si>
  <si>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</si>
  <si>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</si>
  <si>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</si>
  <si>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</si>
  <si>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</si>
  <si>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</si>
  <si>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</si>
  <si>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</si>
  <si>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</si>
  <si>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</si>
  <si>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</si>
  <si>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</si>
  <si>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</si>
  <si>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</si>
  <si>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</si>
  <si>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</si>
  <si>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</si>
  <si>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</si>
  <si>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</si>
  <si>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</si>
  <si>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</si>
  <si>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</si>
  <si>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</si>
  <si>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</si>
  <si>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</si>
  <si>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</si>
  <si>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</si>
  <si>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</si>
  <si>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</si>
  <si>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</si>
  <si>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</si>
  <si>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</si>
  <si>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</si>
  <si>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</si>
  <si>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</si>
  <si>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</si>
  <si>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</si>
  <si>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</si>
  <si>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</si>
  <si>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</si>
  <si>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</si>
  <si>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</si>
  <si>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</si>
  <si>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</si>
  <si>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</si>
  <si>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</si>
  <si>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E</t>
  </si>
  <si>
    <t>KRANAIOTIS, KONSTANTINOS</t>
  </si>
  <si>
    <t>KARIOFYLIS, ANASTASIOS</t>
  </si>
  <si>
    <t>TRIANTAFYLLOU, IOANNIS</t>
  </si>
  <si>
    <t>SOLON, MINAS</t>
  </si>
  <si>
    <t>MOULTSI, AIKATERINI</t>
  </si>
  <si>
    <t>KALESORIS, ANASTASIS</t>
  </si>
  <si>
    <t>01:04</t>
  </si>
  <si>
    <t>Very good job! Fast match!</t>
  </si>
  <si>
    <t>C:\Temp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</si>
</sst>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D3" sqref="D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07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07_070_OLY_MCO_E2025</v>
      </c>
      <c r="G1" s="5"/>
      <c r="H1" s="5"/>
      <c r="I1" s="5"/>
      <c r="J1" s="8" t="s">
        <v>707</v>
      </c>
      <c r="K1" s="121" t="s">
        <v>758</v>
      </c>
      <c r="L1" s="121"/>
      <c r="M1" s="122" t="s">
        <v>239</v>
      </c>
      <c r="N1" s="121" t="s">
        <v>758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70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45959.885416666664</v>
      </c>
      <c r="C3" s="178"/>
      <c r="D3" s="39">
        <v>547</v>
      </c>
      <c r="E3" s="29"/>
      <c r="F3" s="26">
        <f>SUBTOTAL(3,I17:I106)</f>
        <v>1</v>
      </c>
      <c r="G3" s="27">
        <f>IF(OR(D3="",D3=0),"",F3/D3)</f>
        <v>1.8281535648994515E-3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Olympiacos Piraeus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OLY</v>
      </c>
      <c r="I4" s="5"/>
      <c r="J4" s="119" t="s">
        <v>714</v>
      </c>
      <c r="K4" s="54" t="s">
        <v>742</v>
      </c>
      <c r="L4" s="5"/>
      <c r="M4" s="185" t="s">
        <v>757</v>
      </c>
      <c r="N4" s="186"/>
      <c r="O4" s="2"/>
      <c r="P4" s="2"/>
      <c r="Q4" s="84" t="s">
        <v>175</v>
      </c>
      <c r="R4" s="94">
        <f>(IF(G3="",0,G3))</f>
        <v>1.8281535648994515E-3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1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AS Monaco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MCO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0.18281535648994515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2.5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">
        <v>750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">
        <v>751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2.6828153564899453</v>
      </c>
      <c r="N7" s="58"/>
      <c r="O7" s="2"/>
      <c r="P7" s="2"/>
      <c r="Q7" s="86">
        <f>SUM(R5,S5,AC16)</f>
        <v>2.6828153564899453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">
        <v>752</v>
      </c>
      <c r="E8" s="162"/>
      <c r="F8" s="162"/>
      <c r="G8" s="16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2.6828153564899453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">
        <v>753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">
        <v>754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">
        <v>755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70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748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1</v>
      </c>
      <c r="J15" s="24">
        <f>SUBTOTAL(3,J17:J106)</f>
        <v>1</v>
      </c>
      <c r="K15" s="24">
        <f>SUBTOTAL(3,K17:K106)</f>
        <v>1</v>
      </c>
      <c r="L15" s="24">
        <f>SUBTOTAL(3,L17:L106)</f>
        <v>1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1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1</v>
      </c>
      <c r="Z16" s="90" t="s">
        <v>110</v>
      </c>
      <c r="AA16" s="75">
        <f>SUM(AA17:AA24)</f>
        <v>1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2.5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1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70</v>
      </c>
      <c r="D17" s="32" t="s">
        <v>756</v>
      </c>
      <c r="E17" s="33">
        <v>3</v>
      </c>
      <c r="F17" s="36">
        <v>54</v>
      </c>
      <c r="G17" s="36">
        <v>61</v>
      </c>
      <c r="H17" s="38" t="str">
        <f>IF(I17="","",$I$14)</f>
        <v>SCOUTING</v>
      </c>
      <c r="I17" s="34">
        <v>388</v>
      </c>
      <c r="J17" s="13" t="s">
        <v>4</v>
      </c>
      <c r="K17" s="13" t="s">
        <v>62</v>
      </c>
      <c r="L17" s="13" t="s">
        <v>7</v>
      </c>
      <c r="M17" s="13" t="s">
        <v>22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1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1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1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1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1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1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REPORT_E2025070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"E2025070"</v>
      </c>
      <c r="F3" s="45" t="str">
        <f t="shared" ref="F3:F16" si="0">""""&amp;B3&amp;"""" &amp; " : " &amp;C3&amp;","</f>
        <v>"name" : "E2025070",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"E070"</v>
      </c>
      <c r="F4" s="45" t="str">
        <f t="shared" si="0"/>
        <v>"cod" : "E070",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070</v>
      </c>
      <c r="F6" s="45" t="str">
        <f t="shared" si="0"/>
        <v>"number" : 070,</v>
      </c>
    </row>
    <row r="7" spans="2:6" x14ac:dyDescent="0.2">
      <c r="B7" s="43" t="s">
        <v>116</v>
      </c>
      <c r="C7" s="43" t="str">
        <f ca="1">""""&amp;TEXT('SCOUT &amp; LOGISTICS'!B3,"dd/mm/aaaa")&amp;""""</f>
        <v>"29/10/Wednesday"</v>
      </c>
      <c r="F7" s="45" t="str">
        <f t="shared" ca="1" si="0"/>
        <v>"date" : "29/10/Wednesday",</v>
      </c>
    </row>
    <row r="8" spans="2:6" x14ac:dyDescent="0.2">
      <c r="B8" s="43" t="s">
        <v>125</v>
      </c>
      <c r="C8" s="43" t="str">
        <f>""""&amp;'SCOUT &amp; LOGISTICS'!D4 &amp;""""</f>
        <v>"Olympiacos Piraeus"</v>
      </c>
      <c r="F8" s="45" t="str">
        <f t="shared" si="0"/>
        <v>"home_team" : "Olympiacos Piraeus",</v>
      </c>
    </row>
    <row r="9" spans="2:6" x14ac:dyDescent="0.2">
      <c r="B9" s="43" t="s">
        <v>126</v>
      </c>
      <c r="C9" s="43" t="str">
        <f>""""&amp;'SCOUT &amp; LOGISTICS'!D5&amp;""""</f>
        <v>"AS Monaco"</v>
      </c>
      <c r="F9" s="45" t="str">
        <f t="shared" si="0"/>
        <v>"away_team" : "AS Monaco",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"KRANAIOTIS, KONSTANTINOS"</v>
      </c>
      <c r="F10" s="45" t="str">
        <f t="shared" si="0"/>
        <v>"Data_entry" : "KRANAIOTIS, KONSTANTINOS",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"KARIOFYLIS, ANASTASIOS"</v>
      </c>
      <c r="F11" s="45" t="str">
        <f t="shared" si="0"/>
        <v>"Caller_1" : "KARIOFYLIS, ANASTASIOS",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"TRIANTAFYLLOU, IOANNIS"</v>
      </c>
      <c r="F12" s="45" t="str">
        <f t="shared" si="0"/>
        <v>"Caller_2" : "TRIANTAFYLLOU, IOANNIS",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"SOLON, MINAS"</v>
      </c>
      <c r="F13" s="45" t="str">
        <f t="shared" si="0"/>
        <v>"Timerkeeper" : "SOLON, MINAS",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"MOULTSI, AIKATERINI"</v>
      </c>
      <c r="F14" s="45" t="str">
        <f t="shared" si="0"/>
        <v>"Shotclock" : "MOULTSI, AIKATERINI",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"KALESORIS, ANASTASIS"</v>
      </c>
      <c r="F15" s="45" t="str">
        <f t="shared" si="0"/>
        <v>"IRS" : "KALESORIS, ANASTASIS",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547</v>
      </c>
      <c r="F25" s="45" t="str">
        <f t="shared" ref="F25:F48" si="1">""""&amp;C25&amp;"""" &amp; " : " &amp;D25&amp;","</f>
        <v>"total_actions" : 547,</v>
      </c>
    </row>
    <row r="26" spans="2:6" x14ac:dyDescent="0.2">
      <c r="C26" s="43" t="s">
        <v>132</v>
      </c>
      <c r="D26" s="43">
        <f>'SCOUT &amp; LOGISTICS'!F3</f>
        <v>1</v>
      </c>
      <c r="F26" s="45" t="str">
        <f t="shared" si="1"/>
        <v>"total_correcions" : 1,</v>
      </c>
    </row>
    <row r="27" spans="2:6" x14ac:dyDescent="0.2">
      <c r="C27" s="43" t="s">
        <v>133</v>
      </c>
      <c r="D27" s="43" t="str">
        <f>""""&amp;IF(OR(D25="",D25=0),"",TEXT(D26/D25,"0,0%"))&amp;""""</f>
        <v>"00%"</v>
      </c>
      <c r="F27" s="45" t="str">
        <f t="shared" si="1"/>
        <v>"%_corrections" : "00%",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1</v>
      </c>
      <c r="F29" s="45" t="str">
        <f t="shared" si="1"/>
        <v>"no_team" : 1,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1</v>
      </c>
      <c r="F33" s="45" t="str">
        <f t="shared" si="1"/>
        <v>"q3" : 1,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1</v>
      </c>
      <c r="F37" s="45" t="str">
        <f t="shared" si="1"/>
        <v>"scoresheet_corrections" : 1,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1</v>
      </c>
      <c r="F46" s="45" t="str">
        <f t="shared" si="1"/>
        <v>"part_of_a_sequence" : 1,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1</v>
      </c>
      <c r="F49" s="45" t="str">
        <f>""""&amp;C49&amp;"""" &amp; " : " &amp;D49</f>
        <v>"points" : 1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 Fast match!"</v>
      </c>
      <c r="F51" s="45" t="str">
        <f>""""&amp;B51&amp;"""" &amp; " : " &amp;C51&amp;","</f>
        <v>"comments" : "Very good job! Fast match!",</v>
      </c>
    </row>
    <row r="52" spans="2:6" x14ac:dyDescent="0.2">
      <c r="B52" s="43" t="s">
        <v>153</v>
      </c>
      <c r="C52" s="43" t="str">
        <f>TEXT('SCOUT &amp; LOGISTICS'!F1,"0,0")</f>
        <v>07_070_OLY_MCO_E2025</v>
      </c>
      <c r="F52" s="45" t="str">
        <f>""""&amp;B52&amp;"""" &amp; " : " &amp;C52</f>
        <v>"result" : 07_070_OLY_MCO_E2025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E070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29/10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Olympiacos Piraeus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As Monaco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KRANAIOTIS, KONSTANTINOS</v>
      </c>
      <c r="C8" s="201"/>
      <c r="D8" s="201"/>
      <c r="E8" s="201"/>
      <c r="F8" s="201"/>
      <c r="G8" s="201" t="str">
        <f>IF('SCOUT &amp; LOGISTICS'!D7="","",'SCOUT &amp; LOGISTICS'!D7)</f>
        <v>KARIOFYLIS, ANASTASIOS</v>
      </c>
      <c r="H8" s="201"/>
      <c r="I8" s="201"/>
      <c r="J8" s="201"/>
      <c r="K8" s="201"/>
      <c r="L8" s="201" t="str">
        <f>IF('SCOUT &amp; LOGISTICS'!D8="","",'SCOUT &amp; LOGISTICS'!D8)</f>
        <v>TRIANTAFYLLOU, IOANNIS</v>
      </c>
      <c r="M8" s="201"/>
      <c r="N8" s="201"/>
      <c r="O8" s="201"/>
      <c r="P8" s="201"/>
      <c r="Q8" s="201" t="str">
        <f>IF('SCOUT &amp; LOGISTICS'!D9="","",'SCOUT &amp; LOGISTICS'!D9)</f>
        <v>SOLON, MINAS</v>
      </c>
      <c r="R8" s="201"/>
      <c r="S8" s="201"/>
      <c r="T8" s="201"/>
      <c r="U8" s="201"/>
      <c r="V8" s="201" t="str">
        <f>IF('SCOUT &amp; LOGISTICS'!D10="","",'SCOUT &amp; LOGISTICS'!D10)</f>
        <v>MOULTSI, AIKATERINI</v>
      </c>
      <c r="W8" s="201"/>
      <c r="X8" s="201"/>
      <c r="Y8" s="201"/>
      <c r="Z8" s="201"/>
      <c r="AA8" s="201" t="str">
        <f>IF('SCOUT &amp; LOGISTICS'!D11="","",'SCOUT &amp; LOGISTICS'!D11)</f>
        <v>KALESORIS, ANASTASIS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>OK</v>
      </c>
      <c r="C13" s="205"/>
      <c r="D13" s="205"/>
      <c r="E13" s="205"/>
      <c r="F13" s="205"/>
      <c r="G13" s="205"/>
      <c r="H13" s="205" t="str">
        <f>IF('SCOUT &amp; LOGISTICS'!J12="","",'SCOUT &amp; LOGISTICS'!J12)</f>
        <v>YES</v>
      </c>
      <c r="I13" s="205"/>
      <c r="J13" s="205"/>
      <c r="K13" s="205"/>
      <c r="L13" s="205"/>
      <c r="M13" s="205"/>
      <c r="N13" s="205" t="str">
        <f>IF('SCOUT &amp; LOGISTICS'!K12="","",'SCOUT &amp; LOGISTICS'!K12)</f>
        <v>GOOD</v>
      </c>
      <c r="O13" s="205"/>
      <c r="P13" s="205"/>
      <c r="Q13" s="205"/>
      <c r="R13" s="205"/>
      <c r="S13" s="205"/>
      <c r="T13" s="205" t="str">
        <f>IF('SCOUT &amp; LOGISTICS'!L12="","",'SCOUT &amp; LOGISTICS'!L12)</f>
        <v>FAST</v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547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1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>
        <f>IF(OR(B17="",B17=0),"",L17/B17)</f>
        <v>1.8281535648994515E-3</v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1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1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1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1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Very good job! Fast match!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2.6828153564899453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7AED9714-6B74-4F17-B62B-D8D1FB1A5FAA}"/>
</file>

<file path=customXml/itemProps3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2025-10-29T21:49:45Z</cp:lastPrinted>
  <dcterms:created xsi:type="dcterms:W3CDTF">2023-09-19T19:50:35Z</dcterms:created>
  <dcterms:modified xsi:type="dcterms:W3CDTF">2025-10-30T21:42:13Z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