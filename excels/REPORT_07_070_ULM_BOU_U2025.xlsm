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8" documentId="8_{0F74313A-1296-425C-A4C7-6ED77DD8255F}" xr6:coauthVersionLast="47" xr6:coauthVersionMax="47" xr10:uidLastSave="{6E1CF4B6-C32C-4B9E-A4D1-69A93983EC8A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<sst xmlns="http://schemas.openxmlformats.org/spreadsheetml/2006/main" count="3261" uniqueCount="763">
  <si>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</si>
  <si>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</si>
  <si>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</si>
  <si>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</si>
  <si>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</si>
  <si>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</si>
  <si>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</si>
  <si>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</si>
  <si>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</si>
  <si>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</si>
  <si>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</si>
  <si>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</si>
  <si>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</si>
  <si>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</si>
  <si>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</si>
  <si>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</si>
  <si>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</si>
  <si>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</si>
  <si>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</si>
  <si>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</si>
  <si>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</si>
  <si>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</si>
  <si>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</si>
  <si>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</si>
  <si>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</si>
  <si>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</si>
  <si>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</si>
  <si>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</si>
  <si>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</si>
  <si>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</si>
  <si>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</si>
  <si>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</si>
  <si>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</si>
  <si>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</si>
  <si>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</si>
  <si>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</si>
  <si>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</si>
  <si>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</si>
  <si>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</si>
  <si>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</si>
  <si>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</si>
  <si>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</si>
  <si>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</si>
  <si>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</si>
  <si>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</si>
  <si>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</si>
  <si>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</si>
  <si>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</si>
  <si>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</si>
  <si>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</si>
  <si>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</si>
  <si>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</si>
  <si>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</si>
  <si>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</si>
  <si>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</si>
  <si>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</si>
  <si>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</si>
  <si>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</si>
  <si>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</si>
  <si>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</si>
  <si>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</si>
  <si>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</si>
  <si>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</si>
  <si>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</si>
  <si>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</si>
  <si>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</si>
  <si>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</si>
  <si>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</si>
  <si>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</si>
  <si>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</si>
  <si>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</si>
  <si>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</si>
  <si>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</si>
  <si>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</si>
  <si>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</si>
  <si>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</si>
  <si>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</si>
  <si>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</si>
  <si>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</si>
  <si>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</si>
  <si>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</si>
  <si>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</si>
  <si>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</si>
  <si>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</si>
  <si>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</si>
  <si>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</si>
  <si>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</si>
  <si>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</si>
  <si>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</si>
  <si>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</si>
  <si>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</si>
  <si>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</si>
  <si>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</si>
  <si>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</si>
  <si>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</si>
  <si>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</si>
  <si>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</si>
  <si>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</si>
  <si>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</si>
  <si>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</si>
  <si>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</si>
  <si>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</si>
  <si>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</si>
  <si>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</si>
  <si>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</si>
  <si>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</si>
  <si>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</si>
  <si>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</si>
  <si>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</si>
  <si>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</si>
  <si>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</si>
  <si>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</si>
  <si>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</si>
  <si>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</si>
  <si>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</si>
  <si>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</si>
  <si>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</si>
  <si>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</si>
  <si>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</si>
  <si>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</si>
  <si>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</si>
  <si>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</si>
  <si>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</si>
  <si>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</si>
  <si>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</si>
  <si>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</si>
  <si>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</si>
  <si>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</si>
  <si>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</si>
  <si>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</si>
  <si>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</si>
  <si>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</si>
  <si>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</si>
  <si>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</si>
  <si>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</si>
  <si>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</si>
  <si>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</si>
  <si>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</si>
  <si>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</si>
  <si>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</si>
  <si>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</si>
  <si>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</si>
  <si>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</si>
  <si>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</si>
  <si>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</si>
  <si>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</si>
  <si>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</si>
  <si>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</si>
  <si>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</si>
  <si>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</si>
  <si>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</si>
  <si>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</si>
  <si>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</si>
  <si>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</si>
  <si>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</si>
  <si>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</si>
  <si>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</si>
  <si>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</si>
  <si>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</si>
  <si>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</si>
  <si>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</si>
  <si>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</si>
  <si>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</si>
  <si>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</si>
  <si>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</si>
  <si>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</si>
  <si>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</si>
  <si>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</si>
  <si>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</si>
  <si>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</si>
  <si>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</si>
  <si>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</si>
  <si>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</si>
  <si>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</si>
  <si>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</si>
  <si>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</si>
  <si>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</si>
  <si>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</si>
  <si>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</si>
  <si>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</si>
  <si>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</si>
  <si>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</si>
  <si>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</si>
  <si>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</si>
  <si>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</si>
  <si>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</si>
  <si>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</si>
  <si>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</si>
  <si>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</si>
  <si>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</si>
  <si>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</si>
  <si>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</si>
  <si>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</si>
  <si>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</si>
  <si>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</si>
  <si>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</si>
  <si>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</si>
  <si>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</si>
  <si>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</si>
  <si>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</si>
  <si>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</si>
  <si>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</si>
  <si>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</si>
  <si>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</si>
  <si>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</si>
  <si>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</si>
  <si>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</si>
  <si>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</si>
  <si>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</si>
  <si>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</si>
  <si>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</si>
  <si>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</si>
  <si>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</si>
  <si>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</si>
  <si>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</si>
  <si>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</si>
  <si>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</si>
  <si>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</si>
  <si>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</si>
  <si>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</si>
  <si>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</si>
  <si>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</si>
  <si>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</si>
  <si>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</si>
  <si>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</si>
  <si>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</si>
  <si>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</si>
  <si>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</si>
  <si>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</si>
  <si>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</si>
  <si>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</si>
  <si>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</si>
  <si>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</si>
  <si>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</si>
  <si>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</si>
  <si>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</si>
  <si>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</si>
  <si>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</si>
  <si>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</si>
  <si>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</si>
  <si>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</si>
  <si>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</si>
  <si>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</si>
  <si>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</si>
  <si>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</si>
  <si>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</si>
  <si>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</si>
  <si>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</si>
  <si>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</si>
  <si>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</si>
  <si>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</si>
  <si>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</si>
  <si>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</si>
  <si>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</si>
  <si>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</si>
  <si>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</si>
  <si>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</si>
  <si>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</si>
  <si>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</si>
  <si>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</si>
  <si>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</si>
  <si>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</si>
  <si>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</si>
  <si>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</si>
  <si>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</si>
  <si>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</si>
  <si>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</si>
  <si>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</si>
  <si>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</si>
  <si>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</si>
  <si>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</si>
  <si>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</si>
  <si>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</si>
  <si>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</si>
  <si>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</si>
  <si>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</si>
  <si>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</si>
  <si>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</si>
  <si>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</si>
  <si>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</si>
  <si>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</si>
  <si>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</si>
  <si>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</si>
  <si>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</si>
  <si>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</si>
  <si>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</si>
  <si>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</si>
  <si>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</si>
  <si>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</si>
  <si>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</si>
  <si>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</si>
  <si>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</si>
  <si>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</si>
  <si>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</si>
  <si>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</si>
  <si>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</si>
  <si>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</si>
  <si>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</si>
  <si>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</si>
  <si>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</si>
  <si>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</si>
  <si>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</si>
  <si>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</si>
  <si>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</si>
  <si>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</si>
  <si>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</si>
  <si>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</si>
  <si>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</si>
  <si>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</si>
  <si>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</si>
  <si>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</si>
  <si>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</si>
  <si>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</si>
  <si>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</si>
  <si>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</si>
  <si>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</si>
  <si>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</si>
  <si>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</si>
  <si>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</si>
  <si>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</si>
  <si>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</si>
  <si>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</si>
  <si>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</si>
  <si>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</si>
  <si>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</si>
  <si>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</si>
  <si>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</si>
  <si>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</si>
  <si>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</si>
  <si>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</si>
  <si>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</si>
  <si>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</si>
  <si>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</si>
  <si>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</si>
  <si>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</si>
  <si>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</si>
  <si>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</si>
  <si>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</si>
  <si>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</si>
  <si>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</si>
  <si>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</si>
  <si>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</si>
  <si>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</si>
  <si>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</si>
  <si>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</si>
  <si>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</si>
  <si>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</si>
  <si>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</si>
  <si>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</si>
  <si>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</si>
  <si>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</si>
  <si>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</si>
  <si>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</si>
  <si>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</si>
  <si>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</si>
  <si>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</si>
  <si>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</si>
  <si>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</si>
  <si>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</si>
  <si>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</si>
  <si>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</si>
  <si>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</si>
  <si>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</si>
  <si>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</si>
  <si>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</si>
  <si>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</si>
  <si>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</si>
  <si>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</si>
  <si>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</si>
  <si>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</si>
  <si>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</si>
  <si>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</si>
  <si>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</si>
  <si>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</si>
  <si>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</si>
  <si>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</si>
  <si>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</si>
  <si>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</si>
  <si>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</si>
  <si>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</si>
  <si>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</si>
  <si>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</si>
  <si>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</si>
  <si>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</si>
  <si>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</si>
  <si>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</si>
  <si>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</si>
  <si>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</si>
  <si>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</si>
  <si>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</si>
  <si>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</si>
  <si>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</si>
  <si>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</si>
  <si>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</si>
  <si>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</si>
  <si>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</si>
  <si>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</si>
  <si>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</si>
  <si>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</si>
  <si>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</si>
  <si>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</si>
  <si>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</si>
  <si>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</si>
  <si>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</si>
  <si>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</si>
  <si>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</si>
  <si>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</si>
  <si>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</si>
  <si>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</si>
  <si>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</si>
  <si>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</si>
  <si>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</si>
  <si>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</si>
  <si>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</si>
  <si>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</si>
  <si>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</si>
  <si>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</si>
  <si>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</si>
  <si>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</si>
  <si>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</si>
  <si>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</si>
  <si>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</si>
  <si>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</si>
  <si>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</si>
  <si>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</si>
  <si>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</si>
  <si>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</si>
  <si>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</si>
  <si>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</si>
  <si>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</si>
  <si>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</si>
  <si>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</si>
  <si>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</si>
  <si>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</si>
  <si>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</si>
  <si>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</si>
  <si>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</si>
  <si>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</si>
  <si>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</si>
  <si>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</si>
  <si>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</si>
  <si>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</si>
  <si>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</si>
  <si>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</si>
  <si>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</si>
  <si>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</si>
  <si>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</si>
  <si>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</si>
  <si>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</si>
  <si>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</si>
  <si>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</si>
  <si>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</si>
  <si>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</si>
  <si>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</si>
  <si>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</si>
  <si>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</si>
  <si>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</si>
  <si>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</si>
  <si>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</si>
  <si>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</si>
  <si>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</si>
  <si>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</si>
  <si>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</si>
  <si>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</si>
  <si>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</si>
  <si>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</si>
  <si>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</si>
  <si>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</si>
  <si>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</si>
  <si>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</si>
  <si>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</si>
  <si>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</si>
  <si>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</si>
  <si>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</si>
  <si>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</si>
  <si>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</si>
  <si>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</si>
  <si>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</si>
  <si>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</si>
  <si>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</si>
  <si>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</si>
  <si>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</si>
  <si>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</si>
  <si>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</si>
  <si>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</si>
  <si>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</si>
  <si>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</si>
  <si>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</si>
  <si>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</si>
  <si>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</si>
  <si>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</si>
  <si>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</si>
  <si>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</si>
  <si>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</si>
  <si>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</si>
  <si>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</si>
  <si>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</si>
  <si>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</si>
  <si>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</si>
  <si>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</si>
  <si>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</si>
  <si>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</si>
  <si>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</si>
  <si>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</si>
  <si>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</si>
  <si>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</si>
  <si>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</si>
  <si>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</si>
  <si>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</si>
  <si>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</si>
  <si>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</si>
  <si>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</si>
  <si>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</si>
  <si>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</si>
  <si>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</si>
  <si>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</si>
  <si>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</si>
  <si>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</si>
  <si>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</si>
  <si>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</si>
  <si>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</si>
  <si>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</si>
  <si>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</si>
  <si>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</si>
  <si>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</si>
  <si>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</si>
  <si>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</si>
  <si>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</si>
  <si>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</si>
  <si>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</si>
  <si>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</si>
  <si>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</si>
  <si>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</si>
  <si>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</si>
  <si>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</si>
  <si>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</si>
  <si>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</si>
  <si>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</si>
  <si>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</si>
  <si>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</si>
  <si>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</si>
  <si>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</si>
  <si>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</si>
  <si>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</si>
  <si>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</si>
  <si>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</si>
  <si>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</si>
  <si>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</si>
  <si>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</si>
  <si>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</si>
  <si>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</si>
  <si>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</si>
  <si>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</si>
  <si>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</si>
  <si>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</si>
  <si>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</si>
  <si>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</si>
  <si>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</si>
  <si>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</si>
  <si>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</si>
  <si>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</si>
  <si>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</si>
  <si>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</si>
  <si>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</si>
  <si>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</si>
  <si>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</si>
  <si>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</si>
  <si>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</si>
  <si>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</si>
  <si>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</si>
  <si>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</si>
  <si>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</si>
  <si>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</si>
  <si>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</si>
  <si>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</si>
  <si>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</si>
  <si>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</si>
  <si>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</si>
  <si>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</si>
  <si>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</si>
  <si>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</si>
  <si>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</si>
  <si>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</si>
  <si>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</si>
  <si>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</si>
  <si>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</si>
  <si>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</si>
  <si>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</si>
  <si>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</si>
  <si>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</si>
  <si>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</si>
  <si>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</si>
  <si>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</si>
  <si>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</si>
  <si>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</si>
  <si>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</si>
  <si>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</si>
  <si>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</si>
  <si>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</si>
  <si>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</si>
  <si>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</si>
  <si>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</si>
  <si>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</si>
  <si>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</si>
  <si>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</si>
  <si>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</si>
  <si>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</si>
  <si>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</si>
  <si>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</si>
  <si>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</si>
  <si>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</si>
  <si>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</si>
  <si>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</si>
  <si>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</si>
  <si>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</si>
  <si>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</si>
  <si>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</si>
  <si>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</si>
  <si>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</si>
  <si>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</si>
  <si>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</si>
  <si>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</si>
  <si>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</si>
  <si>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</si>
  <si>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</si>
  <si>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</si>
  <si>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</si>
  <si>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</si>
  <si>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</si>
  <si>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</si>
  <si>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</si>
  <si>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</si>
  <si>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</si>
  <si>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</si>
  <si>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</si>
  <si>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</si>
  <si>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</si>
  <si>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</si>
  <si>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</si>
  <si>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</si>
  <si>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</si>
  <si>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</si>
  <si>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</si>
  <si>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</si>
  <si>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</si>
  <si>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</si>
  <si>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</si>
  <si>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</si>
  <si>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</si>
  <si>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</si>
  <si>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</si>
  <si>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</si>
  <si>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</si>
  <si>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</si>
  <si>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</si>
  <si>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</si>
  <si>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</si>
  <si>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</si>
  <si>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</si>
  <si>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</si>
  <si>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</si>
  <si>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</si>
  <si>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</si>
  <si>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</si>
  <si>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</si>
  <si>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</si>
  <si>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</si>
  <si>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</si>
  <si>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</si>
  <si>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</si>
  <si>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</si>
  <si>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</si>
  <si>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</si>
  <si>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</si>
  <si>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</si>
  <si>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</si>
  <si>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</si>
  <si>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</si>
  <si>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</si>
  <si>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</si>
  <si>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</si>
  <si>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</si>
  <si>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</si>
  <si>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</si>
  <si>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</si>
  <si>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</si>
  <si>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</si>
  <si>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</si>
  <si>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</si>
  <si>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</si>
  <si>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</si>
  <si>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</si>
  <si>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</si>
  <si>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</si>
  <si>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</si>
  <si>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</si>
  <si>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</si>
  <si>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</si>
  <si>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</si>
  <si>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</si>
  <si>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</si>
  <si>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</si>
  <si>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</si>
  <si>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</si>
  <si>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</si>
  <si>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</si>
  <si>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</si>
  <si>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</si>
  <si>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</si>
  <si>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</si>
  <si>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</si>
  <si>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</si>
  <si>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</si>
  <si>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</si>
  <si>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</si>
  <si>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</si>
  <si>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</si>
  <si>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</si>
  <si>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</si>
  <si>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</si>
  <si>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</si>
  <si>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</si>
  <si>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</si>
  <si>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</si>
  <si>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</si>
  <si>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</si>
  <si>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</si>
  <si>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</si>
  <si>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</si>
  <si>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</si>
  <si>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</si>
  <si>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</si>
  <si>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</si>
  <si>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</si>
  <si>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</si>
  <si>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</si>
  <si>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</si>
  <si>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</si>
  <si>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</si>
  <si>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</si>
  <si>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</si>
  <si>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</si>
  <si>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</si>
  <si>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</si>
  <si>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</si>
  <si>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</si>
  <si>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</si>
  <si>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</si>
  <si>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</si>
  <si>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C:\Users\pablo.campoy\EUROLEAGUE\EB STATS - General\SEASON 2025-26\Reports\Eurocup\Excel Reports fets</t>
  </si>
  <si>
    <t>C:\Users\pablo.campoy\EUROLEAGUE\EB STATS - General\SEASON 2025-26\Reports\Eurocup\PDF</t>
  </si>
  <si>
    <t>FLORIAN GLOECKLER</t>
  </si>
  <si>
    <t>LEONIE VALENTINA, HEINRICH</t>
  </si>
  <si>
    <t>SIMONE GRUPP</t>
  </si>
  <si>
    <t>CARSTEN STOCKER</t>
  </si>
  <si>
    <t>CHRISTIAN GRUPP</t>
  </si>
  <si>
    <t>00:07</t>
  </si>
  <si>
    <t>Turnover per receptor, ja que el passi no era dolent però no controla la pilota</t>
  </si>
  <si>
    <t>04:54</t>
  </si>
  <si>
    <t>Rebot defensiu confús que acaba sortint fora després de tenir-lo controlat dos jugadors locals.</t>
  </si>
  <si>
    <t>05:30</t>
  </si>
  <si>
    <t>Turnover clar del passador apuntat al receptor que no la controla en cap cas.</t>
  </si>
  <si>
    <t>Terrific job tonight. Everything almost perfect. The Fouls Drawn, the blocks and a few actions corrected on their own before I told them to do. Excelent job.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</si>
</sst>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8" activePane="bottomRight" state="frozen"/>
      <selection pane="topRight" activeCell="H1" sqref="H1"/>
      <selection pane="bottomLeft" activeCell="A17" sqref="A17"/>
      <selection pane="bottomRight" activeCell="I7" sqref="I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07_070_ULM_BOU_U2025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70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45972.791666666664</v>
      </c>
      <c r="C3" s="178"/>
      <c r="D3" s="39">
        <v>570</v>
      </c>
      <c r="E3" s="29"/>
      <c r="F3" s="26">
        <f>SUBTOTAL(3,I17:I106)</f>
        <v>3</v>
      </c>
      <c r="G3" s="27">
        <f>IF(OR(D3="",D3=0),"",F3/D3)</f>
        <v>5.263157894736842E-3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ratiopharm Ulm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742</v>
      </c>
      <c r="L4" s="5"/>
      <c r="M4" s="185" t="s">
        <v>762</v>
      </c>
      <c r="N4" s="186"/>
      <c r="O4" s="2"/>
      <c r="P4" s="2"/>
      <c r="Q4" s="84" t="s">
        <v>175</v>
      </c>
      <c r="R4" s="94">
        <f>(IF(G3="",0,G3))</f>
        <v>5.263157894736842E-3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Cosea JL Bourg-en-Bresse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BOU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0.52631578947368418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2.0263157894736841</v>
      </c>
      <c r="N7" s="58"/>
      <c r="O7" s="2"/>
      <c r="P7" s="2"/>
      <c r="Q7" s="86">
        <f>SUM(R5,S5,AC16)</f>
        <v>2.0263157894736841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2.0263157894736841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70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/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21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70</v>
      </c>
      <c r="D17" s="32" t="s">
        <v>756</v>
      </c>
      <c r="E17" s="33">
        <v>1</v>
      </c>
      <c r="F17" s="36">
        <v>17</v>
      </c>
      <c r="G17" s="36">
        <v>28</v>
      </c>
      <c r="H17" s="38" t="str">
        <f>IF(I17="","",$I$14)</f>
        <v>SCOUTING</v>
      </c>
      <c r="I17" s="34">
        <v>118</v>
      </c>
      <c r="J17" s="13" t="s">
        <v>4</v>
      </c>
      <c r="K17" s="13" t="s">
        <v>63</v>
      </c>
      <c r="L17" s="13" t="s">
        <v>5</v>
      </c>
      <c r="M17" s="13" t="s">
        <v>9</v>
      </c>
      <c r="N17" s="35" t="s">
        <v>757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21" x14ac:dyDescent="0.25">
      <c r="A18" s="20"/>
      <c r="B18" s="31" t="str">
        <f t="shared" si="2"/>
        <v>U2025</v>
      </c>
      <c r="C18" s="31">
        <f t="shared" si="3"/>
        <v>70</v>
      </c>
      <c r="D18" s="32" t="s">
        <v>758</v>
      </c>
      <c r="E18" s="33">
        <v>3</v>
      </c>
      <c r="F18" s="36">
        <v>45</v>
      </c>
      <c r="G18" s="36">
        <v>57</v>
      </c>
      <c r="H18" s="38" t="str">
        <f t="shared" ref="H18:H81" si="8">IF(I18="","",$I$14)</f>
        <v>SCOUTING</v>
      </c>
      <c r="I18" s="34">
        <v>373</v>
      </c>
      <c r="J18" s="13" t="s">
        <v>4</v>
      </c>
      <c r="K18" s="13" t="s">
        <v>63</v>
      </c>
      <c r="L18" s="13" t="s">
        <v>5</v>
      </c>
      <c r="M18" s="13" t="s">
        <v>168</v>
      </c>
      <c r="N18" s="35" t="s">
        <v>759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21" x14ac:dyDescent="0.25">
      <c r="A19" s="20"/>
      <c r="B19" s="31" t="str">
        <f t="shared" si="2"/>
        <v>U2025</v>
      </c>
      <c r="C19" s="31">
        <f t="shared" si="3"/>
        <v>70</v>
      </c>
      <c r="D19" s="32" t="s">
        <v>760</v>
      </c>
      <c r="E19" s="33">
        <v>4</v>
      </c>
      <c r="F19" s="36">
        <v>50</v>
      </c>
      <c r="G19" s="36">
        <v>74</v>
      </c>
      <c r="H19" s="38" t="str">
        <f t="shared" si="8"/>
        <v>SCOUTING</v>
      </c>
      <c r="I19" s="34">
        <v>491</v>
      </c>
      <c r="J19" s="13" t="s">
        <v>4</v>
      </c>
      <c r="K19" s="13" t="s">
        <v>63</v>
      </c>
      <c r="L19" s="13" t="s">
        <v>5</v>
      </c>
      <c r="M19" s="13" t="s">
        <v>9</v>
      </c>
      <c r="N19" s="35" t="s">
        <v>761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REPORT_U2025070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"U2025070"</v>
      </c>
      <c r="F3" s="45" t="str">
        <f t="shared" ref="F3:F16" si="0">""""&amp;B3&amp;"""" &amp; " : " &amp;C3&amp;","</f>
        <v>"name" : "U2025070",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"U070"</v>
      </c>
      <c r="F4" s="45" t="str">
        <f t="shared" si="0"/>
        <v>"cod" : "U070",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070</v>
      </c>
      <c r="F6" s="45" t="str">
        <f t="shared" si="0"/>
        <v>"number" : 070,</v>
      </c>
    </row>
    <row r="7" spans="2:6" x14ac:dyDescent="0.25">
      <c r="B7" s="43" t="s">
        <v>116</v>
      </c>
      <c r="C7" s="43" t="str">
        <f ca="1">""""&amp;TEXT('SCOUT &amp; LOGISTICS'!B3,"dd/mm/aaaa")&amp;""""</f>
        <v>"11/11/2025"</v>
      </c>
      <c r="F7" s="45" t="str">
        <f t="shared" ca="1" si="0"/>
        <v>"date" : "11/11/2025",</v>
      </c>
    </row>
    <row r="8" spans="2:6" x14ac:dyDescent="0.25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5">
      <c r="B9" s="43" t="s">
        <v>126</v>
      </c>
      <c r="C9" s="43" t="str">
        <f>""""&amp;'SCOUT &amp; LOGISTICS'!D5&amp;""""</f>
        <v>"Cosea JL Bourg-en-Bresse"</v>
      </c>
      <c r="F9" s="45" t="str">
        <f t="shared" si="0"/>
        <v>"away_team" : "Cosea JL Bourg-en-Bresse",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"FLORIAN GLOECKLER"</v>
      </c>
      <c r="F10" s="45" t="str">
        <f t="shared" si="0"/>
        <v>"Data_entry" : "FLORIAN GLOECKLER",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"LEONIE VALENTINA, HEINRICH"</v>
      </c>
      <c r="F11" s="45" t="str">
        <f t="shared" si="0"/>
        <v>"Caller_1" : "LEONIE VALENTINA, HEINRICH",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"SIMONE GRUPP"</v>
      </c>
      <c r="F12" s="45" t="str">
        <f t="shared" si="0"/>
        <v>"Caller_2" : "SIMONE GRUPP",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"CARSTEN STOCKER"</v>
      </c>
      <c r="F13" s="45" t="str">
        <f t="shared" si="0"/>
        <v>"Timerkeeper" : "CARSTEN STOCKER",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"CHRISTIAN GRUPP"</v>
      </c>
      <c r="F14" s="45" t="str">
        <f t="shared" si="0"/>
        <v>"Shotclock" : "CHRISTIAN GRUPP",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""</v>
      </c>
      <c r="F16" s="45" t="str">
        <f t="shared" si="0"/>
        <v>"Live_Game_Manager" : "",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570</v>
      </c>
      <c r="F25" s="45" t="str">
        <f t="shared" ref="F25:F48" si="1">""""&amp;C25&amp;"""" &amp; " : " &amp;D25&amp;","</f>
        <v>"total_actions" : 570,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"Terrific job tonight. Everything almost perfect. The Fouls Drawn, the blocks and a few actions corrected on their own before I told them to do. Excelent job."</v>
      </c>
      <c r="F51" s="45" t="str">
        <f>""""&amp;B51&amp;"""" &amp; " : " &amp;C51&amp;","</f>
        <v>"comments" : "Terrific job tonight. Everything almost perfect. The Fouls Drawn, the blocks and a few actions corrected on their own before I told them to do. Excelent job.",</v>
      </c>
    </row>
    <row r="52" spans="2:6" x14ac:dyDescent="0.25">
      <c r="B52" s="43" t="s">
        <v>153</v>
      </c>
      <c r="C52" s="43" t="str">
        <f>TEXT('SCOUT &amp; LOGISTICS'!F1,"0,0")</f>
        <v>07_070_ULM_BOU_U2025</v>
      </c>
      <c r="F52" s="45" t="str">
        <f>""""&amp;B52&amp;"""" &amp; " : " &amp;C52</f>
        <v>"result" : 07_070_ULM_BOU_U2025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U070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11/11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Ratiopharm Ulm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Cosea Jl Bourg-En-Bresse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FLORIAN GLOECKLER</v>
      </c>
      <c r="C8" s="201"/>
      <c r="D8" s="201"/>
      <c r="E8" s="201"/>
      <c r="F8" s="201"/>
      <c r="G8" s="201" t="str">
        <f>IF('SCOUT &amp; LOGISTICS'!D7="","",'SCOUT &amp; LOGISTICS'!D7)</f>
        <v>LEONIE VALENTINA, HEINRICH</v>
      </c>
      <c r="H8" s="201"/>
      <c r="I8" s="201"/>
      <c r="J8" s="201"/>
      <c r="K8" s="201"/>
      <c r="L8" s="201" t="str">
        <f>IF('SCOUT &amp; LOGISTICS'!D8="","",'SCOUT &amp; LOGISTICS'!D8)</f>
        <v>SIMONE GRUPP</v>
      </c>
      <c r="M8" s="201"/>
      <c r="N8" s="201"/>
      <c r="O8" s="201"/>
      <c r="P8" s="201"/>
      <c r="Q8" s="201" t="str">
        <f>IF('SCOUT &amp; LOGISTICS'!D9="","",'SCOUT &amp; LOGISTICS'!D9)</f>
        <v>CARSTEN STOCKER</v>
      </c>
      <c r="R8" s="201"/>
      <c r="S8" s="201"/>
      <c r="T8" s="201"/>
      <c r="U8" s="201"/>
      <c r="V8" s="201" t="str">
        <f>IF('SCOUT &amp; LOGISTICS'!D10="","",'SCOUT &amp; LOGISTICS'!D10)</f>
        <v>CHRISTIAN GRUPP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570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5.263157894736842E-3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Terrific job tonight. Everything almost perfect. The Fouls Drawn, the blocks and a few actions corrected on their own before I told them to do. Excelent job.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2.0263157894736841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6D4E256-CDA6-46BC-8040-6EAB27086E8F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2025-11-11T14:16:27Z</cp:lastPrinted>
  <dcterms:created xsi:type="dcterms:W3CDTF">2023-09-19T19:50:35Z</dcterms:created>
  <dcterms:modified xsi:type="dcterms:W3CDTF">2025-11-11T20:19:44Z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