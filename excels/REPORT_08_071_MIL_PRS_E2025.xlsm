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80" documentId="8_{AE7C6368-545F-424B-96F6-928DA8867986}" xr6:coauthVersionLast="47" xr6:coauthVersionMax="47" xr10:uidLastSave="{C94FEE94-7515-456B-A9E9-56B4FCDA545D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<sst xmlns="http://schemas.openxmlformats.org/spreadsheetml/2006/main" count="3280" uniqueCount="766">
  <si>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</si>
  <si>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</si>
  <si>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</si>
  <si>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</si>
  <si>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</si>
  <si>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</si>
  <si>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</si>
  <si>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</si>
  <si>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</si>
  <si>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</si>
  <si>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</si>
  <si>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</si>
  <si>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</si>
  <si>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</si>
  <si>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</si>
  <si>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</si>
  <si>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</si>
  <si>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</si>
  <si>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</si>
  <si>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</si>
  <si>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</si>
  <si>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</si>
  <si>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</si>
  <si>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</si>
  <si>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</si>
  <si>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</si>
  <si>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</si>
  <si>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</si>
  <si>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</si>
  <si>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</si>
  <si>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</si>
  <si>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</si>
  <si>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</si>
  <si>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</si>
  <si>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</si>
  <si>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</si>
  <si>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</si>
  <si>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</si>
  <si>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</si>
  <si>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</si>
  <si>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</si>
  <si>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</si>
  <si>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</si>
  <si>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</si>
  <si>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</si>
  <si>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</si>
  <si>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</si>
  <si>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</si>
  <si>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</si>
  <si>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</si>
  <si>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</si>
  <si>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</si>
  <si>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</si>
  <si>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</si>
  <si>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</si>
  <si>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</si>
  <si>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</si>
  <si>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</si>
  <si>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</si>
  <si>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</si>
  <si>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</si>
  <si>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</si>
  <si>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</si>
  <si>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</si>
  <si>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</si>
  <si>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</si>
  <si>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</si>
  <si>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</si>
  <si>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</si>
  <si>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</si>
  <si>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</si>
  <si>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</si>
  <si>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</si>
  <si>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</si>
  <si>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</si>
  <si>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</si>
  <si>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</si>
  <si>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</si>
  <si>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</si>
  <si>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</si>
  <si>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</si>
  <si>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</si>
  <si>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</si>
  <si>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</si>
  <si>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</si>
  <si>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</si>
  <si>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</si>
  <si>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</si>
  <si>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</si>
  <si>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</si>
  <si>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</si>
  <si>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</si>
  <si>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</si>
  <si>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</si>
  <si>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</si>
  <si>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</si>
  <si>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</si>
  <si>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</si>
  <si>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</si>
  <si>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</si>
  <si>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</si>
  <si>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</si>
  <si>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</si>
  <si>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</si>
  <si>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</si>
  <si>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</si>
  <si>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</si>
  <si>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</si>
  <si>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</si>
  <si>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</si>
  <si>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</si>
  <si>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</si>
  <si>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</si>
  <si>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</si>
  <si>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</si>
  <si>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</si>
  <si>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</si>
  <si>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</si>
  <si>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</si>
  <si>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</si>
  <si>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</si>
  <si>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</si>
  <si>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</si>
  <si>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</si>
  <si>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</si>
  <si>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</si>
  <si>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</si>
  <si>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</si>
  <si>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</si>
  <si>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</si>
  <si>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</si>
  <si>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</si>
  <si>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</si>
  <si>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</si>
  <si>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</si>
  <si>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</si>
  <si>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</si>
  <si>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</si>
  <si>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</si>
  <si>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</si>
  <si>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</si>
  <si>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</si>
  <si>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</si>
  <si>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</si>
  <si>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</si>
  <si>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</si>
  <si>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</si>
  <si>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</si>
  <si>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</si>
  <si>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</si>
  <si>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</si>
  <si>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</si>
  <si>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</si>
  <si>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</si>
  <si>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</si>
  <si>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</si>
  <si>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</si>
  <si>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</si>
  <si>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</si>
  <si>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</si>
  <si>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</si>
  <si>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</si>
  <si>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</si>
  <si>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</si>
  <si>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</si>
  <si>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</si>
  <si>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</si>
  <si>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</si>
  <si>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</si>
  <si>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</si>
  <si>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</si>
  <si>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</si>
  <si>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</si>
  <si>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</si>
  <si>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</si>
  <si>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</si>
  <si>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</si>
  <si>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</si>
  <si>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</si>
  <si>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</si>
  <si>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</si>
  <si>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</si>
  <si>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</si>
  <si>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</si>
  <si>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</si>
  <si>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</si>
  <si>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</si>
  <si>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</si>
  <si>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</si>
  <si>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</si>
  <si>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</si>
  <si>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</si>
  <si>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</si>
  <si>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</si>
  <si>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</si>
  <si>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</si>
  <si>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</si>
  <si>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</si>
  <si>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</si>
  <si>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</si>
  <si>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</si>
  <si>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</si>
  <si>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</si>
  <si>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</si>
  <si>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</si>
  <si>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</si>
  <si>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</si>
  <si>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</si>
  <si>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</si>
  <si>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</si>
  <si>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</si>
  <si>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</si>
  <si>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</si>
  <si>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</si>
  <si>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</si>
  <si>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</si>
  <si>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</si>
  <si>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</si>
  <si>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</si>
  <si>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</si>
  <si>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</si>
  <si>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</si>
  <si>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</si>
  <si>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</si>
  <si>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</si>
  <si>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</si>
  <si>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</si>
  <si>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</si>
  <si>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</si>
  <si>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</si>
  <si>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</si>
  <si>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</si>
  <si>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</si>
  <si>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</si>
  <si>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</si>
  <si>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</si>
  <si>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</si>
  <si>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</si>
  <si>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</si>
  <si>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</si>
  <si>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</si>
  <si>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</si>
  <si>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</si>
  <si>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</si>
  <si>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</si>
  <si>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</si>
  <si>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</si>
  <si>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</si>
  <si>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</si>
  <si>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</si>
  <si>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</si>
  <si>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</si>
  <si>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</si>
  <si>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</si>
  <si>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</si>
  <si>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</si>
  <si>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</si>
  <si>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</si>
  <si>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</si>
  <si>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</si>
  <si>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</si>
  <si>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</si>
  <si>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</si>
  <si>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</si>
  <si>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</si>
  <si>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</si>
  <si>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</si>
  <si>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</si>
  <si>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</si>
  <si>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</si>
  <si>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</si>
  <si>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</si>
  <si>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</si>
  <si>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</si>
  <si>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</si>
  <si>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</si>
  <si>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</si>
  <si>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</si>
  <si>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</si>
  <si>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</si>
  <si>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</si>
  <si>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</si>
  <si>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</si>
  <si>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</si>
  <si>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</si>
  <si>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</si>
  <si>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</si>
  <si>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</si>
  <si>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</si>
  <si>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</si>
  <si>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</si>
  <si>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</si>
  <si>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</si>
  <si>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</si>
  <si>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</si>
  <si>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</si>
  <si>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</si>
  <si>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</si>
  <si>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</si>
  <si>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</si>
  <si>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</si>
  <si>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</si>
  <si>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</si>
  <si>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</si>
  <si>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</si>
  <si>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</si>
  <si>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</si>
  <si>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</si>
  <si>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</si>
  <si>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</si>
  <si>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</si>
  <si>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</si>
  <si>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</si>
  <si>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</si>
  <si>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</si>
  <si>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</si>
  <si>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</si>
  <si>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</si>
  <si>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</si>
  <si>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</si>
  <si>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</si>
  <si>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</si>
  <si>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</si>
  <si>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</si>
  <si>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</si>
  <si>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</si>
  <si>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</si>
  <si>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</si>
  <si>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</si>
  <si>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</si>
  <si>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</si>
  <si>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</si>
  <si>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</si>
  <si>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</si>
  <si>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</si>
  <si>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</si>
  <si>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</si>
  <si>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</si>
  <si>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</si>
  <si>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</si>
  <si>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</si>
  <si>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</si>
  <si>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</si>
  <si>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</si>
  <si>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</si>
  <si>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</si>
  <si>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</si>
  <si>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</si>
  <si>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</si>
  <si>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</si>
  <si>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</si>
  <si>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</si>
  <si>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</si>
  <si>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</si>
  <si>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</si>
  <si>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</si>
  <si>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</si>
  <si>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</si>
  <si>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</si>
  <si>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</si>
  <si>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</si>
  <si>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</si>
  <si>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</si>
  <si>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</si>
  <si>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</si>
  <si>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</si>
  <si>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</si>
  <si>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</si>
  <si>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</si>
  <si>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</si>
  <si>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</si>
  <si>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</si>
  <si>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</si>
  <si>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</si>
  <si>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</si>
  <si>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</si>
  <si>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</si>
  <si>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</si>
  <si>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</si>
  <si>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</si>
  <si>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</si>
  <si>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</si>
  <si>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</si>
  <si>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</si>
  <si>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</si>
  <si>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</si>
  <si>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</si>
  <si>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</si>
  <si>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</si>
  <si>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</si>
  <si>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</si>
  <si>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</si>
  <si>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</si>
  <si>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</si>
  <si>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</si>
  <si>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</si>
  <si>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</si>
  <si>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</si>
  <si>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</si>
  <si>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</si>
  <si>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</si>
  <si>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</si>
  <si>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</si>
  <si>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</si>
  <si>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</si>
  <si>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</si>
  <si>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</si>
  <si>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</si>
  <si>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</si>
  <si>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</si>
  <si>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</si>
  <si>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</si>
  <si>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</si>
  <si>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</si>
  <si>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</si>
  <si>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</si>
  <si>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</si>
  <si>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</si>
  <si>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</si>
  <si>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</si>
  <si>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</si>
  <si>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</si>
  <si>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</si>
  <si>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</si>
  <si>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</si>
  <si>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</si>
  <si>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</si>
  <si>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</si>
  <si>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</si>
  <si>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</si>
  <si>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</si>
  <si>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</si>
  <si>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</si>
  <si>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</si>
  <si>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</si>
  <si>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</si>
  <si>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</si>
  <si>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</si>
  <si>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</si>
  <si>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</si>
  <si>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</si>
  <si>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</si>
  <si>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</si>
  <si>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</si>
  <si>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</si>
  <si>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</si>
  <si>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</si>
  <si>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</si>
  <si>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</si>
  <si>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</si>
  <si>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</si>
  <si>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</si>
  <si>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</si>
  <si>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</si>
  <si>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</si>
  <si>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</si>
  <si>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</si>
  <si>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</si>
  <si>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</si>
  <si>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</si>
  <si>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</si>
  <si>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</si>
  <si>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</si>
  <si>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</si>
  <si>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</si>
  <si>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</si>
  <si>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</si>
  <si>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</si>
  <si>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</si>
  <si>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</si>
  <si>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</si>
  <si>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</si>
  <si>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</si>
  <si>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</si>
  <si>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</si>
  <si>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</si>
  <si>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</si>
  <si>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</si>
  <si>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</si>
  <si>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</si>
  <si>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</si>
  <si>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</si>
  <si>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</si>
  <si>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</si>
  <si>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</si>
  <si>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</si>
  <si>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</si>
  <si>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</si>
  <si>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</si>
  <si>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</si>
  <si>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</si>
  <si>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</si>
  <si>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</si>
  <si>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</si>
  <si>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</si>
  <si>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</si>
  <si>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</si>
  <si>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</si>
  <si>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</si>
  <si>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</si>
  <si>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</si>
  <si>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</si>
  <si>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</si>
  <si>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</si>
  <si>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</si>
  <si>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</si>
  <si>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</si>
  <si>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</si>
  <si>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</si>
  <si>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</si>
  <si>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</si>
  <si>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</si>
  <si>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</si>
  <si>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</si>
  <si>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</si>
  <si>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</si>
  <si>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</si>
  <si>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</si>
  <si>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</si>
  <si>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</si>
  <si>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</si>
  <si>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</si>
  <si>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</si>
  <si>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</si>
  <si>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</si>
  <si>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</si>
  <si>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</si>
  <si>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</si>
  <si>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</si>
  <si>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</si>
  <si>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</si>
  <si>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</si>
  <si>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</si>
  <si>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</si>
  <si>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</si>
  <si>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</si>
  <si>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</si>
  <si>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</si>
  <si>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</si>
  <si>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</si>
  <si>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</si>
  <si>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</si>
  <si>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</si>
  <si>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</si>
  <si>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</si>
  <si>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</si>
  <si>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</si>
  <si>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</si>
  <si>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</si>
  <si>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</si>
  <si>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</si>
  <si>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</si>
  <si>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</si>
  <si>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</si>
  <si>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</si>
  <si>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</si>
  <si>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</si>
  <si>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</si>
  <si>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</si>
  <si>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</si>
  <si>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</si>
  <si>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</si>
  <si>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</si>
  <si>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</si>
  <si>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</si>
  <si>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</si>
  <si>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</si>
  <si>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</si>
  <si>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</si>
  <si>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</si>
  <si>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</si>
  <si>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</si>
  <si>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</si>
  <si>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</si>
  <si>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</si>
  <si>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</si>
  <si>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</si>
  <si>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</si>
  <si>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</si>
  <si>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</si>
  <si>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</si>
  <si>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</si>
  <si>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</si>
  <si>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</si>
  <si>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</si>
  <si>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</si>
  <si>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</si>
  <si>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</si>
  <si>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</si>
  <si>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</si>
  <si>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</si>
  <si>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</si>
  <si>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</si>
  <si>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</si>
  <si>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</si>
  <si>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</si>
  <si>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</si>
  <si>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</si>
  <si>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</si>
  <si>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</si>
  <si>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</si>
  <si>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</si>
  <si>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</si>
  <si>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</si>
  <si>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</si>
  <si>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</si>
  <si>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</si>
  <si>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</si>
  <si>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</si>
  <si>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</si>
  <si>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</si>
  <si>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</si>
  <si>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</si>
  <si>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</si>
  <si>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</si>
  <si>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</si>
  <si>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</si>
  <si>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</si>
  <si>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</si>
  <si>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</si>
  <si>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</si>
  <si>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</si>
  <si>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</si>
  <si>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</si>
  <si>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</si>
  <si>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</si>
  <si>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</si>
  <si>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</si>
  <si>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</si>
  <si>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</si>
  <si>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</si>
  <si>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</si>
  <si>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</si>
  <si>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</si>
  <si>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</si>
  <si>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</si>
  <si>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</si>
  <si>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</si>
  <si>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</si>
  <si>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</si>
  <si>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</si>
  <si>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</si>
  <si>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</si>
  <si>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</si>
  <si>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</si>
  <si>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</si>
  <si>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</si>
  <si>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</si>
  <si>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</si>
  <si>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</si>
  <si>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</si>
  <si>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</si>
  <si>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</si>
  <si>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</si>
  <si>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</si>
  <si>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</si>
  <si>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</si>
  <si>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</si>
  <si>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</si>
  <si>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</si>
  <si>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</si>
  <si>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</si>
  <si>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</si>
  <si>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</si>
  <si>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</si>
  <si>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</si>
  <si>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</si>
  <si>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</si>
  <si>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</si>
  <si>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</si>
  <si>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</si>
  <si>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</si>
  <si>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</si>
  <si>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</si>
  <si>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</si>
  <si>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</si>
  <si>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</si>
  <si>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</si>
  <si>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</si>
  <si>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</si>
  <si>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</si>
  <si>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</si>
  <si>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</si>
  <si>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</si>
  <si>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</si>
  <si>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</si>
  <si>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</si>
  <si>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</si>
  <si>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</si>
  <si>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</si>
  <si>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</si>
  <si>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</si>
  <si>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</si>
  <si>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</si>
  <si>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</si>
  <si>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</si>
  <si>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</si>
  <si>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</si>
  <si>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</si>
  <si>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</si>
  <si>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</si>
  <si>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</si>
  <si>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</si>
  <si>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</si>
  <si>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</si>
  <si>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</si>
  <si>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</si>
  <si>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</si>
  <si>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</si>
  <si>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</si>
  <si>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</si>
  <si>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</si>
  <si>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</si>
  <si>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</si>
  <si>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</si>
  <si>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</si>
  <si>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</si>
  <si>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</si>
  <si>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</si>
  <si>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</si>
  <si>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</si>
  <si>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</si>
  <si>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</si>
  <si>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</si>
  <si>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</si>
  <si>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</si>
  <si>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</si>
  <si>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</si>
  <si>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</si>
  <si>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</si>
  <si>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</si>
  <si>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</si>
  <si>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</si>
  <si>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</si>
  <si>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</si>
  <si>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</si>
  <si>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</si>
  <si>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</si>
  <si>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</si>
  <si>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</si>
  <si>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</si>
  <si>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</si>
  <si>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</si>
  <si>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</si>
  <si>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</si>
  <si>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</si>
  <si>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</si>
  <si>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</si>
  <si>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</si>
  <si>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</si>
  <si>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ALESSANDRO ZUCA</t>
  </si>
  <si>
    <t>RENATO BOCCOTTI</t>
  </si>
  <si>
    <t>EMANUELA DALLA COSTA</t>
  </si>
  <si>
    <t>CINZIA COZZI</t>
  </si>
  <si>
    <t>THEA MORELLO</t>
  </si>
  <si>
    <t>VALERIA GAMBUZZA</t>
  </si>
  <si>
    <t xml:space="preserve">ORIOL GARCIA </t>
  </si>
  <si>
    <t>04:09</t>
  </si>
  <si>
    <t>04:13</t>
  </si>
  <si>
    <t>02:53</t>
  </si>
  <si>
    <t>00:23</t>
  </si>
  <si>
    <t>00:07</t>
  </si>
  <si>
    <t>09:18</t>
  </si>
  <si>
    <t>03:19</t>
  </si>
  <si>
    <t>Very good first half on scouting, on second half we had few more corrections. Good comunication during the game, checking also with IRS the plays requested.</t>
  </si>
  <si>
    <t>C:\Users\oriol.garcia\OneDrive - EUROLEAGUE\Documents\Season 25-26\Reports\Euroleague\EA7 Milan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</si>
</sst>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5" sqref="N25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08_071_MIL_PRS_E2025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45960.854166666664</v>
      </c>
      <c r="C3" s="157"/>
      <c r="D3" s="39">
        <v>0</v>
      </c>
      <c r="E3" s="29"/>
      <c r="F3" s="26">
        <f>SUBTOTAL(3,I17:I106)</f>
        <v>7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1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1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10.5</v>
      </c>
      <c r="N7" s="58"/>
      <c r="O7" s="2"/>
      <c r="P7" s="2"/>
      <c r="Q7" s="86">
        <f>SUM(R5,S5,AC16)</f>
        <v>10.5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10.5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9.5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71</v>
      </c>
      <c r="D17" s="32" t="s">
        <v>757</v>
      </c>
      <c r="E17" s="33">
        <v>1</v>
      </c>
      <c r="F17" s="36">
        <v>9</v>
      </c>
      <c r="G17" s="36">
        <v>10</v>
      </c>
      <c r="H17" s="38" t="str">
        <f>IF(I17="","",$I$14)</f>
        <v>SCOUTING</v>
      </c>
      <c r="I17" s="34">
        <v>91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71</v>
      </c>
      <c r="D18" s="32" t="s">
        <v>758</v>
      </c>
      <c r="E18" s="33">
        <v>2</v>
      </c>
      <c r="F18" s="36">
        <v>39</v>
      </c>
      <c r="G18" s="36">
        <v>22</v>
      </c>
      <c r="H18" s="38" t="str">
        <f t="shared" ref="H18:H81" si="8">IF(I18="","",$I$14)</f>
        <v>SCOUTING</v>
      </c>
      <c r="I18" s="34">
        <v>285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71</v>
      </c>
      <c r="D19" s="32" t="s">
        <v>759</v>
      </c>
      <c r="E19" s="33">
        <v>3</v>
      </c>
      <c r="F19" s="36">
        <v>64</v>
      </c>
      <c r="G19" s="36">
        <v>46</v>
      </c>
      <c r="H19" s="38" t="str">
        <f t="shared" si="8"/>
        <v>SCOUTING</v>
      </c>
      <c r="I19" s="34">
        <v>461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71</v>
      </c>
      <c r="D20" s="32" t="s">
        <v>760</v>
      </c>
      <c r="E20" s="33">
        <v>3</v>
      </c>
      <c r="F20" s="36">
        <v>67</v>
      </c>
      <c r="G20" s="36">
        <v>50</v>
      </c>
      <c r="H20" s="38" t="str">
        <f t="shared" si="8"/>
        <v>SCOUTING</v>
      </c>
      <c r="I20" s="34">
        <v>507</v>
      </c>
      <c r="J20" s="13" t="s">
        <v>4</v>
      </c>
      <c r="K20" s="13" t="s">
        <v>62</v>
      </c>
      <c r="L20" s="13" t="s">
        <v>7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71</v>
      </c>
      <c r="D21" s="32" t="s">
        <v>761</v>
      </c>
      <c r="E21" s="33">
        <v>3</v>
      </c>
      <c r="F21" s="36">
        <v>67</v>
      </c>
      <c r="G21" s="36">
        <v>53</v>
      </c>
      <c r="H21" s="38" t="str">
        <f t="shared" si="8"/>
        <v>SCOUTING</v>
      </c>
      <c r="I21" s="34">
        <v>510</v>
      </c>
      <c r="J21" s="13" t="s">
        <v>4</v>
      </c>
      <c r="K21" s="13" t="s">
        <v>62</v>
      </c>
      <c r="L21" s="13" t="s">
        <v>6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E2025</v>
      </c>
      <c r="C22" s="31">
        <f t="shared" si="3"/>
        <v>71</v>
      </c>
      <c r="D22" s="32" t="s">
        <v>762</v>
      </c>
      <c r="E22" s="33">
        <v>4</v>
      </c>
      <c r="F22" s="36">
        <v>67</v>
      </c>
      <c r="G22" s="36">
        <v>56</v>
      </c>
      <c r="H22" s="38" t="str">
        <f t="shared" si="8"/>
        <v>SCOUTING</v>
      </c>
      <c r="I22" s="34">
        <v>535</v>
      </c>
      <c r="J22" s="13" t="s">
        <v>4</v>
      </c>
      <c r="K22" s="13" t="s">
        <v>61</v>
      </c>
      <c r="L22" s="13" t="s">
        <v>7</v>
      </c>
      <c r="M22" s="13" t="s">
        <v>37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E2025</v>
      </c>
      <c r="C23" s="31">
        <f t="shared" si="3"/>
        <v>71</v>
      </c>
      <c r="D23" s="32" t="s">
        <v>763</v>
      </c>
      <c r="E23" s="33">
        <v>4</v>
      </c>
      <c r="F23" s="36">
        <v>79</v>
      </c>
      <c r="G23" s="36">
        <v>65</v>
      </c>
      <c r="H23" s="38" t="str">
        <f t="shared" si="8"/>
        <v>SCOUTING</v>
      </c>
      <c r="I23" s="34">
        <v>643</v>
      </c>
      <c r="J23" s="13" t="s">
        <v>4</v>
      </c>
      <c r="K23" s="13" t="s">
        <v>62</v>
      </c>
      <c r="L23" s="13" t="s">
        <v>48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REPORT_E2025071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"E2025071"</v>
      </c>
      <c r="F3" s="45" t="str">
        <f t="shared" ref="F3:F16" si="0">""""&amp;B3&amp;"""" &amp; " : " &amp;C3&amp;","</f>
        <v>"name" : "E2025071",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"E071"</v>
      </c>
      <c r="F4" s="45" t="str">
        <f t="shared" si="0"/>
        <v>"cod" : "E071",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071</v>
      </c>
      <c r="F6" s="45" t="str">
        <f t="shared" si="0"/>
        <v>"number" : 071,</v>
      </c>
    </row>
    <row r="7" spans="2:6" x14ac:dyDescent="0.2">
      <c r="B7" s="43" t="s">
        <v>116</v>
      </c>
      <c r="C7" s="43" t="str">
        <f ca="1">""""&amp;TEXT('SCOUT &amp; LOGISTICS'!B3,"dd/mm/aaaa")&amp;""""</f>
        <v>"30/10/Thursday"</v>
      </c>
      <c r="F7" s="45" t="str">
        <f t="shared" ca="1" si="0"/>
        <v>"date" : "30/10/Thursday",</v>
      </c>
    </row>
    <row r="8" spans="2:6" x14ac:dyDescent="0.2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"ALESSANDRO ZUCA"</v>
      </c>
      <c r="F10" s="45" t="str">
        <f t="shared" si="0"/>
        <v>"Data_entry" : "ALESSANDRO ZUCA",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"RENATO BOCCOTTI"</v>
      </c>
      <c r="F11" s="45" t="str">
        <f t="shared" si="0"/>
        <v>"Caller_1" : "RENATO BOCCOTTI",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"CINZIA COZZI"</v>
      </c>
      <c r="F13" s="45" t="str">
        <f t="shared" si="0"/>
        <v>"Timerkeeper" : "CINZIA COZZI",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"THEA MORELLO"</v>
      </c>
      <c r="F14" s="45" t="str">
        <f t="shared" si="0"/>
        <v>"Shotclock" : "THEA MORELLO",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"VALERIA GAMBUZZA"</v>
      </c>
      <c r="F15" s="45" t="str">
        <f t="shared" si="0"/>
        <v>"IRS" : "VALERIA GAMBUZZA",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 "</v>
      </c>
      <c r="F16" s="45" t="str">
        <f t="shared" si="0"/>
        <v>"Live_Game_Manager" : "ORIOL GARCIA 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first half on scouting, on second half we had few more corrections. Good comunication during the game, checking also with IRS the plays requested."</v>
      </c>
      <c r="F51" s="45" t="str">
        <f>""""&amp;B51&amp;"""" &amp; " : " &amp;C51&amp;","</f>
        <v>"comments" : "Very good first half on scouting, on second half we had few more corrections. Good comunication during the game, checking also with IRS the plays requested.",</v>
      </c>
    </row>
    <row r="52" spans="2:6" x14ac:dyDescent="0.2">
      <c r="B52" s="43" t="s">
        <v>153</v>
      </c>
      <c r="C52" s="43" t="str">
        <f>TEXT('SCOUT &amp; LOGISTICS'!F1,"0,0")</f>
        <v>08_071_MIL_PRS_E2025</v>
      </c>
      <c r="F52" s="45" t="str">
        <f>""""&amp;B52&amp;"""" &amp; " : " &amp;C52</f>
        <v>"result" : 08_071_MIL_PRS_E2025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E071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30/10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ALESSANDRO ZUCA</v>
      </c>
      <c r="C8" s="206"/>
      <c r="D8" s="206"/>
      <c r="E8" s="206"/>
      <c r="F8" s="206"/>
      <c r="G8" s="206" t="str">
        <f>IF('SCOUT &amp; LOGISTICS'!D7="","",'SCOUT &amp; LOGISTICS'!D7)</f>
        <v>RENATO BOCCOTTI</v>
      </c>
      <c r="H8" s="206"/>
      <c r="I8" s="206"/>
      <c r="J8" s="206"/>
      <c r="K8" s="206"/>
      <c r="L8" s="206" t="str">
        <f>IF('SCOUT &amp; LOGISTICS'!D8="","",'SCOUT &amp; LOGISTICS'!D8)</f>
        <v>EMANUELA DALLA COSTA</v>
      </c>
      <c r="M8" s="206"/>
      <c r="N8" s="206"/>
      <c r="O8" s="206"/>
      <c r="P8" s="206"/>
      <c r="Q8" s="206" t="str">
        <f>IF('SCOUT &amp; LOGISTICS'!D9="","",'SCOUT &amp; LOGISTICS'!D9)</f>
        <v>CINZIA COZZI</v>
      </c>
      <c r="R8" s="206"/>
      <c r="S8" s="206"/>
      <c r="T8" s="206"/>
      <c r="U8" s="206"/>
      <c r="V8" s="206" t="str">
        <f>IF('SCOUT &amp; LOGISTICS'!D10="","",'SCOUT &amp; LOGISTICS'!D10)</f>
        <v>THEA MORELLO</v>
      </c>
      <c r="W8" s="206"/>
      <c r="X8" s="206"/>
      <c r="Y8" s="206"/>
      <c r="Z8" s="206"/>
      <c r="AA8" s="206" t="str">
        <f>IF('SCOUT &amp; LOGISTICS'!D11="","",'SCOUT &amp; LOGISTICS'!D11)</f>
        <v>VALERIA GAMBUZZA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Very good first half on scouting, on second half we had few more corrections. Good comunication during the game, checking also with IRS the plays requested.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10.5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6005EB-7E4D-4335-82ED-5263737B4DD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2025-11-10T11:00:00Z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