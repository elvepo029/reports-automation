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145410A-09F8-4231-9DC2-CBAA1EF081C5}" xr6:coauthVersionLast="47" xr6:coauthVersionMax="47" xr10:uidLastSave="{00000000-0000-0000-0000-000000000000}"/>
  <bookViews>
    <workbookView xWindow="-5265" yWindow="-16110" windowWidth="27105" windowHeight="1510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<sst xmlns="http://schemas.openxmlformats.org/spreadsheetml/2006/main" count="3259" uniqueCount="760">
  <si>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</si>
  <si>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</si>
  <si>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</si>
  <si>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</si>
  <si>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</si>
  <si>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</si>
  <si>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</si>
  <si>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</si>
  <si>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</si>
  <si>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</si>
  <si>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</si>
  <si>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</si>
  <si>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</si>
  <si>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</si>
  <si>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</si>
  <si>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</si>
  <si>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</si>
  <si>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</si>
  <si>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</si>
  <si>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</si>
  <si>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</si>
  <si>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</si>
  <si>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</si>
  <si>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</si>
  <si>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</si>
  <si>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</si>
  <si>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</si>
  <si>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</si>
  <si>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</si>
  <si>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</si>
  <si>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</si>
  <si>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</si>
  <si>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</si>
  <si>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</si>
  <si>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</si>
  <si>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</si>
  <si>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</si>
  <si>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</si>
  <si>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</si>
  <si>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</si>
  <si>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</si>
  <si>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</si>
  <si>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</si>
  <si>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</si>
  <si>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</si>
  <si>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</si>
  <si>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</si>
  <si>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</si>
  <si>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</si>
  <si>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</si>
  <si>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</si>
  <si>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</si>
  <si>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</si>
  <si>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</si>
  <si>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</si>
  <si>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</si>
  <si>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</si>
  <si>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</si>
  <si>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</si>
  <si>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</si>
  <si>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</si>
  <si>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</si>
  <si>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</si>
  <si>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</si>
  <si>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</si>
  <si>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</si>
  <si>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</si>
  <si>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</si>
  <si>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</si>
  <si>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</si>
  <si>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</si>
  <si>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</si>
  <si>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</si>
  <si>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</si>
  <si>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</si>
  <si>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</si>
  <si>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</si>
  <si>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</si>
  <si>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</si>
  <si>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</si>
  <si>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</si>
  <si>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</si>
  <si>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</si>
  <si>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</si>
  <si>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</si>
  <si>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</si>
  <si>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</si>
  <si>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</si>
  <si>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</si>
  <si>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</si>
  <si>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</si>
  <si>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</si>
  <si>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</si>
  <si>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</si>
  <si>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</si>
  <si>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</si>
  <si>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</si>
  <si>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</si>
  <si>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</si>
  <si>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</si>
  <si>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</si>
  <si>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</si>
  <si>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</si>
  <si>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</si>
  <si>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</si>
  <si>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</si>
  <si>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</si>
  <si>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</si>
  <si>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</si>
  <si>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</si>
  <si>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</si>
  <si>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</si>
  <si>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</si>
  <si>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</si>
  <si>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</si>
  <si>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</si>
  <si>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</si>
  <si>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</si>
  <si>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</si>
  <si>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</si>
  <si>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</si>
  <si>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</si>
  <si>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</si>
  <si>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</si>
  <si>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</si>
  <si>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</si>
  <si>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</si>
  <si>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</si>
  <si>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</si>
  <si>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</si>
  <si>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</si>
  <si>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</si>
  <si>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</si>
  <si>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</si>
  <si>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</si>
  <si>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</si>
  <si>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</si>
  <si>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</si>
  <si>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</si>
  <si>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</si>
  <si>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</si>
  <si>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</si>
  <si>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</si>
  <si>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</si>
  <si>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</si>
  <si>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</si>
  <si>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</si>
  <si>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</si>
  <si>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</si>
  <si>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</si>
  <si>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</si>
  <si>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</si>
  <si>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</si>
  <si>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</si>
  <si>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</si>
  <si>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</si>
  <si>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</si>
  <si>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</si>
  <si>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</si>
  <si>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</si>
  <si>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</si>
  <si>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</si>
  <si>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</si>
  <si>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</si>
  <si>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</si>
  <si>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</si>
  <si>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</si>
  <si>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</si>
  <si>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</si>
  <si>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</si>
  <si>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</si>
  <si>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</si>
  <si>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</si>
  <si>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</si>
  <si>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</si>
  <si>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</si>
  <si>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</si>
  <si>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</si>
  <si>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</si>
  <si>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</si>
  <si>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</si>
  <si>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</si>
  <si>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</si>
  <si>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</si>
  <si>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</si>
  <si>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</si>
  <si>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</si>
  <si>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</si>
  <si>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</si>
  <si>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</si>
  <si>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</si>
  <si>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</si>
  <si>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</si>
  <si>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</si>
  <si>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</si>
  <si>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</si>
  <si>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</si>
  <si>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</si>
  <si>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</si>
  <si>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</si>
  <si>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</si>
  <si>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</si>
  <si>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</si>
  <si>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</si>
  <si>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</si>
  <si>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</si>
  <si>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</si>
  <si>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</si>
  <si>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</si>
  <si>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</si>
  <si>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</si>
  <si>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</si>
  <si>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</si>
  <si>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</si>
  <si>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</si>
  <si>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</si>
  <si>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</si>
  <si>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</si>
  <si>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</si>
  <si>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</si>
  <si>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</si>
  <si>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</si>
  <si>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</si>
  <si>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</si>
  <si>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</si>
  <si>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</si>
  <si>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</si>
  <si>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</si>
  <si>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</si>
  <si>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</si>
  <si>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</si>
  <si>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</si>
  <si>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</si>
  <si>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</si>
  <si>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</si>
  <si>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</si>
  <si>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</si>
  <si>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</si>
  <si>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</si>
  <si>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</si>
  <si>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</si>
  <si>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</si>
  <si>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</si>
  <si>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</si>
  <si>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</si>
  <si>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</si>
  <si>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</si>
  <si>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</si>
  <si>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</si>
  <si>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</si>
  <si>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</si>
  <si>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</si>
  <si>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</si>
  <si>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</si>
  <si>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</si>
  <si>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</si>
  <si>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</si>
  <si>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</si>
  <si>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</si>
  <si>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</si>
  <si>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</si>
  <si>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</si>
  <si>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</si>
  <si>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</si>
  <si>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</si>
  <si>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</si>
  <si>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</si>
  <si>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</si>
  <si>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</si>
  <si>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</si>
  <si>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</si>
  <si>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</si>
  <si>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</si>
  <si>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</si>
  <si>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</si>
  <si>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</si>
  <si>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</si>
  <si>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</si>
  <si>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</si>
  <si>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</si>
  <si>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</si>
  <si>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</si>
  <si>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</si>
  <si>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</si>
  <si>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</si>
  <si>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</si>
  <si>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</si>
  <si>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</si>
  <si>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</si>
  <si>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</si>
  <si>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</si>
  <si>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</si>
  <si>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</si>
  <si>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</si>
  <si>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</si>
  <si>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</si>
  <si>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</si>
  <si>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</si>
  <si>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</si>
  <si>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</si>
  <si>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</si>
  <si>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</si>
  <si>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</si>
  <si>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</si>
  <si>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</si>
  <si>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</si>
  <si>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</si>
  <si>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</si>
  <si>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</si>
  <si>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</si>
  <si>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</si>
  <si>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</si>
  <si>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</si>
  <si>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</si>
  <si>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</si>
  <si>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</si>
  <si>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</si>
  <si>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</si>
  <si>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</si>
  <si>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</si>
  <si>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</si>
  <si>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</si>
  <si>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</si>
  <si>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</si>
  <si>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</si>
  <si>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</si>
  <si>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</si>
  <si>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</si>
  <si>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</si>
  <si>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</si>
  <si>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</si>
  <si>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</si>
  <si>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</si>
  <si>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</si>
  <si>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</si>
  <si>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</si>
  <si>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</si>
  <si>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</si>
  <si>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</si>
  <si>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</si>
  <si>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</si>
  <si>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</si>
  <si>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</si>
  <si>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</si>
  <si>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</si>
  <si>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</si>
  <si>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</si>
  <si>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</si>
  <si>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</si>
  <si>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</si>
  <si>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</si>
  <si>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</si>
  <si>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</si>
  <si>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</si>
  <si>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</si>
  <si>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</si>
  <si>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</si>
  <si>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</si>
  <si>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</si>
  <si>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</si>
  <si>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</si>
  <si>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</si>
  <si>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</si>
  <si>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</si>
  <si>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</si>
  <si>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</si>
  <si>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</si>
  <si>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</si>
  <si>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</si>
  <si>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</si>
  <si>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</si>
  <si>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</si>
  <si>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</si>
  <si>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</si>
  <si>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</si>
  <si>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</si>
  <si>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</si>
  <si>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</si>
  <si>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</si>
  <si>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</si>
  <si>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</si>
  <si>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</si>
  <si>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</si>
  <si>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</si>
  <si>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</si>
  <si>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</si>
  <si>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</si>
  <si>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</si>
  <si>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</si>
  <si>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</si>
  <si>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</si>
  <si>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</si>
  <si>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</si>
  <si>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</si>
  <si>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</si>
  <si>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</si>
  <si>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</si>
  <si>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</si>
  <si>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</si>
  <si>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</si>
  <si>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</si>
  <si>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</si>
  <si>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</si>
  <si>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</si>
  <si>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</si>
  <si>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</si>
  <si>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</si>
  <si>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</si>
  <si>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</si>
  <si>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</si>
  <si>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</si>
  <si>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</si>
  <si>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</si>
  <si>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</si>
  <si>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</si>
  <si>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</si>
  <si>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</si>
  <si>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</si>
  <si>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</si>
  <si>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</si>
  <si>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</si>
  <si>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</si>
  <si>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</si>
  <si>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</si>
  <si>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</si>
  <si>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</si>
  <si>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</si>
  <si>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</si>
  <si>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</si>
  <si>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</si>
  <si>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</si>
  <si>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</si>
  <si>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</si>
  <si>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</si>
  <si>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</si>
  <si>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</si>
  <si>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</si>
  <si>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</si>
  <si>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</si>
  <si>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</si>
  <si>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</si>
  <si>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</si>
  <si>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</si>
  <si>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</si>
  <si>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</si>
  <si>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</si>
  <si>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</si>
  <si>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</si>
  <si>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</si>
  <si>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</si>
  <si>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</si>
  <si>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</si>
  <si>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</si>
  <si>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</si>
  <si>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</si>
  <si>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</si>
  <si>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</si>
  <si>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</si>
  <si>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</si>
  <si>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</si>
  <si>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</si>
  <si>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</si>
  <si>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</si>
  <si>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</si>
  <si>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</si>
  <si>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</si>
  <si>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</si>
  <si>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</si>
  <si>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</si>
  <si>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</si>
  <si>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</si>
  <si>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</si>
  <si>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</si>
  <si>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</si>
  <si>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</si>
  <si>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</si>
  <si>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</si>
  <si>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</si>
  <si>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</si>
  <si>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</si>
  <si>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</si>
  <si>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</si>
  <si>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</si>
  <si>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</si>
  <si>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</si>
  <si>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</si>
  <si>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</si>
  <si>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</si>
  <si>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</si>
  <si>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</si>
  <si>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</si>
  <si>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</si>
  <si>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</si>
  <si>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</si>
  <si>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</si>
  <si>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</si>
  <si>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</si>
  <si>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</si>
  <si>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</si>
  <si>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</si>
  <si>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</si>
  <si>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</si>
  <si>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</si>
  <si>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</si>
  <si>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</si>
  <si>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</si>
  <si>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</si>
  <si>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</si>
  <si>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</si>
  <si>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</si>
  <si>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</si>
  <si>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</si>
  <si>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</si>
  <si>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</si>
  <si>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</si>
  <si>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</si>
  <si>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</si>
  <si>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</si>
  <si>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</si>
  <si>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</si>
  <si>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</si>
  <si>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</si>
  <si>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</si>
  <si>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</si>
  <si>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</si>
  <si>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</si>
  <si>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</si>
  <si>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</si>
  <si>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</si>
  <si>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</si>
  <si>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</si>
  <si>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</si>
  <si>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</si>
  <si>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</si>
  <si>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</si>
  <si>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</si>
  <si>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</si>
  <si>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</si>
  <si>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</si>
  <si>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</si>
  <si>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</si>
  <si>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</si>
  <si>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</si>
  <si>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</si>
  <si>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</si>
  <si>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</si>
  <si>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</si>
  <si>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</si>
  <si>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</si>
  <si>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</si>
  <si>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</si>
  <si>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</si>
  <si>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</si>
  <si>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</si>
  <si>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</si>
  <si>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</si>
  <si>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</si>
  <si>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</si>
  <si>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</si>
  <si>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</si>
  <si>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</si>
  <si>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</si>
  <si>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</si>
  <si>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</si>
  <si>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</si>
  <si>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</si>
  <si>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</si>
  <si>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</si>
  <si>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</si>
  <si>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</si>
  <si>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</si>
  <si>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</si>
  <si>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</si>
  <si>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</si>
  <si>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</si>
  <si>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</si>
  <si>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</si>
  <si>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</si>
  <si>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</si>
  <si>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</si>
  <si>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</si>
  <si>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</si>
  <si>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</si>
  <si>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</si>
  <si>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</si>
  <si>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</si>
  <si>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</si>
  <si>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</si>
  <si>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</si>
  <si>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</si>
  <si>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</si>
  <si>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</si>
  <si>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</si>
  <si>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</si>
  <si>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</si>
  <si>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</si>
  <si>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</si>
  <si>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</si>
  <si>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</si>
  <si>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</si>
  <si>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</si>
  <si>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</si>
  <si>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</si>
  <si>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</si>
  <si>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</si>
  <si>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</si>
  <si>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</si>
  <si>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</si>
  <si>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</si>
  <si>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</si>
  <si>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</si>
  <si>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</si>
  <si>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</si>
  <si>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</si>
  <si>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</si>
  <si>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</si>
  <si>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</si>
  <si>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</si>
  <si>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</si>
  <si>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</si>
  <si>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</si>
  <si>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</si>
  <si>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</si>
  <si>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</si>
  <si>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</si>
  <si>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</si>
  <si>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</si>
  <si>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</si>
  <si>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</si>
  <si>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</si>
  <si>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</si>
  <si>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</si>
  <si>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</si>
  <si>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</si>
  <si>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</si>
  <si>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</si>
  <si>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</si>
  <si>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</si>
  <si>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</si>
  <si>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</si>
  <si>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</si>
  <si>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</si>
  <si>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</si>
  <si>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</si>
  <si>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</si>
  <si>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</si>
  <si>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</si>
  <si>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</si>
  <si>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</si>
  <si>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</si>
  <si>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</si>
  <si>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</si>
  <si>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</si>
  <si>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</si>
  <si>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</si>
  <si>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</si>
  <si>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</si>
  <si>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</si>
  <si>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</si>
  <si>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</si>
  <si>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</si>
  <si>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</si>
  <si>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</si>
  <si>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</si>
  <si>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</si>
  <si>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</si>
  <si>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</si>
  <si>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</si>
  <si>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</si>
  <si>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</si>
  <si>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</si>
  <si>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</si>
  <si>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</si>
  <si>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</si>
  <si>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</si>
  <si>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</si>
  <si>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</si>
  <si>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</si>
  <si>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</si>
  <si>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</si>
  <si>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</si>
  <si>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</si>
  <si>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</si>
  <si>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</si>
  <si>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</si>
  <si>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</si>
  <si>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</si>
  <si>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</si>
  <si>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</si>
  <si>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</si>
  <si>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</si>
  <si>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</si>
  <si>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</si>
  <si>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</si>
  <si>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</si>
  <si>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</si>
  <si>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</si>
  <si>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</si>
  <si>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</si>
  <si>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</si>
  <si>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</si>
  <si>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</si>
  <si>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</si>
  <si>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</si>
  <si>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</si>
  <si>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</si>
  <si>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</si>
  <si>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</si>
  <si>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</si>
  <si>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</si>
  <si>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</si>
  <si>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</si>
  <si>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</si>
  <si>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</si>
  <si>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</si>
  <si>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</si>
  <si>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</si>
  <si>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</si>
  <si>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</si>
  <si>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</si>
  <si>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</si>
  <si>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</si>
  <si>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</si>
  <si>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</si>
  <si>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</si>
  <si>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</si>
  <si>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</si>
  <si>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</si>
  <si>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</si>
  <si>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</si>
  <si>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</si>
  <si>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</si>
  <si>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</si>
  <si>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</si>
  <si>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</si>
  <si>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</si>
  <si>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</si>
  <si>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</si>
  <si>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</si>
  <si>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</si>
  <si>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</si>
  <si>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</si>
  <si>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</si>
  <si>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</si>
  <si>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</si>
  <si>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</si>
  <si>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</si>
  <si>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</si>
  <si>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</si>
  <si>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</si>
  <si>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MARIO ENJUANES</t>
  </si>
  <si>
    <t>WYSOCKA, AGNIESZKA</t>
  </si>
  <si>
    <t>RECZUCH, DOROTA</t>
  </si>
  <si>
    <t>LESIECKA, KATARZYNA</t>
  </si>
  <si>
    <t>LECH, JOANNA</t>
  </si>
  <si>
    <t>LASKOWSKA, ALEKSANDRA</t>
  </si>
  <si>
    <t>05:25</t>
  </si>
  <si>
    <t>time out for a team...</t>
  </si>
  <si>
    <t>03:35</t>
  </si>
  <si>
    <t>Good game! Autocorrected errors before notifying them… well 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</si>
</sst>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8" sqref="D1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08_071_WRO_BAH_U2025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45979.791666666664</v>
      </c>
      <c r="C3" s="178"/>
      <c r="D3" s="39">
        <v>0</v>
      </c>
      <c r="E3" s="29"/>
      <c r="F3" s="26">
        <f>SUBTOTAL(3,I17:I106)</f>
        <v>2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Slask Wroclaw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743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Bahcesehir College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</v>
      </c>
      <c r="N7" s="58"/>
      <c r="O7" s="2"/>
      <c r="P7" s="2"/>
      <c r="Q7" s="86">
        <f>SUM(R5,S5,AC16)</f>
        <v>5.5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71</v>
      </c>
      <c r="D17" s="32" t="s">
        <v>756</v>
      </c>
      <c r="E17" s="33">
        <v>1</v>
      </c>
      <c r="F17" s="36">
        <v>12</v>
      </c>
      <c r="G17" s="36">
        <v>15</v>
      </c>
      <c r="H17" s="38" t="str">
        <f>IF(I17="","",$I$14)</f>
        <v>SCOUTING</v>
      </c>
      <c r="I17" s="34">
        <v>50</v>
      </c>
      <c r="J17" s="13" t="s">
        <v>4</v>
      </c>
      <c r="K17" s="13" t="s">
        <v>62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 t="s">
        <v>3</v>
      </c>
      <c r="K18" s="13" t="s">
        <v>61</v>
      </c>
      <c r="L18" s="13" t="s">
        <v>7</v>
      </c>
      <c r="M18" s="13" t="s">
        <v>38</v>
      </c>
      <c r="N18" s="35" t="s">
        <v>757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71</v>
      </c>
      <c r="D19" s="32" t="s">
        <v>758</v>
      </c>
      <c r="E19" s="33">
        <v>4</v>
      </c>
      <c r="F19" s="36">
        <v>88</v>
      </c>
      <c r="G19" s="36">
        <v>77</v>
      </c>
      <c r="H19" s="38" t="str">
        <f t="shared" si="8"/>
        <v>SCOUTING</v>
      </c>
      <c r="I19" s="34">
        <v>538</v>
      </c>
      <c r="J19" s="13" t="s">
        <v>4</v>
      </c>
      <c r="K19" s="13" t="s">
        <v>62</v>
      </c>
      <c r="L19" s="13" t="s">
        <v>48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1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REPORT_U2025071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"U2025071"</v>
      </c>
      <c r="F3" s="45" t="str">
        <f t="shared" ref="F3:F16" si="0">""""&amp;B3&amp;"""" &amp; " : " &amp;C3&amp;","</f>
        <v>"name" : "U2025071",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"U071"</v>
      </c>
      <c r="F4" s="45" t="str">
        <f t="shared" si="0"/>
        <v>"cod" : "U071",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071</v>
      </c>
      <c r="F6" s="45" t="str">
        <f t="shared" si="0"/>
        <v>"number" : 071,</v>
      </c>
    </row>
    <row r="7" spans="2:6" x14ac:dyDescent="0.2">
      <c r="B7" s="43" t="s">
        <v>116</v>
      </c>
      <c r="C7" s="43" t="str">
        <f ca="1">""""&amp;TEXT('SCOUT &amp; LOGISTICS'!B3,"dd/mm/aaaa")&amp;""""</f>
        <v>"18/11/Tuesday"</v>
      </c>
      <c r="F7" s="45" t="str">
        <f t="shared" ca="1" si="0"/>
        <v>"date" : "18/11/Tuesday",</v>
      </c>
    </row>
    <row r="8" spans="2:6" x14ac:dyDescent="0.2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"WYSOCKA, AGNIESZKA"</v>
      </c>
      <c r="F10" s="45" t="str">
        <f t="shared" si="0"/>
        <v>"Data_entry" : "WYSOCKA, AGNIESZKA",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"RECZUCH, DOROTA"</v>
      </c>
      <c r="F11" s="45" t="str">
        <f t="shared" si="0"/>
        <v>"Caller_1" : "RECZUCH, DOROTA",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"LESIECKA, KATARZYNA"</v>
      </c>
      <c r="F12" s="45" t="str">
        <f t="shared" si="0"/>
        <v>"Caller_2" : "LESIECKA, KATARZYNA",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"LECH, JOANNA"</v>
      </c>
      <c r="F13" s="45" t="str">
        <f t="shared" si="0"/>
        <v>"Timerkeeper" : "LECH, JOANNA",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"LASKOWSKA, ALEKSANDRA"</v>
      </c>
      <c r="F14" s="45" t="str">
        <f t="shared" si="0"/>
        <v>"Shotclock" : "LASKOWSKA, ALEKSANDRA",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1</v>
      </c>
      <c r="F42" s="45" t="str">
        <f t="shared" si="1"/>
        <v>"substitution" : 1,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game! Autocorrected errors before notifying them… well done!"</v>
      </c>
      <c r="F51" s="45" t="str">
        <f>""""&amp;B51&amp;"""" &amp; " : " &amp;C51&amp;","</f>
        <v>"comments" : "Good game! Autocorrected errors before notifying them… well done!",</v>
      </c>
    </row>
    <row r="52" spans="2:6" x14ac:dyDescent="0.2">
      <c r="B52" s="43" t="s">
        <v>153</v>
      </c>
      <c r="C52" s="43" t="str">
        <f>TEXT('SCOUT &amp; LOGISTICS'!F1,"0,0")</f>
        <v>08_071_WRO_BAH_U2025</v>
      </c>
      <c r="F52" s="45" t="str">
        <f>""""&amp;B52&amp;"""" &amp; " : " &amp;C52</f>
        <v>"result" : 08_071_WRO_BAH_U2025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U071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18/11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Slask Wroclaw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Bahcesehir College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WYSOCKA, AGNIESZKA</v>
      </c>
      <c r="C8" s="201"/>
      <c r="D8" s="201"/>
      <c r="E8" s="201"/>
      <c r="F8" s="201"/>
      <c r="G8" s="201" t="str">
        <f>IF('SCOUT &amp; LOGISTICS'!D7="","",'SCOUT &amp; LOGISTICS'!D7)</f>
        <v>RECZUCH, DOROTA</v>
      </c>
      <c r="H8" s="201"/>
      <c r="I8" s="201"/>
      <c r="J8" s="201"/>
      <c r="K8" s="201"/>
      <c r="L8" s="201" t="str">
        <f>IF('SCOUT &amp; LOGISTICS'!D8="","",'SCOUT &amp; LOGISTICS'!D8)</f>
        <v>LESIECKA, KATARZYNA</v>
      </c>
      <c r="M8" s="201"/>
      <c r="N8" s="201"/>
      <c r="O8" s="201"/>
      <c r="P8" s="201"/>
      <c r="Q8" s="201" t="str">
        <f>IF('SCOUT &amp; LOGISTICS'!D9="","",'SCOUT &amp; LOGISTICS'!D9)</f>
        <v>LECH, JOANNA</v>
      </c>
      <c r="R8" s="201"/>
      <c r="S8" s="201"/>
      <c r="T8" s="201"/>
      <c r="U8" s="201"/>
      <c r="V8" s="201" t="str">
        <f>IF('SCOUT &amp; LOGISTICS'!D10="","",'SCOUT &amp; LOGISTICS'!D10)</f>
        <v>LASKOWSKA, ALEKSANDRA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Good game! Autocorrected errors before notifying them… well done!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5.5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5D10ABA-9FB6-4906-9B48-08BD960EFBA5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2025-11-19T20:15:05Z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