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31" documentId="8_{FADE3D62-0549-4068-954C-6EFDDF10E7DA}" xr6:coauthVersionLast="47" xr6:coauthVersionMax="47" xr10:uidLastSave="{EACB2CD8-FB4D-49B0-B1BD-0A8C59CDEEBD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<sst xmlns="http://schemas.openxmlformats.org/spreadsheetml/2006/main" count="3322" uniqueCount="792">
  <si>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</si>
  <si>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</si>
  <si>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</si>
  <si>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</si>
  <si>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</si>
  <si>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</si>
  <si>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</si>
  <si>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</si>
  <si>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</si>
  <si>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</si>
  <si>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</si>
  <si>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</si>
  <si>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</si>
  <si>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</si>
  <si>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</si>
  <si>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</si>
  <si>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</si>
  <si>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</si>
  <si>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</si>
  <si>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</si>
  <si>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</si>
  <si>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</si>
  <si>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</si>
  <si>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</si>
  <si>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</si>
  <si>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</si>
  <si>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</si>
  <si>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</si>
  <si>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</si>
  <si>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</si>
  <si>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</si>
  <si>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</si>
  <si>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</si>
  <si>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</si>
  <si>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</si>
  <si>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</si>
  <si>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</si>
  <si>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</si>
  <si>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</si>
  <si>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</si>
  <si>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</si>
  <si>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</si>
  <si>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</si>
  <si>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</si>
  <si>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</si>
  <si>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</si>
  <si>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</si>
  <si>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</si>
  <si>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</si>
  <si>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</si>
  <si>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</si>
  <si>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</si>
  <si>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</si>
  <si>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</si>
  <si>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</si>
  <si>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</si>
  <si>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</si>
  <si>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</si>
  <si>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</si>
  <si>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</si>
  <si>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</si>
  <si>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</si>
  <si>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</si>
  <si>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</si>
  <si>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</si>
  <si>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</si>
  <si>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</si>
  <si>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</si>
  <si>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</si>
  <si>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</si>
  <si>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</si>
  <si>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</si>
  <si>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</si>
  <si>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</si>
  <si>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</si>
  <si>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</si>
  <si>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</si>
  <si>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</si>
  <si>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</si>
  <si>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</si>
  <si>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</si>
  <si>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</si>
  <si>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</si>
  <si>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</si>
  <si>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</si>
  <si>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</si>
  <si>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</si>
  <si>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</si>
  <si>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</si>
  <si>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</si>
  <si>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</si>
  <si>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</si>
  <si>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</si>
  <si>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</si>
  <si>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</si>
  <si>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</si>
  <si>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</si>
  <si>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</si>
  <si>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</si>
  <si>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</si>
  <si>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</si>
  <si>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</si>
  <si>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</si>
  <si>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</si>
  <si>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</si>
  <si>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</si>
  <si>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</si>
  <si>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</si>
  <si>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</si>
  <si>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</si>
  <si>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</si>
  <si>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</si>
  <si>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</si>
  <si>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</si>
  <si>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</si>
  <si>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</si>
  <si>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</si>
  <si>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</si>
  <si>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</si>
  <si>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</si>
  <si>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</si>
  <si>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</si>
  <si>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</si>
  <si>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</si>
  <si>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</si>
  <si>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</si>
  <si>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</si>
  <si>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</si>
  <si>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</si>
  <si>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</si>
  <si>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</si>
  <si>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</si>
  <si>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</si>
  <si>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</si>
  <si>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</si>
  <si>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</si>
  <si>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</si>
  <si>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</si>
  <si>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</si>
  <si>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</si>
  <si>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</si>
  <si>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</si>
  <si>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</si>
  <si>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</si>
  <si>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</si>
  <si>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</si>
  <si>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</si>
  <si>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</si>
  <si>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</si>
  <si>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</si>
  <si>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</si>
  <si>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</si>
  <si>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</si>
  <si>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</si>
  <si>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</si>
  <si>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</si>
  <si>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</si>
  <si>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</si>
  <si>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</si>
  <si>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</si>
  <si>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</si>
  <si>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</si>
  <si>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</si>
  <si>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</si>
  <si>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</si>
  <si>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</si>
  <si>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</si>
  <si>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</si>
  <si>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</si>
  <si>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</si>
  <si>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</si>
  <si>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</si>
  <si>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</si>
  <si>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</si>
  <si>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</si>
  <si>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</si>
  <si>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</si>
  <si>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</si>
  <si>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</si>
  <si>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</si>
  <si>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</si>
  <si>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</si>
  <si>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</si>
  <si>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</si>
  <si>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</si>
  <si>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</si>
  <si>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</si>
  <si>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</si>
  <si>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</si>
  <si>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</si>
  <si>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</si>
  <si>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</si>
  <si>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</si>
  <si>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</si>
  <si>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</si>
  <si>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</si>
  <si>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</si>
  <si>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</si>
  <si>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</si>
  <si>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</si>
  <si>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</si>
  <si>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</si>
  <si>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</si>
  <si>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</si>
  <si>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</si>
  <si>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</si>
  <si>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</si>
  <si>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</si>
  <si>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</si>
  <si>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</si>
  <si>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</si>
  <si>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</si>
  <si>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</si>
  <si>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</si>
  <si>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</si>
  <si>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</si>
  <si>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</si>
  <si>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</si>
  <si>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</si>
  <si>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</si>
  <si>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</si>
  <si>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</si>
  <si>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</si>
  <si>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</si>
  <si>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</si>
  <si>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</si>
  <si>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</si>
  <si>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</si>
  <si>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</si>
  <si>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</si>
  <si>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</si>
  <si>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</si>
  <si>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</si>
  <si>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</si>
  <si>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</si>
  <si>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</si>
  <si>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</si>
  <si>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</si>
  <si>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</si>
  <si>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</si>
  <si>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</si>
  <si>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</si>
  <si>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</si>
  <si>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</si>
  <si>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</si>
  <si>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</si>
  <si>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</si>
  <si>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</si>
  <si>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</si>
  <si>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</si>
  <si>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</si>
  <si>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</si>
  <si>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</si>
  <si>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</si>
  <si>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</si>
  <si>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</si>
  <si>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</si>
  <si>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</si>
  <si>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</si>
  <si>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</si>
  <si>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</si>
  <si>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</si>
  <si>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</si>
  <si>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</si>
  <si>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</si>
  <si>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</si>
  <si>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</si>
  <si>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</si>
  <si>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</si>
  <si>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</si>
  <si>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</si>
  <si>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</si>
  <si>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</si>
  <si>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</si>
  <si>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</si>
  <si>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</si>
  <si>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</si>
  <si>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</si>
  <si>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</si>
  <si>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</si>
  <si>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</si>
  <si>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</si>
  <si>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</si>
  <si>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</si>
  <si>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</si>
  <si>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</si>
  <si>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</si>
  <si>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</si>
  <si>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</si>
  <si>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</si>
  <si>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</si>
  <si>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</si>
  <si>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</si>
  <si>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</si>
  <si>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</si>
  <si>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</si>
  <si>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</si>
  <si>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</si>
  <si>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</si>
  <si>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</si>
  <si>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</si>
  <si>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</si>
  <si>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</si>
  <si>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</si>
  <si>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</si>
  <si>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</si>
  <si>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</si>
  <si>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</si>
  <si>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</si>
  <si>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</si>
  <si>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</si>
  <si>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</si>
  <si>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</si>
  <si>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</si>
  <si>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</si>
  <si>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</si>
  <si>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</si>
  <si>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</si>
  <si>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</si>
  <si>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</si>
  <si>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</si>
  <si>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</si>
  <si>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</si>
  <si>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</si>
  <si>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</si>
  <si>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</si>
  <si>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</si>
  <si>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</si>
  <si>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</si>
  <si>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</si>
  <si>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</si>
  <si>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</si>
  <si>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</si>
  <si>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</si>
  <si>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</si>
  <si>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</si>
  <si>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</si>
  <si>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</si>
  <si>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</si>
  <si>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</si>
  <si>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</si>
  <si>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</si>
  <si>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</si>
  <si>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</si>
  <si>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</si>
  <si>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</si>
  <si>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</si>
  <si>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</si>
  <si>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</si>
  <si>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</si>
  <si>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</si>
  <si>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</si>
  <si>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</si>
  <si>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</si>
  <si>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</si>
  <si>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</si>
  <si>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</si>
  <si>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</si>
  <si>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</si>
  <si>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</si>
  <si>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</si>
  <si>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</si>
  <si>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</si>
  <si>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</si>
  <si>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</si>
  <si>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</si>
  <si>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</si>
  <si>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</si>
  <si>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</si>
  <si>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</si>
  <si>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</si>
  <si>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</si>
  <si>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</si>
  <si>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</si>
  <si>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</si>
  <si>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</si>
  <si>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</si>
  <si>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</si>
  <si>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</si>
  <si>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</si>
  <si>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</si>
  <si>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</si>
  <si>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</si>
  <si>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</si>
  <si>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</si>
  <si>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</si>
  <si>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</si>
  <si>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</si>
  <si>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</si>
  <si>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</si>
  <si>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</si>
  <si>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</si>
  <si>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</si>
  <si>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</si>
  <si>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</si>
  <si>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</si>
  <si>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</si>
  <si>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</si>
  <si>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</si>
  <si>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</si>
  <si>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</si>
  <si>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</si>
  <si>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</si>
  <si>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</si>
  <si>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</si>
  <si>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</si>
  <si>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</si>
  <si>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</si>
  <si>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</si>
  <si>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</si>
  <si>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</si>
  <si>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</si>
  <si>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</si>
  <si>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</si>
  <si>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</si>
  <si>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</si>
  <si>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</si>
  <si>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</si>
  <si>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</si>
  <si>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</si>
  <si>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</si>
  <si>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</si>
  <si>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</si>
  <si>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</si>
  <si>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</si>
  <si>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</si>
  <si>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</si>
  <si>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</si>
  <si>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</si>
  <si>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</si>
  <si>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</si>
  <si>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</si>
  <si>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</si>
  <si>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</si>
  <si>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</si>
  <si>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</si>
  <si>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</si>
  <si>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</si>
  <si>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</si>
  <si>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</si>
  <si>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</si>
  <si>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</si>
  <si>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</si>
  <si>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</si>
  <si>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</si>
  <si>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</si>
  <si>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</si>
  <si>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</si>
  <si>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</si>
  <si>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</si>
  <si>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</si>
  <si>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</si>
  <si>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</si>
  <si>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</si>
  <si>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</si>
  <si>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</si>
  <si>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</si>
  <si>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</si>
  <si>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</si>
  <si>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</si>
  <si>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</si>
  <si>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</si>
  <si>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</si>
  <si>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</si>
  <si>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</si>
  <si>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</si>
  <si>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</si>
  <si>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</si>
  <si>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</si>
  <si>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</si>
  <si>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</si>
  <si>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</si>
  <si>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</si>
  <si>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</si>
  <si>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</si>
  <si>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</si>
  <si>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</si>
  <si>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</si>
  <si>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</si>
  <si>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</si>
  <si>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</si>
  <si>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</si>
  <si>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</si>
  <si>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</si>
  <si>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</si>
  <si>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</si>
  <si>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</si>
  <si>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</si>
  <si>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</si>
  <si>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</si>
  <si>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</si>
  <si>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</si>
  <si>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</si>
  <si>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</si>
  <si>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</si>
  <si>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</si>
  <si>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</si>
  <si>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</si>
  <si>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</si>
  <si>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</si>
  <si>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</si>
  <si>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</si>
  <si>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</si>
  <si>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</si>
  <si>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</si>
  <si>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</si>
  <si>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</si>
  <si>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</si>
  <si>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</si>
  <si>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</si>
  <si>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</si>
  <si>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</si>
  <si>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</si>
  <si>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</si>
  <si>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</si>
  <si>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</si>
  <si>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</si>
  <si>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</si>
  <si>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</si>
  <si>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</si>
  <si>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</si>
  <si>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</si>
  <si>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</si>
  <si>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</si>
  <si>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</si>
  <si>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</si>
  <si>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</si>
  <si>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</si>
  <si>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</si>
  <si>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</si>
  <si>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</si>
  <si>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</si>
  <si>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</si>
  <si>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</si>
  <si>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</si>
  <si>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</si>
  <si>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</si>
  <si>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</si>
  <si>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</si>
  <si>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</si>
  <si>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</si>
  <si>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</si>
  <si>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</si>
  <si>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</si>
  <si>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</si>
  <si>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</si>
  <si>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</si>
  <si>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</si>
  <si>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</si>
  <si>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</si>
  <si>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</si>
  <si>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</si>
  <si>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</si>
  <si>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</si>
  <si>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</si>
  <si>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</si>
  <si>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</si>
  <si>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</si>
  <si>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</si>
  <si>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</si>
  <si>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</si>
  <si>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</si>
  <si>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</si>
  <si>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</si>
  <si>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</si>
  <si>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</si>
  <si>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</si>
  <si>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</si>
  <si>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</si>
  <si>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</si>
  <si>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</si>
  <si>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</si>
  <si>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</si>
  <si>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</si>
  <si>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</si>
  <si>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</si>
  <si>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</si>
  <si>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</si>
  <si>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</si>
  <si>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</si>
  <si>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</si>
  <si>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</si>
  <si>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</si>
  <si>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</si>
  <si>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</si>
  <si>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</si>
  <si>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</si>
  <si>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</si>
  <si>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</si>
  <si>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</si>
  <si>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</si>
  <si>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</si>
  <si>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</si>
  <si>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</si>
  <si>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</si>
  <si>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</si>
  <si>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</si>
  <si>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</si>
  <si>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</si>
  <si>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</si>
  <si>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</si>
  <si>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</si>
  <si>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</si>
  <si>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</si>
  <si>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</si>
  <si>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</si>
  <si>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</si>
  <si>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</si>
  <si>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</si>
  <si>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</si>
  <si>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</si>
  <si>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</si>
  <si>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</si>
  <si>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</si>
  <si>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</si>
  <si>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</si>
  <si>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</si>
  <si>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</si>
  <si>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</si>
  <si>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</si>
  <si>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</si>
  <si>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</si>
  <si>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</si>
  <si>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</si>
  <si>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</si>
  <si>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</si>
  <si>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</si>
  <si>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</si>
  <si>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</si>
  <si>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</si>
  <si>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</si>
  <si>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</si>
  <si>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</si>
  <si>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</si>
  <si>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</si>
  <si>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</si>
  <si>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</si>
  <si>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</si>
  <si>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</si>
  <si>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</si>
  <si>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</si>
  <si>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</si>
  <si>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</si>
  <si>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</si>
  <si>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</si>
  <si>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</si>
  <si>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</si>
  <si>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</si>
  <si>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</si>
  <si>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</si>
  <si>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</si>
  <si>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</si>
  <si>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</si>
  <si>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</si>
  <si>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</si>
  <si>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</si>
  <si>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</si>
  <si>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</si>
  <si>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</si>
  <si>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</si>
  <si>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</si>
  <si>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</si>
  <si>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</si>
  <si>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</si>
  <si>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</si>
  <si>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</si>
  <si>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</si>
  <si>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</si>
  <si>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</si>
  <si>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</si>
  <si>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</si>
  <si>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</si>
  <si>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</si>
  <si>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</si>
  <si>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</si>
  <si>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</si>
  <si>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</si>
  <si>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</si>
  <si>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</si>
  <si>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</si>
  <si>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</si>
  <si>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</si>
  <si>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</si>
  <si>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</si>
  <si>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</si>
  <si>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</si>
  <si>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</si>
  <si>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</si>
  <si>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</si>
  <si>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</si>
  <si>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</si>
  <si>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</si>
  <si>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</si>
  <si>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</si>
  <si>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</si>
  <si>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</si>
  <si>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</si>
  <si>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</si>
  <si>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</si>
  <si>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</si>
  <si>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</si>
  <si>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</si>
  <si>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</si>
  <si>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</si>
  <si>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</si>
  <si>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</si>
  <si>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</si>
  <si>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</si>
  <si>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</si>
  <si>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</si>
  <si>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</si>
  <si>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</si>
  <si>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</si>
  <si>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</si>
  <si>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</si>
  <si>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</si>
  <si>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</si>
  <si>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</si>
  <si>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</si>
  <si>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</si>
  <si>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</si>
  <si>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</si>
  <si>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</si>
  <si>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</si>
  <si>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</si>
  <si>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</si>
  <si>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</si>
  <si>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</si>
  <si>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</si>
  <si>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</si>
  <si>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</si>
  <si>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</si>
  <si>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</si>
  <si>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</si>
  <si>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</si>
  <si>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</si>
  <si>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</si>
  <si>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</si>
  <si>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</si>
  <si>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</si>
  <si>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</si>
  <si>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</si>
  <si>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</si>
  <si>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</si>
  <si>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</si>
  <si>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</si>
  <si>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</si>
  <si>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</si>
  <si>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</si>
  <si>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05:19</t>
  </si>
  <si>
    <t>75</t>
  </si>
  <si>
    <t>81</t>
  </si>
  <si>
    <t>515</t>
  </si>
  <si>
    <t>04:47</t>
  </si>
  <si>
    <t>1</t>
  </si>
  <si>
    <t>15</t>
  </si>
  <si>
    <t>11</t>
  </si>
  <si>
    <t>68</t>
  </si>
  <si>
    <t>07:09</t>
  </si>
  <si>
    <t>3</t>
  </si>
  <si>
    <t>49</t>
  </si>
  <si>
    <t>53</t>
  </si>
  <si>
    <t>356</t>
  </si>
  <si>
    <t>320</t>
  </si>
  <si>
    <t>221</t>
  </si>
  <si>
    <t>287</t>
  </si>
  <si>
    <t>254</t>
  </si>
  <si>
    <t>29</t>
  </si>
  <si>
    <t>12</t>
  </si>
  <si>
    <t>09:17</t>
  </si>
  <si>
    <t>46</t>
  </si>
  <si>
    <t>50</t>
  </si>
  <si>
    <t>05:11</t>
  </si>
  <si>
    <t>2</t>
  </si>
  <si>
    <t>36</t>
  </si>
  <si>
    <t>33</t>
  </si>
  <si>
    <t>01:05</t>
  </si>
  <si>
    <t>43</t>
  </si>
  <si>
    <t>45</t>
  </si>
  <si>
    <t>03:15</t>
  </si>
  <si>
    <t>37</t>
  </si>
  <si>
    <t>07:35</t>
  </si>
  <si>
    <t>9</t>
  </si>
  <si>
    <t>4</t>
  </si>
  <si>
    <t>08:55</t>
  </si>
  <si>
    <t>KAROLIS KAVALENKA</t>
  </si>
  <si>
    <t>KAROLIS STIRBYS</t>
  </si>
  <si>
    <t>DOMANTAS TEVELIS</t>
  </si>
  <si>
    <t>OVIDIJIUS SIDEIKIS</t>
  </si>
  <si>
    <t>GINTAUTAS PLATUKIS</t>
  </si>
  <si>
    <t>When talking about scouting the game it was a good job in general, some missidentitiy correction that could have been easily avoidable but nothing special. However, the mistake with the 2P that was given as a 3P was perfectly avoidable by just looking at the officials signs. And then something very important is the communications, I was not informed about the PTS problem until the game was almost about to start.</t>
  </si>
  <si>
    <t>C:\Users\eloi.verge\OneDrive - EUROLEAGUE\Desktop\GAME REPORTS\25-26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</si>
</sst>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K41" sqref="K41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08_072_KLA_ARI_U2025</v>
      </c>
      <c r="G1" s="5"/>
      <c r="H1" s="5"/>
      <c r="I1" s="5"/>
      <c r="J1" s="8" t="s">
        <v>707</v>
      </c>
      <c r="K1" s="121" t="s">
        <v>791</v>
      </c>
      <c r="L1" s="121"/>
      <c r="M1" s="122" t="s">
        <v>239</v>
      </c>
      <c r="N1" s="121" t="s">
        <v>791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72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45979.791666666664</v>
      </c>
      <c r="C3" s="178"/>
      <c r="D3" s="39">
        <v>584</v>
      </c>
      <c r="E3" s="29"/>
      <c r="F3" s="26">
        <f>SUBTOTAL(3,I17:I106)</f>
        <v>9</v>
      </c>
      <c r="G3" s="27">
        <f>IF(OR(D3="",D3=0),"",F3/D3)</f>
        <v>1.5410958904109588E-2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Neptunas Klaipeda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KLA</v>
      </c>
      <c r="I4" s="5"/>
      <c r="J4" s="119" t="s">
        <v>714</v>
      </c>
      <c r="K4" s="54" t="s">
        <v>742</v>
      </c>
      <c r="L4" s="5"/>
      <c r="M4" s="185" t="s">
        <v>790</v>
      </c>
      <c r="N4" s="186"/>
      <c r="O4" s="2"/>
      <c r="P4" s="2"/>
      <c r="Q4" s="84" t="s">
        <v>175</v>
      </c>
      <c r="R4" s="94">
        <f>(IF(G3="",0,G3))</f>
        <v>1.5410958904109588E-2</v>
      </c>
      <c r="S4" s="61">
        <f>SUM(I13:M13)</f>
        <v>1</v>
      </c>
      <c r="T4" s="78"/>
      <c r="U4" s="61">
        <f>AC18</f>
        <v>2</v>
      </c>
      <c r="V4" s="61">
        <f>+AC22</f>
        <v>6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Aris Thessaloniki Betsson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ARI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1.5410958904109588</v>
      </c>
      <c r="S5" s="70">
        <f t="shared" ref="S5" si="0">S4*S3</f>
        <v>1</v>
      </c>
      <c r="T5" s="92"/>
      <c r="U5" s="70">
        <f t="shared" ref="U5:AG5" si="1">U4*U3</f>
        <v>1</v>
      </c>
      <c r="V5" s="70">
        <f t="shared" si="1"/>
        <v>6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785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786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29.541095890410958</v>
      </c>
      <c r="N7" s="58"/>
      <c r="O7" s="2"/>
      <c r="P7" s="2"/>
      <c r="Q7" s="86">
        <f>SUM(R5,S5,AC16)</f>
        <v>29.541095890410958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787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9.5410958904109577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788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789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72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27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72</v>
      </c>
      <c r="D17" s="32" t="s">
        <v>749</v>
      </c>
      <c r="E17" s="33">
        <v>4</v>
      </c>
      <c r="F17" s="36" t="s">
        <v>750</v>
      </c>
      <c r="G17" s="36" t="s">
        <v>751</v>
      </c>
      <c r="H17" s="38" t="str">
        <f>IF(I17="","",$I$14)</f>
        <v>SCOUTING</v>
      </c>
      <c r="I17" s="34" t="s">
        <v>752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8</v>
      </c>
      <c r="Z17" s="105" t="s">
        <v>63</v>
      </c>
      <c r="AA17" s="62">
        <f>COUNTIF($K$17:$K$106,Z17)</f>
        <v>6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1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72</v>
      </c>
      <c r="D18" s="32" t="s">
        <v>753</v>
      </c>
      <c r="E18" s="33" t="s">
        <v>754</v>
      </c>
      <c r="F18" s="36" t="s">
        <v>755</v>
      </c>
      <c r="G18" s="36" t="s">
        <v>756</v>
      </c>
      <c r="H18" s="38" t="str">
        <f t="shared" ref="H18:H81" si="8">IF(I18="","",$I$14)</f>
        <v>SCOUTING</v>
      </c>
      <c r="I18" s="34" t="s">
        <v>757</v>
      </c>
      <c r="J18" s="13" t="s">
        <v>4</v>
      </c>
      <c r="K18" s="13" t="s">
        <v>63</v>
      </c>
      <c r="L18" s="13" t="s">
        <v>5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72</v>
      </c>
      <c r="D19" s="32" t="s">
        <v>758</v>
      </c>
      <c r="E19" s="33" t="s">
        <v>759</v>
      </c>
      <c r="F19" s="36" t="s">
        <v>760</v>
      </c>
      <c r="G19" s="36" t="s">
        <v>761</v>
      </c>
      <c r="H19" s="38" t="str">
        <f t="shared" si="8"/>
        <v>SCOUTING</v>
      </c>
      <c r="I19" s="34" t="s">
        <v>762</v>
      </c>
      <c r="J19" s="13" t="s">
        <v>4</v>
      </c>
      <c r="K19" s="13" t="s">
        <v>63</v>
      </c>
      <c r="L19" s="13" t="s">
        <v>6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72</v>
      </c>
      <c r="D20" s="32" t="s">
        <v>769</v>
      </c>
      <c r="E20" s="33" t="s">
        <v>759</v>
      </c>
      <c r="F20" s="36" t="s">
        <v>770</v>
      </c>
      <c r="G20" s="36" t="s">
        <v>771</v>
      </c>
      <c r="H20" s="38" t="str">
        <f t="shared" si="8"/>
        <v>SCOUTING</v>
      </c>
      <c r="I20" s="34" t="s">
        <v>763</v>
      </c>
      <c r="J20" s="13" t="s">
        <v>4</v>
      </c>
      <c r="K20" s="13" t="s">
        <v>63</v>
      </c>
      <c r="L20" s="13" t="s">
        <v>6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72</v>
      </c>
      <c r="D21" s="32" t="s">
        <v>772</v>
      </c>
      <c r="E21" s="33" t="s">
        <v>773</v>
      </c>
      <c r="F21" s="36" t="s">
        <v>774</v>
      </c>
      <c r="G21" s="36" t="s">
        <v>775</v>
      </c>
      <c r="H21" s="38" t="str">
        <f t="shared" si="8"/>
        <v>SCOUTING</v>
      </c>
      <c r="I21" s="34" t="s">
        <v>764</v>
      </c>
      <c r="J21" s="13" t="s">
        <v>3</v>
      </c>
      <c r="K21" s="13" t="s">
        <v>62</v>
      </c>
      <c r="L21" s="13" t="s">
        <v>77</v>
      </c>
      <c r="M21" s="13" t="s">
        <v>34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72</v>
      </c>
      <c r="D22" s="32" t="s">
        <v>776</v>
      </c>
      <c r="E22" s="33" t="s">
        <v>773</v>
      </c>
      <c r="F22" s="36" t="s">
        <v>777</v>
      </c>
      <c r="G22" s="36" t="s">
        <v>778</v>
      </c>
      <c r="H22" s="38" t="str">
        <f t="shared" si="8"/>
        <v>SCOUTING</v>
      </c>
      <c r="I22" s="34" t="s">
        <v>765</v>
      </c>
      <c r="J22" s="13" t="s">
        <v>4</v>
      </c>
      <c r="K22" s="13" t="s">
        <v>62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6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72</v>
      </c>
      <c r="D23" s="32" t="s">
        <v>779</v>
      </c>
      <c r="E23" s="33" t="s">
        <v>773</v>
      </c>
      <c r="F23" s="36" t="s">
        <v>780</v>
      </c>
      <c r="G23" s="36" t="s">
        <v>780</v>
      </c>
      <c r="H23" s="38" t="str">
        <f t="shared" si="8"/>
        <v>SCOUTING</v>
      </c>
      <c r="I23" s="34" t="s">
        <v>766</v>
      </c>
      <c r="J23" s="13" t="s">
        <v>4</v>
      </c>
      <c r="K23" s="13" t="s">
        <v>62</v>
      </c>
      <c r="L23" s="13" t="s">
        <v>6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72</v>
      </c>
      <c r="D24" s="32" t="s">
        <v>781</v>
      </c>
      <c r="E24" s="33" t="s">
        <v>754</v>
      </c>
      <c r="F24" s="36" t="s">
        <v>782</v>
      </c>
      <c r="G24" s="36" t="s">
        <v>783</v>
      </c>
      <c r="H24" s="38" t="str">
        <f t="shared" si="8"/>
        <v>SCOUTING</v>
      </c>
      <c r="I24" s="34" t="s">
        <v>767</v>
      </c>
      <c r="J24" s="13" t="s">
        <v>4</v>
      </c>
      <c r="K24" s="13" t="s">
        <v>63</v>
      </c>
      <c r="L24" s="13" t="s">
        <v>6</v>
      </c>
      <c r="M24" s="13" t="s">
        <v>9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72</v>
      </c>
      <c r="D25" s="32" t="s">
        <v>784</v>
      </c>
      <c r="E25" s="33" t="s">
        <v>754</v>
      </c>
      <c r="F25" s="36" t="s">
        <v>759</v>
      </c>
      <c r="G25" s="36">
        <v>0</v>
      </c>
      <c r="H25" s="38" t="str">
        <f t="shared" si="8"/>
        <v>SCOUTING</v>
      </c>
      <c r="I25" s="34" t="s">
        <v>768</v>
      </c>
      <c r="J25" s="13" t="s">
        <v>4</v>
      </c>
      <c r="K25" s="13" t="s">
        <v>63</v>
      </c>
      <c r="L25" s="13" t="s">
        <v>6</v>
      </c>
      <c r="M25" s="13" t="s">
        <v>27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1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1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REPORT_U2025072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"U2025072"</v>
      </c>
      <c r="F3" s="45" t="str">
        <f t="shared" ref="F3:F16" si="0">""""&amp;B3&amp;"""" &amp; " : " &amp;C3&amp;","</f>
        <v>"name" : "U2025072",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"U072"</v>
      </c>
      <c r="F4" s="45" t="str">
        <f t="shared" si="0"/>
        <v>"cod" : "U072",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072</v>
      </c>
      <c r="F6" s="45" t="str">
        <f t="shared" si="0"/>
        <v>"number" : 072,</v>
      </c>
    </row>
    <row r="7" spans="2:6" x14ac:dyDescent="0.25">
      <c r="B7" s="43" t="s">
        <v>116</v>
      </c>
      <c r="C7" s="43" t="str">
        <f ca="1">""""&amp;TEXT('SCOUT &amp; LOGISTICS'!B3,"dd/mm/aaaa")&amp;""""</f>
        <v>"18/11/2025"</v>
      </c>
      <c r="F7" s="45" t="str">
        <f t="shared" ca="1" si="0"/>
        <v>"date" : "18/11/2025",</v>
      </c>
    </row>
    <row r="8" spans="2:6" x14ac:dyDescent="0.25">
      <c r="B8" s="43" t="s">
        <v>125</v>
      </c>
      <c r="C8" s="43" t="str">
        <f>""""&amp;'SCOUT &amp; LOGISTICS'!D4 &amp;""""</f>
        <v>"Neptunas Klaipeda"</v>
      </c>
      <c r="F8" s="45" t="str">
        <f t="shared" si="0"/>
        <v>"home_team" : "Neptunas Klaipeda",</v>
      </c>
    </row>
    <row r="9" spans="2:6" x14ac:dyDescent="0.25">
      <c r="B9" s="43" t="s">
        <v>126</v>
      </c>
      <c r="C9" s="43" t="str">
        <f>""""&amp;'SCOUT &amp; LOGISTICS'!D5&amp;""""</f>
        <v>"Aris Thessaloniki Betsson"</v>
      </c>
      <c r="F9" s="45" t="str">
        <f t="shared" si="0"/>
        <v>"away_team" : "Aris Thessaloniki Betsson",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"KAROLIS KAVALENKA"</v>
      </c>
      <c r="F10" s="45" t="str">
        <f t="shared" si="0"/>
        <v>"Data_entry" : "KAROLIS KAVALENKA",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"KAROLIS STIRBYS"</v>
      </c>
      <c r="F11" s="45" t="str">
        <f t="shared" si="0"/>
        <v>"Caller_1" : "KAROLIS STIRBYS",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"DOMANTAS TEVELIS"</v>
      </c>
      <c r="F12" s="45" t="str">
        <f t="shared" si="0"/>
        <v>"Caller_2" : "DOMANTAS TEVELIS",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"OVIDIJIUS SIDEIKIS"</v>
      </c>
      <c r="F13" s="45" t="str">
        <f t="shared" si="0"/>
        <v>"Timerkeeper" : "OVIDIJIUS SIDEIKIS",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"GINTAUTAS PLATUKIS"</v>
      </c>
      <c r="F14" s="45" t="str">
        <f t="shared" si="0"/>
        <v>"Shotclock" : "GINTAUTAS PLATUKIS",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584</v>
      </c>
      <c r="F25" s="45" t="str">
        <f t="shared" ref="F25:F48" si="1">""""&amp;C25&amp;"""" &amp; " : " &amp;D25&amp;","</f>
        <v>"total_actions" : 584,</v>
      </c>
    </row>
    <row r="26" spans="2:6" x14ac:dyDescent="0.25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5">
      <c r="C27" s="43" t="s">
        <v>133</v>
      </c>
      <c r="D27" s="43" t="str">
        <f>""""&amp;IF(OR(D25="",D25=0),"",TEXT(D26/D25,"0,0%"))&amp;""""</f>
        <v>"1,5%"</v>
      </c>
      <c r="F27" s="45" t="str">
        <f t="shared" si="1"/>
        <v>"%_corrections" : "1,5%",</v>
      </c>
    </row>
    <row r="28" spans="2:6" x14ac:dyDescent="0.25">
      <c r="C28" s="43" t="s">
        <v>125</v>
      </c>
      <c r="D28" s="43">
        <f>IF('SCOUT &amp; LOGISTICS'!AA17="","",'SCOUT &amp; LOGISTICS'!AA17)</f>
        <v>6</v>
      </c>
      <c r="F28" s="45" t="str">
        <f t="shared" si="1"/>
        <v>"home_team" : 6,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"When talking about scouting the game it was a good job in general, some missidentitiy correction that could have been easily avoidable but nothing special. However, the mistake with the 2P that was given as a 3P was perfectly avoidable by just looking at the officials signs. And then something very important is the communications, I was not informed about the PTS problem until the game was almost about to start."</v>
      </c>
      <c r="F51" s="45" t="str">
        <f>""""&amp;B51&amp;"""" &amp; " : " &amp;C51&amp;","</f>
        <v>"comments" : "When talking about scouting the game it was a good job in general, some missidentitiy correction that could have been easily avoidable but nothing special. However, the mistake with the 2P that was given as a 3P was perfectly avoidable by just looking at the officials signs. And then something very important is the communications, I was not informed about the PTS problem until the game was almost about to start.",</v>
      </c>
    </row>
    <row r="52" spans="2:6" x14ac:dyDescent="0.25">
      <c r="B52" s="43" t="s">
        <v>153</v>
      </c>
      <c r="C52" s="43" t="str">
        <f>TEXT('SCOUT &amp; LOGISTICS'!F1,"0,0")</f>
        <v>08_072_KLA_ARI_U2025</v>
      </c>
      <c r="F52" s="45" t="str">
        <f>""""&amp;B52&amp;"""" &amp; " : " &amp;C52</f>
        <v>"result" : 08_072_KLA_ARI_U2025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U072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18/11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Neptunas Klaipeda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Aris Thessaloniki Betsson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KAROLIS KAVALENKA</v>
      </c>
      <c r="C8" s="201"/>
      <c r="D8" s="201"/>
      <c r="E8" s="201"/>
      <c r="F8" s="201"/>
      <c r="G8" s="201" t="str">
        <f>IF('SCOUT &amp; LOGISTICS'!D7="","",'SCOUT &amp; LOGISTICS'!D7)</f>
        <v>KAROLIS STIRBYS</v>
      </c>
      <c r="H8" s="201"/>
      <c r="I8" s="201"/>
      <c r="J8" s="201"/>
      <c r="K8" s="201"/>
      <c r="L8" s="201" t="str">
        <f>IF('SCOUT &amp; LOGISTICS'!D8="","",'SCOUT &amp; LOGISTICS'!D8)</f>
        <v>DOMANTAS TEVELIS</v>
      </c>
      <c r="M8" s="201"/>
      <c r="N8" s="201"/>
      <c r="O8" s="201"/>
      <c r="P8" s="201"/>
      <c r="Q8" s="201" t="str">
        <f>IF('SCOUT &amp; LOGISTICS'!D9="","",'SCOUT &amp; LOGISTICS'!D9)</f>
        <v>OVIDIJIUS SIDEIKIS</v>
      </c>
      <c r="R8" s="201"/>
      <c r="S8" s="201"/>
      <c r="T8" s="201"/>
      <c r="U8" s="201"/>
      <c r="V8" s="201" t="str">
        <f>IF('SCOUT &amp; LOGISTICS'!D10="","",'SCOUT &amp; LOGISTICS'!D10)</f>
        <v>GINTAUTAS PLATUKIS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OK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584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9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1.5410958904109588E-2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6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3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3</v>
      </c>
      <c r="C22" s="199"/>
      <c r="D22" s="199"/>
      <c r="E22" s="199"/>
      <c r="F22" s="199"/>
      <c r="G22" s="199"/>
      <c r="H22" s="199">
        <f>'SCOUT &amp; LOGISTICS'!AG18</f>
        <v>3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8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1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6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1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When talking about scouting the game it was a good job in general, some missidentitiy correction that could have been easily avoidable but nothing special. However, the mistake with the 2P that was given as a 3P was perfectly avoidable by just looking at the officials signs. And then something very important is the communications, I was not informed about the PTS problem until the game was almost about to start.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29.541095890410958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08296B9-4ABE-47AB-B0A2-63E696EBA4E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2025-11-18T20:11:19Z</cp:lastPrinted>
  <dcterms:created xsi:type="dcterms:W3CDTF">2023-09-19T19:50:35Z</dcterms:created>
  <dcterms:modified xsi:type="dcterms:W3CDTF">2025-11-18T21:00:44Z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