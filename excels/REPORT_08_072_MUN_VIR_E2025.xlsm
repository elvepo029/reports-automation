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BEEDB54-8539-46D6-BA48-417F886860F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<sst xmlns="http://schemas.openxmlformats.org/spreadsheetml/2006/main" count="3245" uniqueCount="758">
  <si>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</si>
  <si>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</si>
  <si>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</si>
  <si>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</si>
  <si>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</si>
  <si>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</si>
  <si>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</si>
  <si>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</si>
  <si>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</si>
  <si>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</si>
  <si>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</si>
  <si>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</si>
  <si>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</si>
  <si>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</si>
  <si>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</si>
  <si>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</si>
  <si>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</si>
  <si>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</si>
  <si>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</si>
  <si>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</si>
  <si>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</si>
  <si>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</si>
  <si>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</si>
  <si>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</si>
  <si>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</si>
  <si>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</si>
  <si>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</si>
  <si>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</si>
  <si>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</si>
  <si>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</si>
  <si>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</si>
  <si>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</si>
  <si>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</si>
  <si>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</si>
  <si>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</si>
  <si>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</si>
  <si>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</si>
  <si>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</si>
  <si>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</si>
  <si>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</si>
  <si>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</si>
  <si>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</si>
  <si>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</si>
  <si>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</si>
  <si>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</si>
  <si>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</si>
  <si>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</si>
  <si>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</si>
  <si>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</si>
  <si>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</si>
  <si>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</si>
  <si>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</si>
  <si>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</si>
  <si>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</si>
  <si>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</si>
  <si>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</si>
  <si>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</si>
  <si>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</si>
  <si>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</si>
  <si>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</si>
  <si>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</si>
  <si>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</si>
  <si>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</si>
  <si>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</si>
  <si>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</si>
  <si>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</si>
  <si>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</si>
  <si>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</si>
  <si>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</si>
  <si>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</si>
  <si>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</si>
  <si>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</si>
  <si>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</si>
  <si>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</si>
  <si>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</si>
  <si>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</si>
  <si>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</si>
  <si>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</si>
  <si>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</si>
  <si>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</si>
  <si>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</si>
  <si>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</si>
  <si>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</si>
  <si>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</si>
  <si>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</si>
  <si>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</si>
  <si>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</si>
  <si>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</si>
  <si>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</si>
  <si>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</si>
  <si>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</si>
  <si>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</si>
  <si>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</si>
  <si>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</si>
  <si>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</si>
  <si>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</si>
  <si>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</si>
  <si>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</si>
  <si>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</si>
  <si>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</si>
  <si>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</si>
  <si>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</si>
  <si>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</si>
  <si>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</si>
  <si>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</si>
  <si>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</si>
  <si>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</si>
  <si>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</si>
  <si>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</si>
  <si>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</si>
  <si>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</si>
  <si>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</si>
  <si>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</si>
  <si>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</si>
  <si>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</si>
  <si>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</si>
  <si>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</si>
  <si>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</si>
  <si>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</si>
  <si>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</si>
  <si>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</si>
  <si>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</si>
  <si>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</si>
  <si>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</si>
  <si>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</si>
  <si>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</si>
  <si>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</si>
  <si>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</si>
  <si>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</si>
  <si>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</si>
  <si>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</si>
  <si>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</si>
  <si>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</si>
  <si>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</si>
  <si>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</si>
  <si>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</si>
  <si>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</si>
  <si>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</si>
  <si>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</si>
  <si>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</si>
  <si>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</si>
  <si>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</si>
  <si>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</si>
  <si>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</si>
  <si>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</si>
  <si>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</si>
  <si>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</si>
  <si>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</si>
  <si>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</si>
  <si>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</si>
  <si>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</si>
  <si>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</si>
  <si>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</si>
  <si>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</si>
  <si>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</si>
  <si>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</si>
  <si>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</si>
  <si>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</si>
  <si>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</si>
  <si>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</si>
  <si>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</si>
  <si>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</si>
  <si>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</si>
  <si>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</si>
  <si>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</si>
  <si>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</si>
  <si>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</si>
  <si>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</si>
  <si>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</si>
  <si>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</si>
  <si>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</si>
  <si>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</si>
  <si>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</si>
  <si>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</si>
  <si>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</si>
  <si>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</si>
  <si>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</si>
  <si>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</si>
  <si>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</si>
  <si>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</si>
  <si>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</si>
  <si>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</si>
  <si>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</si>
  <si>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</si>
  <si>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</si>
  <si>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</si>
  <si>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</si>
  <si>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</si>
  <si>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</si>
  <si>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</si>
  <si>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</si>
  <si>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</si>
  <si>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</si>
  <si>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</si>
  <si>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</si>
  <si>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</si>
  <si>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</si>
  <si>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</si>
  <si>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</si>
  <si>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</si>
  <si>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</si>
  <si>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</si>
  <si>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</si>
  <si>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</si>
  <si>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</si>
  <si>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</si>
  <si>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</si>
  <si>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</si>
  <si>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</si>
  <si>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</si>
  <si>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</si>
  <si>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</si>
  <si>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</si>
  <si>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</si>
  <si>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</si>
  <si>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</si>
  <si>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</si>
  <si>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</si>
  <si>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</si>
  <si>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</si>
  <si>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</si>
  <si>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</si>
  <si>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</si>
  <si>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</si>
  <si>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</si>
  <si>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</si>
  <si>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</si>
  <si>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</si>
  <si>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</si>
  <si>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</si>
  <si>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</si>
  <si>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</si>
  <si>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</si>
  <si>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</si>
  <si>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</si>
  <si>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</si>
  <si>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</si>
  <si>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</si>
  <si>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</si>
  <si>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</si>
  <si>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</si>
  <si>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</si>
  <si>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</si>
  <si>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</si>
  <si>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</si>
  <si>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</si>
  <si>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</si>
  <si>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</si>
  <si>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</si>
  <si>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</si>
  <si>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</si>
  <si>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</si>
  <si>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</si>
  <si>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</si>
  <si>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</si>
  <si>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</si>
  <si>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</si>
  <si>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</si>
  <si>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</si>
  <si>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</si>
  <si>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</si>
  <si>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</si>
  <si>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</si>
  <si>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</si>
  <si>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</si>
  <si>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</si>
  <si>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</si>
  <si>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</si>
  <si>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</si>
  <si>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</si>
  <si>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</si>
  <si>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</si>
  <si>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</si>
  <si>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</si>
  <si>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</si>
  <si>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</si>
  <si>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</si>
  <si>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</si>
  <si>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</si>
  <si>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</si>
  <si>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</si>
  <si>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</si>
  <si>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</si>
  <si>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</si>
  <si>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</si>
  <si>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</si>
  <si>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</si>
  <si>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</si>
  <si>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</si>
  <si>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</si>
  <si>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</si>
  <si>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</si>
  <si>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</si>
  <si>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</si>
  <si>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</si>
  <si>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</si>
  <si>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</si>
  <si>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</si>
  <si>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</si>
  <si>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</si>
  <si>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</si>
  <si>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</si>
  <si>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</si>
  <si>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</si>
  <si>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</si>
  <si>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</si>
  <si>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</si>
  <si>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</si>
  <si>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</si>
  <si>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</si>
  <si>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</si>
  <si>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</si>
  <si>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</si>
  <si>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</si>
  <si>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</si>
  <si>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</si>
  <si>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</si>
  <si>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</si>
  <si>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</si>
  <si>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</si>
  <si>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</si>
  <si>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</si>
  <si>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</si>
  <si>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</si>
  <si>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</si>
  <si>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</si>
  <si>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</si>
  <si>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</si>
  <si>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</si>
  <si>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</si>
  <si>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</si>
  <si>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</si>
  <si>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</si>
  <si>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</si>
  <si>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</si>
  <si>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</si>
  <si>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</si>
  <si>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</si>
  <si>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</si>
  <si>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</si>
  <si>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</si>
  <si>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</si>
  <si>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</si>
  <si>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</si>
  <si>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</si>
  <si>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</si>
  <si>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</si>
  <si>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</si>
  <si>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</si>
  <si>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</si>
  <si>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</si>
  <si>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</si>
  <si>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</si>
  <si>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</si>
  <si>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</si>
  <si>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</si>
  <si>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</si>
  <si>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</si>
  <si>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</si>
  <si>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</si>
  <si>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</si>
  <si>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</si>
  <si>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</si>
  <si>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</si>
  <si>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</si>
  <si>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</si>
  <si>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</si>
  <si>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</si>
  <si>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</si>
  <si>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</si>
  <si>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</si>
  <si>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</si>
  <si>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</si>
  <si>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</si>
  <si>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</si>
  <si>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</si>
  <si>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</si>
  <si>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</si>
  <si>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</si>
  <si>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</si>
  <si>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</si>
  <si>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</si>
  <si>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</si>
  <si>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</si>
  <si>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</si>
  <si>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</si>
  <si>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</si>
  <si>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</si>
  <si>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</si>
  <si>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</si>
  <si>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</si>
  <si>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</si>
  <si>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</si>
  <si>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</si>
  <si>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</si>
  <si>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</si>
  <si>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</si>
  <si>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</si>
  <si>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</si>
  <si>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</si>
  <si>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</si>
  <si>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</si>
  <si>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</si>
  <si>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</si>
  <si>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</si>
  <si>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</si>
  <si>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</si>
  <si>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</si>
  <si>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</si>
  <si>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</si>
  <si>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</si>
  <si>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</si>
  <si>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</si>
  <si>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</si>
  <si>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</si>
  <si>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</si>
  <si>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</si>
  <si>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</si>
  <si>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</si>
  <si>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</si>
  <si>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</si>
  <si>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</si>
  <si>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</si>
  <si>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</si>
  <si>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</si>
  <si>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</si>
  <si>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</si>
  <si>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</si>
  <si>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</si>
  <si>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</si>
  <si>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</si>
  <si>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</si>
  <si>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</si>
  <si>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</si>
  <si>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</si>
  <si>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</si>
  <si>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</si>
  <si>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</si>
  <si>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</si>
  <si>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</si>
  <si>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</si>
  <si>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</si>
  <si>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</si>
  <si>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</si>
  <si>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</si>
  <si>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</si>
  <si>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</si>
  <si>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</si>
  <si>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</si>
  <si>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</si>
  <si>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</si>
  <si>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</si>
  <si>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</si>
  <si>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</si>
  <si>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</si>
  <si>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</si>
  <si>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</si>
  <si>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</si>
  <si>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</si>
  <si>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</si>
  <si>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</si>
  <si>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</si>
  <si>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</si>
  <si>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</si>
  <si>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</si>
  <si>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</si>
  <si>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</si>
  <si>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</si>
  <si>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</si>
  <si>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</si>
  <si>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</si>
  <si>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</si>
  <si>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</si>
  <si>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</si>
  <si>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</si>
  <si>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</si>
  <si>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</si>
  <si>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</si>
  <si>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</si>
  <si>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</si>
  <si>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</si>
  <si>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</si>
  <si>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</si>
  <si>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</si>
  <si>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</si>
  <si>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</si>
  <si>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</si>
  <si>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</si>
  <si>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</si>
  <si>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</si>
  <si>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</si>
  <si>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</si>
  <si>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</si>
  <si>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</si>
  <si>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</si>
  <si>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</si>
  <si>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</si>
  <si>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</si>
  <si>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</si>
  <si>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</si>
  <si>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</si>
  <si>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</si>
  <si>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</si>
  <si>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</si>
  <si>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</si>
  <si>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</si>
  <si>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</si>
  <si>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</si>
  <si>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</si>
  <si>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</si>
  <si>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</si>
  <si>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</si>
  <si>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</si>
  <si>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</si>
  <si>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</si>
  <si>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</si>
  <si>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</si>
  <si>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</si>
  <si>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</si>
  <si>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</si>
  <si>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</si>
  <si>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</si>
  <si>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</si>
  <si>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</si>
  <si>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</si>
  <si>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</si>
  <si>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</si>
  <si>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</si>
  <si>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</si>
  <si>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</si>
  <si>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</si>
  <si>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</si>
  <si>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</si>
  <si>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</si>
  <si>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</si>
  <si>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</si>
  <si>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</si>
  <si>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</si>
  <si>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</si>
  <si>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</si>
  <si>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</si>
  <si>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</si>
  <si>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</si>
  <si>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</si>
  <si>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</si>
  <si>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</si>
  <si>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</si>
  <si>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</si>
  <si>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</si>
  <si>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</si>
  <si>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</si>
  <si>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</si>
  <si>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</si>
  <si>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</si>
  <si>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</si>
  <si>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</si>
  <si>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</si>
  <si>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</si>
  <si>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</si>
  <si>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</si>
  <si>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</si>
  <si>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</si>
  <si>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</si>
  <si>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</si>
  <si>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</si>
  <si>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</si>
  <si>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</si>
  <si>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</si>
  <si>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</si>
  <si>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</si>
  <si>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</si>
  <si>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</si>
  <si>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</si>
  <si>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</si>
  <si>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</si>
  <si>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</si>
  <si>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</si>
  <si>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</si>
  <si>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</si>
  <si>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</si>
  <si>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</si>
  <si>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</si>
  <si>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</si>
  <si>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</si>
  <si>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</si>
  <si>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</si>
  <si>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</si>
  <si>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</si>
  <si>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</si>
  <si>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</si>
  <si>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</si>
  <si>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</si>
  <si>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</si>
  <si>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</si>
  <si>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</si>
  <si>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</si>
  <si>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</si>
  <si>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</si>
  <si>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</si>
  <si>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</si>
  <si>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</si>
  <si>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</si>
  <si>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</si>
  <si>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</si>
  <si>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</si>
  <si>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</si>
  <si>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</si>
  <si>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</si>
  <si>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</si>
  <si>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</si>
  <si>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</si>
  <si>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</si>
  <si>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</si>
  <si>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</si>
  <si>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</si>
  <si>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</si>
  <si>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</si>
  <si>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</si>
  <si>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</si>
  <si>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</si>
  <si>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</si>
  <si>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</si>
  <si>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</si>
  <si>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</si>
  <si>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</si>
  <si>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</si>
  <si>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</si>
  <si>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</si>
  <si>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</si>
  <si>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</si>
  <si>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</si>
  <si>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</si>
  <si>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</si>
  <si>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</si>
  <si>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</si>
  <si>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</si>
  <si>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</si>
  <si>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</si>
  <si>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</si>
  <si>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</si>
  <si>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</si>
  <si>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</si>
  <si>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</si>
  <si>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</si>
  <si>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</si>
  <si>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</si>
  <si>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</si>
  <si>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</si>
  <si>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</si>
  <si>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</si>
  <si>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</si>
  <si>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</si>
  <si>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</si>
  <si>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</si>
  <si>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</si>
  <si>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</si>
  <si>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</si>
  <si>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</si>
  <si>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</si>
  <si>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</si>
  <si>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</si>
  <si>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</si>
  <si>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</si>
  <si>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</si>
  <si>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</si>
  <si>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</si>
  <si>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</si>
  <si>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</si>
  <si>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</si>
  <si>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</si>
  <si>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</si>
  <si>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</si>
  <si>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</si>
  <si>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</si>
  <si>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</si>
  <si>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</si>
  <si>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</si>
  <si>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</si>
  <si>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</si>
  <si>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</si>
  <si>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</si>
  <si>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</si>
  <si>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</si>
  <si>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</si>
  <si>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</si>
  <si>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</si>
  <si>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</si>
  <si>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</si>
  <si>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</si>
  <si>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</si>
  <si>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</si>
  <si>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</si>
  <si>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</si>
  <si>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</si>
  <si>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</si>
  <si>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</si>
  <si>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</si>
  <si>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</si>
  <si>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</si>
  <si>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</si>
  <si>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</si>
  <si>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</si>
  <si>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</si>
  <si>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</si>
  <si>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</si>
  <si>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</si>
  <si>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</si>
  <si>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</si>
  <si>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</si>
  <si>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</si>
  <si>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</si>
  <si>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</si>
  <si>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</si>
  <si>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</si>
  <si>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</si>
  <si>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</si>
  <si>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</si>
  <si>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</si>
  <si>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</si>
  <si>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</si>
  <si>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</si>
  <si>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</si>
  <si>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</si>
  <si>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</si>
  <si>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</si>
  <si>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</si>
  <si>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</si>
  <si>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</si>
  <si>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</si>
  <si>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</si>
  <si>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</si>
  <si>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</si>
  <si>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</si>
  <si>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</si>
  <si>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</si>
  <si>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</si>
  <si>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</si>
  <si>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</si>
  <si>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</si>
  <si>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</si>
  <si>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</si>
  <si>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</si>
  <si>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</si>
  <si>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</si>
  <si>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</si>
  <si>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</si>
  <si>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</si>
  <si>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</si>
  <si>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</si>
  <si>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</si>
  <si>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</si>
  <si>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SKUBATZ, MARKUS</t>
  </si>
  <si>
    <t>HERZOG, MANUEL</t>
  </si>
  <si>
    <t>BLANZ, SEBASTIAN</t>
  </si>
  <si>
    <t>IDSTEIN, MARKUS</t>
  </si>
  <si>
    <t>BAYERER, ROBERT</t>
  </si>
  <si>
    <t>TAVASZL, ROBERT</t>
  </si>
  <si>
    <t>Only two in/outs to move, self-detected, notified, self-corrected with clear control of what has happened.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</si>
</sst>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08_072_MUN_VIR_E2025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45960.854166666664</v>
      </c>
      <c r="C3" s="157"/>
      <c r="D3" s="39">
        <v>603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REPORT_E2025072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"E2025072"</v>
      </c>
      <c r="F3" s="45" t="str">
        <f t="shared" ref="F3:F16" si="0">""""&amp;B3&amp;"""" &amp; " : " &amp;C3&amp;","</f>
        <v>"name" : "E2025072",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"E072"</v>
      </c>
      <c r="F4" s="45" t="str">
        <f t="shared" si="0"/>
        <v>"cod" : "E072",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072</v>
      </c>
      <c r="F6" s="45" t="str">
        <f t="shared" si="0"/>
        <v>"number" : 072,</v>
      </c>
    </row>
    <row r="7" spans="2:6" x14ac:dyDescent="0.2">
      <c r="B7" s="43" t="s">
        <v>116</v>
      </c>
      <c r="C7" s="43" t="str">
        <f ca="1">""""&amp;TEXT('SCOUT &amp; LOGISTICS'!B3,"dd/mm/aaaa")&amp;""""</f>
        <v>"30/10/Thursday"</v>
      </c>
      <c r="F7" s="45" t="str">
        <f t="shared" ca="1" si="0"/>
        <v>"date" : "30/10/Thursday",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"SKUBATZ, MARKUS"</v>
      </c>
      <c r="F10" s="45" t="str">
        <f t="shared" si="0"/>
        <v>"Data_entry" : "SKUBATZ, MARKUS",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"HERZOG, MANUEL"</v>
      </c>
      <c r="F11" s="45" t="str">
        <f t="shared" si="0"/>
        <v>"Caller_1" : "HERZOG, MANUEL",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"BLANZ, SEBASTIAN"</v>
      </c>
      <c r="F12" s="45" t="str">
        <f t="shared" si="0"/>
        <v>"Caller_2" : "BLANZ, SEBASTIAN",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"IDSTEIN, MARKUS"</v>
      </c>
      <c r="F13" s="45" t="str">
        <f t="shared" si="0"/>
        <v>"Timerkeeper" : "IDSTEIN, MARKUS",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"BAYERER, ROBERT"</v>
      </c>
      <c r="F14" s="45" t="str">
        <f t="shared" si="0"/>
        <v>"Shotclock" : "BAYERER, ROBERT",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"TAVASZL, ROBERT"</v>
      </c>
      <c r="F15" s="45" t="str">
        <f t="shared" si="0"/>
        <v>"IRS" : "TAVASZL, ROBERT",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603</v>
      </c>
      <c r="F25" s="45" t="str">
        <f t="shared" ref="F25:F48" si="1">""""&amp;C25&amp;"""" &amp; " : " &amp;D25&amp;","</f>
        <v>"total_actions" : 603,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"Only two in/outs to move, self-detected, notified, self-corrected with clear control of what has happened."</v>
      </c>
      <c r="F51" s="45" t="str">
        <f>""""&amp;B51&amp;"""" &amp; " : " &amp;C51&amp;","</f>
        <v>"comments" : "Only two in/outs to move, self-detected, notified, self-corrected with clear control of what has happened.",</v>
      </c>
    </row>
    <row r="52" spans="2:6" x14ac:dyDescent="0.2">
      <c r="B52" s="43" t="s">
        <v>153</v>
      </c>
      <c r="C52" s="43" t="str">
        <f>TEXT('SCOUT &amp; LOGISTICS'!F1,"0,0")</f>
        <v>08_072_MUN_VIR_E2025</v>
      </c>
      <c r="F52" s="45" t="str">
        <f>""""&amp;B52&amp;"""" &amp; " : " &amp;C52</f>
        <v>"result" : 08_072_MUN_VIR_E2025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E072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30/10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SKUBATZ, MARKUS</v>
      </c>
      <c r="C8" s="206"/>
      <c r="D8" s="206"/>
      <c r="E8" s="206"/>
      <c r="F8" s="206"/>
      <c r="G8" s="206" t="str">
        <f>IF('SCOUT &amp; LOGISTICS'!D7="","",'SCOUT &amp; LOGISTICS'!D7)</f>
        <v>HERZOG, MANUEL</v>
      </c>
      <c r="H8" s="206"/>
      <c r="I8" s="206"/>
      <c r="J8" s="206"/>
      <c r="K8" s="206"/>
      <c r="L8" s="206" t="str">
        <f>IF('SCOUT &amp; LOGISTICS'!D8="","",'SCOUT &amp; LOGISTICS'!D8)</f>
        <v>BLANZ, SEBASTIAN</v>
      </c>
      <c r="M8" s="206"/>
      <c r="N8" s="206"/>
      <c r="O8" s="206"/>
      <c r="P8" s="206"/>
      <c r="Q8" s="206" t="str">
        <f>IF('SCOUT &amp; LOGISTICS'!D9="","",'SCOUT &amp; LOGISTICS'!D9)</f>
        <v>IDSTEIN, MARKUS</v>
      </c>
      <c r="R8" s="206"/>
      <c r="S8" s="206"/>
      <c r="T8" s="206"/>
      <c r="U8" s="206"/>
      <c r="V8" s="206" t="str">
        <f>IF('SCOUT &amp; LOGISTICS'!D10="","",'SCOUT &amp; LOGISTICS'!D10)</f>
        <v>BAYERER, ROBERT</v>
      </c>
      <c r="W8" s="206"/>
      <c r="X8" s="206"/>
      <c r="Y8" s="206"/>
      <c r="Z8" s="206"/>
      <c r="AA8" s="206" t="str">
        <f>IF('SCOUT &amp; LOGISTICS'!D11="","",'SCOUT &amp; LOGISTICS'!D11)</f>
        <v>TAVASZL, ROBERT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603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Only two in/outs to move, self-detected, notified, self-corrected with clear control of what has happened.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5F62CC-5AB7-42F1-8C93-EFD67934A332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2025-10-30T21:57:36Z</cp:lastPrinted>
  <dcterms:created xsi:type="dcterms:W3CDTF">2023-09-19T19:50:35Z</dcterms:created>
  <dcterms:modified xsi:type="dcterms:W3CDTF">2025-10-30T21:59:24Z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