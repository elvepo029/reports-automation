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3" documentId="8_{9D112D04-6006-49DD-AAAE-E4F3E84FAA70}" xr6:coauthVersionLast="47" xr6:coauthVersionMax="47" xr10:uidLastSave="{FB3F702D-FA2D-49A1-B907-58464A7F6C1A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<sst xmlns="http://schemas.openxmlformats.org/spreadsheetml/2006/main" count="3259" uniqueCount="761">
  <si>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</si>
  <si>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</si>
  <si>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</si>
  <si>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</si>
  <si>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</si>
  <si>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</si>
  <si>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</si>
  <si>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</si>
  <si>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</si>
  <si>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</si>
  <si>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</si>
  <si>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</si>
  <si>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</si>
  <si>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</si>
  <si>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</si>
  <si>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</si>
  <si>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</si>
  <si>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</si>
  <si>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</si>
  <si>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</si>
  <si>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</si>
  <si>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</si>
  <si>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</si>
  <si>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</si>
  <si>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</si>
  <si>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</si>
  <si>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</si>
  <si>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</si>
  <si>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</si>
  <si>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</si>
  <si>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</si>
  <si>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</si>
  <si>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</si>
  <si>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</si>
  <si>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</si>
  <si>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</si>
  <si>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</si>
  <si>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</si>
  <si>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</si>
  <si>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</si>
  <si>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</si>
  <si>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</si>
  <si>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</si>
  <si>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</si>
  <si>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</si>
  <si>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</si>
  <si>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</si>
  <si>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</si>
  <si>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</si>
  <si>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</si>
  <si>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</si>
  <si>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</si>
  <si>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</si>
  <si>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</si>
  <si>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</si>
  <si>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</si>
  <si>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</si>
  <si>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</si>
  <si>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</si>
  <si>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</si>
  <si>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</si>
  <si>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</si>
  <si>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</si>
  <si>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</si>
  <si>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</si>
  <si>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</si>
  <si>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</si>
  <si>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</si>
  <si>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</si>
  <si>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</si>
  <si>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</si>
  <si>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</si>
  <si>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</si>
  <si>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</si>
  <si>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</si>
  <si>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</si>
  <si>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</si>
  <si>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</si>
  <si>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</si>
  <si>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</si>
  <si>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</si>
  <si>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</si>
  <si>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</si>
  <si>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</si>
  <si>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</si>
  <si>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</si>
  <si>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</si>
  <si>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</si>
  <si>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</si>
  <si>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</si>
  <si>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</si>
  <si>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</si>
  <si>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</si>
  <si>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</si>
  <si>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</si>
  <si>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</si>
  <si>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</si>
  <si>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</si>
  <si>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</si>
  <si>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</si>
  <si>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</si>
  <si>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</si>
  <si>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</si>
  <si>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</si>
  <si>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</si>
  <si>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</si>
  <si>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</si>
  <si>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</si>
  <si>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</si>
  <si>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</si>
  <si>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</si>
  <si>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</si>
  <si>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</si>
  <si>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</si>
  <si>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</si>
  <si>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</si>
  <si>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</si>
  <si>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</si>
  <si>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</si>
  <si>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</si>
  <si>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</si>
  <si>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</si>
  <si>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</si>
  <si>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</si>
  <si>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</si>
  <si>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</si>
  <si>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</si>
  <si>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</si>
  <si>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</si>
  <si>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</si>
  <si>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</si>
  <si>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</si>
  <si>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</si>
  <si>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</si>
  <si>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</si>
  <si>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</si>
  <si>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</si>
  <si>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</si>
  <si>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</si>
  <si>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</si>
  <si>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</si>
  <si>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</si>
  <si>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</si>
  <si>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</si>
  <si>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</si>
  <si>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</si>
  <si>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</si>
  <si>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</si>
  <si>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</si>
  <si>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</si>
  <si>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</si>
  <si>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</si>
  <si>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</si>
  <si>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</si>
  <si>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</si>
  <si>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</si>
  <si>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</si>
  <si>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</si>
  <si>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</si>
  <si>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</si>
  <si>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</si>
  <si>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</si>
  <si>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</si>
  <si>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</si>
  <si>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</si>
  <si>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</si>
  <si>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</si>
  <si>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</si>
  <si>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</si>
  <si>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</si>
  <si>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</si>
  <si>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</si>
  <si>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</si>
  <si>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</si>
  <si>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</si>
  <si>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</si>
  <si>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</si>
  <si>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</si>
  <si>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</si>
  <si>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</si>
  <si>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</si>
  <si>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</si>
  <si>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</si>
  <si>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</si>
  <si>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</si>
  <si>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</si>
  <si>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</si>
  <si>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</si>
  <si>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</si>
  <si>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</si>
  <si>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</si>
  <si>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</si>
  <si>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</si>
  <si>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</si>
  <si>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</si>
  <si>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</si>
  <si>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</si>
  <si>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</si>
  <si>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</si>
  <si>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</si>
  <si>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</si>
  <si>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</si>
  <si>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</si>
  <si>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</si>
  <si>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</si>
  <si>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</si>
  <si>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</si>
  <si>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</si>
  <si>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</si>
  <si>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</si>
  <si>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</si>
  <si>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</si>
  <si>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</si>
  <si>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</si>
  <si>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</si>
  <si>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</si>
  <si>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</si>
  <si>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</si>
  <si>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</si>
  <si>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</si>
  <si>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</si>
  <si>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</si>
  <si>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</si>
  <si>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</si>
  <si>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</si>
  <si>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</si>
  <si>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</si>
  <si>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</si>
  <si>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</si>
  <si>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</si>
  <si>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</si>
  <si>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</si>
  <si>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</si>
  <si>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</si>
  <si>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</si>
  <si>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</si>
  <si>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</si>
  <si>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</si>
  <si>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</si>
  <si>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</si>
  <si>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</si>
  <si>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</si>
  <si>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</si>
  <si>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</si>
  <si>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</si>
  <si>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</si>
  <si>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</si>
  <si>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</si>
  <si>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</si>
  <si>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</si>
  <si>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</si>
  <si>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</si>
  <si>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</si>
  <si>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</si>
  <si>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</si>
  <si>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</si>
  <si>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</si>
  <si>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</si>
  <si>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</si>
  <si>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</si>
  <si>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</si>
  <si>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</si>
  <si>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</si>
  <si>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</si>
  <si>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</si>
  <si>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</si>
  <si>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</si>
  <si>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</si>
  <si>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</si>
  <si>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</si>
  <si>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</si>
  <si>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</si>
  <si>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</si>
  <si>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</si>
  <si>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</si>
  <si>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</si>
  <si>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</si>
  <si>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</si>
  <si>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</si>
  <si>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</si>
  <si>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</si>
  <si>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</si>
  <si>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</si>
  <si>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</si>
  <si>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</si>
  <si>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</si>
  <si>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</si>
  <si>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</si>
  <si>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</si>
  <si>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</si>
  <si>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</si>
  <si>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</si>
  <si>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</si>
  <si>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</si>
  <si>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</si>
  <si>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</si>
  <si>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</si>
  <si>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</si>
  <si>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</si>
  <si>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</si>
  <si>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</si>
  <si>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</si>
  <si>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</si>
  <si>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</si>
  <si>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</si>
  <si>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</si>
  <si>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</si>
  <si>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</si>
  <si>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</si>
  <si>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</si>
  <si>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</si>
  <si>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</si>
  <si>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</si>
  <si>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</si>
  <si>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</si>
  <si>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</si>
  <si>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</si>
  <si>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</si>
  <si>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</si>
  <si>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</si>
  <si>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</si>
  <si>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</si>
  <si>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</si>
  <si>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</si>
  <si>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</si>
  <si>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</si>
  <si>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</si>
  <si>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</si>
  <si>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</si>
  <si>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</si>
  <si>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</si>
  <si>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</si>
  <si>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</si>
  <si>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</si>
  <si>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</si>
  <si>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</si>
  <si>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</si>
  <si>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</si>
  <si>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</si>
  <si>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</si>
  <si>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</si>
  <si>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</si>
  <si>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</si>
  <si>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</si>
  <si>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</si>
  <si>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</si>
  <si>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</si>
  <si>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</si>
  <si>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</si>
  <si>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</si>
  <si>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</si>
  <si>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</si>
  <si>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</si>
  <si>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</si>
  <si>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</si>
  <si>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</si>
  <si>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</si>
  <si>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</si>
  <si>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</si>
  <si>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</si>
  <si>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</si>
  <si>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</si>
  <si>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</si>
  <si>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</si>
  <si>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</si>
  <si>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</si>
  <si>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</si>
  <si>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</si>
  <si>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</si>
  <si>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</si>
  <si>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</si>
  <si>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</si>
  <si>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</si>
  <si>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</si>
  <si>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</si>
  <si>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</si>
  <si>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</si>
  <si>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</si>
  <si>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</si>
  <si>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</si>
  <si>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</si>
  <si>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</si>
  <si>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</si>
  <si>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</si>
  <si>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</si>
  <si>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</si>
  <si>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</si>
  <si>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</si>
  <si>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</si>
  <si>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</si>
  <si>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</si>
  <si>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</si>
  <si>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</si>
  <si>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</si>
  <si>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</si>
  <si>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</si>
  <si>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</si>
  <si>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</si>
  <si>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</si>
  <si>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</si>
  <si>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</si>
  <si>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</si>
  <si>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</si>
  <si>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</si>
  <si>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</si>
  <si>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</si>
  <si>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</si>
  <si>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</si>
  <si>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</si>
  <si>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</si>
  <si>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</si>
  <si>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</si>
  <si>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</si>
  <si>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</si>
  <si>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</si>
  <si>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</si>
  <si>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</si>
  <si>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</si>
  <si>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</si>
  <si>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</si>
  <si>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</si>
  <si>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</si>
  <si>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</si>
  <si>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</si>
  <si>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</si>
  <si>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</si>
  <si>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</si>
  <si>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</si>
  <si>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</si>
  <si>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</si>
  <si>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</si>
  <si>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</si>
  <si>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</si>
  <si>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</si>
  <si>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</si>
  <si>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</si>
  <si>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</si>
  <si>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</si>
  <si>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</si>
  <si>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</si>
  <si>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</si>
  <si>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</si>
  <si>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</si>
  <si>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</si>
  <si>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</si>
  <si>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</si>
  <si>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</si>
  <si>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</si>
  <si>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</si>
  <si>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</si>
  <si>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</si>
  <si>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</si>
  <si>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</si>
  <si>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</si>
  <si>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</si>
  <si>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</si>
  <si>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</si>
  <si>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</si>
  <si>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</si>
  <si>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</si>
  <si>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</si>
  <si>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</si>
  <si>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</si>
  <si>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</si>
  <si>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</si>
  <si>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</si>
  <si>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</si>
  <si>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</si>
  <si>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</si>
  <si>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</si>
  <si>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</si>
  <si>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</si>
  <si>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</si>
  <si>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</si>
  <si>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</si>
  <si>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</si>
  <si>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</si>
  <si>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</si>
  <si>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</si>
  <si>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</si>
  <si>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</si>
  <si>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</si>
  <si>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</si>
  <si>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</si>
  <si>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</si>
  <si>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</si>
  <si>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</si>
  <si>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</si>
  <si>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</si>
  <si>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</si>
  <si>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</si>
  <si>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</si>
  <si>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</si>
  <si>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</si>
  <si>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</si>
  <si>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</si>
  <si>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</si>
  <si>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</si>
  <si>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</si>
  <si>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</si>
  <si>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</si>
  <si>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</si>
  <si>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</si>
  <si>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</si>
  <si>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</si>
  <si>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</si>
  <si>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</si>
  <si>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</si>
  <si>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</si>
  <si>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</si>
  <si>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</si>
  <si>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</si>
  <si>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</si>
  <si>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</si>
  <si>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</si>
  <si>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</si>
  <si>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</si>
  <si>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</si>
  <si>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</si>
  <si>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</si>
  <si>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</si>
  <si>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</si>
  <si>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</si>
  <si>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</si>
  <si>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</si>
  <si>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</si>
  <si>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</si>
  <si>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</si>
  <si>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</si>
  <si>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</si>
  <si>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</si>
  <si>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</si>
  <si>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</si>
  <si>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</si>
  <si>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</si>
  <si>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</si>
  <si>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</si>
  <si>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</si>
  <si>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</si>
  <si>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</si>
  <si>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</si>
  <si>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</si>
  <si>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</si>
  <si>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</si>
  <si>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</si>
  <si>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</si>
  <si>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</si>
  <si>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</si>
  <si>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</si>
  <si>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</si>
  <si>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</si>
  <si>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</si>
  <si>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</si>
  <si>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</si>
  <si>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</si>
  <si>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</si>
  <si>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</si>
  <si>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</si>
  <si>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</si>
  <si>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</si>
  <si>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</si>
  <si>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</si>
  <si>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</si>
  <si>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</si>
  <si>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</si>
  <si>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</si>
  <si>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</si>
  <si>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</si>
  <si>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</si>
  <si>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</si>
  <si>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</si>
  <si>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</si>
  <si>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</si>
  <si>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</si>
  <si>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</si>
  <si>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</si>
  <si>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</si>
  <si>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</si>
  <si>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</si>
  <si>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</si>
  <si>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</si>
  <si>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</si>
  <si>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</si>
  <si>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</si>
  <si>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</si>
  <si>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</si>
  <si>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</si>
  <si>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</si>
  <si>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</si>
  <si>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</si>
  <si>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</si>
  <si>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</si>
  <si>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</si>
  <si>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</si>
  <si>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</si>
  <si>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</si>
  <si>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</si>
  <si>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</si>
  <si>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</si>
  <si>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</si>
  <si>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</si>
  <si>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</si>
  <si>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</si>
  <si>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</si>
  <si>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</si>
  <si>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</si>
  <si>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</si>
  <si>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</si>
  <si>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</si>
  <si>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</si>
  <si>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</si>
  <si>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</si>
  <si>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</si>
  <si>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</si>
  <si>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</si>
  <si>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</si>
  <si>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</si>
  <si>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</si>
  <si>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</si>
  <si>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</si>
  <si>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</si>
  <si>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</si>
  <si>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</si>
  <si>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</si>
  <si>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</si>
  <si>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</si>
  <si>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</si>
  <si>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</si>
  <si>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</si>
  <si>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</si>
  <si>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</si>
  <si>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</si>
  <si>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</si>
  <si>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</si>
  <si>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</si>
  <si>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</si>
  <si>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</si>
  <si>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</si>
  <si>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</si>
  <si>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</si>
  <si>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</si>
  <si>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</si>
  <si>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</si>
  <si>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</si>
  <si>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</si>
  <si>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</si>
  <si>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</si>
  <si>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</si>
  <si>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</si>
  <si>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</si>
  <si>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</si>
  <si>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</si>
  <si>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</si>
  <si>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</si>
  <si>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</si>
  <si>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</si>
  <si>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</si>
  <si>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</si>
  <si>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</si>
  <si>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</si>
  <si>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</si>
  <si>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</si>
  <si>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</si>
  <si>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</si>
  <si>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</si>
  <si>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</si>
  <si>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</si>
  <si>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</si>
  <si>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</si>
  <si>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</si>
  <si>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</si>
  <si>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</si>
  <si>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</si>
  <si>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</si>
  <si>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</si>
  <si>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</si>
  <si>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</si>
  <si>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</si>
  <si>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</si>
  <si>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</si>
  <si>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</si>
  <si>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</si>
  <si>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</si>
  <si>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</si>
  <si>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</si>
  <si>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</si>
  <si>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</si>
  <si>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</si>
  <si>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</si>
  <si>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</si>
  <si>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</si>
  <si>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</si>
  <si>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</si>
  <si>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</si>
  <si>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</si>
  <si>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</si>
  <si>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</si>
  <si>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</si>
  <si>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</si>
  <si>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</si>
  <si>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</si>
  <si>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</si>
  <si>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</si>
  <si>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</si>
  <si>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</si>
  <si>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</si>
  <si>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</si>
  <si>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</si>
  <si>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</si>
  <si>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</si>
  <si>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</si>
  <si>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</si>
  <si>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</si>
  <si>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</si>
  <si>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</si>
  <si>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</si>
  <si>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</si>
  <si>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</si>
  <si>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</si>
  <si>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</si>
  <si>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</si>
  <si>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</si>
  <si>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</si>
  <si>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</si>
  <si>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</si>
  <si>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</si>
  <si>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</si>
  <si>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</si>
  <si>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</si>
  <si>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</si>
  <si>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</si>
  <si>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</si>
  <si>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</si>
  <si>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</si>
  <si>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</si>
  <si>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</si>
  <si>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</si>
  <si>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</si>
  <si>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</si>
  <si>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</si>
  <si>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</si>
  <si>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</si>
  <si>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</si>
  <si>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</si>
  <si>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</si>
  <si>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</si>
  <si>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</si>
  <si>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</si>
  <si>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</si>
  <si>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</si>
  <si>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NOEMI CSIKI</t>
  </si>
  <si>
    <t>ZSOLT CSIKI</t>
  </si>
  <si>
    <t>GEORGE PRIDEA</t>
  </si>
  <si>
    <t>IOANA OLARIU</t>
  </si>
  <si>
    <t>IULIA ARMANCA</t>
  </si>
  <si>
    <t>ORIOL GARCIA</t>
  </si>
  <si>
    <t>02:26</t>
  </si>
  <si>
    <t>01:34</t>
  </si>
  <si>
    <t>01:05</t>
  </si>
  <si>
    <t>Excelent perfomance in all aspects. Nothing much to say, just 3 corrections involving 2 criteria things and a shot difficult to judge. Perfect communication through the all game warning of every edition you make. Long ago without supervising a Cluj game and I was surprised for the very possitive progress of the crew. Hope to still have many game like this, keep working on that level!</t>
  </si>
  <si>
    <t>C:\Users\oriol.garcia\OneDrive - EUROLEAGUE\Documents\Season 25-26\Reports\Eurocup\UBT Cluj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</si>
</sst>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3" sqref="N3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08_073_CLU_JER_U2025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45979.791666666664</v>
      </c>
      <c r="C3" s="157"/>
      <c r="D3" s="39">
        <v>644</v>
      </c>
      <c r="E3" s="29"/>
      <c r="F3" s="26">
        <f>SUBTOTAL(3,I17:I106)</f>
        <v>3</v>
      </c>
      <c r="G3" s="27">
        <f>IF(OR(D3="",D3=0),"",F3/D3)</f>
        <v>4.658385093167702E-3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U-BT Cluj-Napoca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CLU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4.658385093167702E-3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Bank Yahav Jerusalem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JER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0.46583850931677018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3.4658385093167703</v>
      </c>
      <c r="N7" s="58"/>
      <c r="O7" s="2"/>
      <c r="P7" s="2"/>
      <c r="Q7" s="86">
        <f>SUM(R5,S5,AC16)</f>
        <v>3.4658385093167703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3.4658385093167703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73</v>
      </c>
      <c r="D17" s="32" t="s">
        <v>756</v>
      </c>
      <c r="E17" s="33">
        <v>1</v>
      </c>
      <c r="F17" s="36">
        <v>19</v>
      </c>
      <c r="G17" s="36">
        <v>29</v>
      </c>
      <c r="H17" s="38" t="str">
        <f>IF(I17="","",$I$14)</f>
        <v>SCOUTING</v>
      </c>
      <c r="I17" s="34">
        <v>101</v>
      </c>
      <c r="J17" s="13" t="s">
        <v>4</v>
      </c>
      <c r="K17" s="13" t="s">
        <v>62</v>
      </c>
      <c r="L17" s="13" t="s">
        <v>5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73</v>
      </c>
      <c r="D18" s="32" t="s">
        <v>757</v>
      </c>
      <c r="E18" s="33">
        <v>4</v>
      </c>
      <c r="F18" s="36">
        <v>89</v>
      </c>
      <c r="G18" s="36">
        <v>97</v>
      </c>
      <c r="H18" s="38" t="str">
        <f t="shared" ref="H18:H81" si="8">IF(I18="","",$I$14)</f>
        <v>SCOUTING</v>
      </c>
      <c r="I18" s="34">
        <v>619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73</v>
      </c>
      <c r="D19" s="32" t="s">
        <v>758</v>
      </c>
      <c r="E19" s="33">
        <v>4</v>
      </c>
      <c r="F19" s="36">
        <v>89</v>
      </c>
      <c r="G19" s="36">
        <v>97</v>
      </c>
      <c r="H19" s="38" t="str">
        <f t="shared" si="8"/>
        <v>SCOUTING</v>
      </c>
      <c r="I19" s="34">
        <v>628</v>
      </c>
      <c r="J19" s="13" t="s">
        <v>4</v>
      </c>
      <c r="K19" s="13" t="s">
        <v>62</v>
      </c>
      <c r="L19" s="13" t="s">
        <v>48</v>
      </c>
      <c r="M19" s="13" t="s">
        <v>27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REPORT_U2025073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"U2025073"</v>
      </c>
      <c r="F3" s="45" t="str">
        <f t="shared" ref="F3:F16" si="0">""""&amp;B3&amp;"""" &amp; " : " &amp;C3&amp;","</f>
        <v>"name" : "U2025073",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"U073"</v>
      </c>
      <c r="F4" s="45" t="str">
        <f t="shared" si="0"/>
        <v>"cod" : "U073",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073</v>
      </c>
      <c r="F6" s="45" t="str">
        <f t="shared" si="0"/>
        <v>"number" : 073,</v>
      </c>
    </row>
    <row r="7" spans="2:6" x14ac:dyDescent="0.2">
      <c r="B7" s="43" t="s">
        <v>116</v>
      </c>
      <c r="C7" s="43" t="str">
        <f ca="1">""""&amp;TEXT('SCOUT &amp; LOGISTICS'!B3,"dd/mm/aaaa")&amp;""""</f>
        <v>"18/11/Tuesday"</v>
      </c>
      <c r="F7" s="45" t="str">
        <f t="shared" ca="1" si="0"/>
        <v>"date" : "18/11/Tuesday",</v>
      </c>
    </row>
    <row r="8" spans="2:6" x14ac:dyDescent="0.2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">
      <c r="B9" s="43" t="s">
        <v>126</v>
      </c>
      <c r="C9" s="43" t="str">
        <f>""""&amp;'SCOUT &amp; LOGISTICS'!D5&amp;""""</f>
        <v>"Hapoel Bank Yahav Jerusalem"</v>
      </c>
      <c r="F9" s="45" t="str">
        <f t="shared" si="0"/>
        <v>"away_team" : "Hapoel Bank Yahav Jerusalem",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"NOEMI CSIKI"</v>
      </c>
      <c r="F10" s="45" t="str">
        <f t="shared" si="0"/>
        <v>"Data_entry" : "NOEMI CSIKI",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"ZSOLT CSIKI"</v>
      </c>
      <c r="F11" s="45" t="str">
        <f t="shared" si="0"/>
        <v>"Caller_1" : "ZSOLT CSIKI",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"GEORGE PRIDEA"</v>
      </c>
      <c r="F12" s="45" t="str">
        <f t="shared" si="0"/>
        <v>"Caller_2" : "GEORGE PRIDEA",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"IOANA OLARIU"</v>
      </c>
      <c r="F13" s="45" t="str">
        <f t="shared" si="0"/>
        <v>"Timerkeeper" : "IOANA OLARIU",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"IULIA ARMANCA"</v>
      </c>
      <c r="F14" s="45" t="str">
        <f t="shared" si="0"/>
        <v>"Shotclock" : "IULIA ARMANCA",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644</v>
      </c>
      <c r="F25" s="45" t="str">
        <f t="shared" ref="F25:F48" si="1">""""&amp;C25&amp;"""" &amp; " : " &amp;D25&amp;","</f>
        <v>"total_actions" : 644,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"Excelent perfomance in all aspects. Nothing much to say, just 3 corrections involving 2 criteria things and a shot difficult to judge. Perfect communication through the all game warning of every edition you make. Long ago without supervising a Cluj game and I was surprised for the very possitive progress of the crew. Hope to still have many game like this, keep working on that level!"</v>
      </c>
      <c r="F51" s="45" t="str">
        <f>""""&amp;B51&amp;"""" &amp; " : " &amp;C51&amp;","</f>
        <v>"comments" : "Excelent perfomance in all aspects. Nothing much to say, just 3 corrections involving 2 criteria things and a shot difficult to judge. Perfect communication through the all game warning of every edition you make. Long ago without supervising a Cluj game and I was surprised for the very possitive progress of the crew. Hope to still have many game like this, keep working on that level!",</v>
      </c>
    </row>
    <row r="52" spans="2:6" x14ac:dyDescent="0.2">
      <c r="B52" s="43" t="s">
        <v>153</v>
      </c>
      <c r="C52" s="43" t="str">
        <f>TEXT('SCOUT &amp; LOGISTICS'!F1,"0,0")</f>
        <v>08_073_CLU_JER_U2025</v>
      </c>
      <c r="F52" s="45" t="str">
        <f>""""&amp;B52&amp;"""" &amp; " : " &amp;C52</f>
        <v>"result" : 08_073_CLU_JER_U2025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U073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18/11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U-Bt Cluj-Napoca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Bank Yahav Jerusalem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NOEMI CSIKI</v>
      </c>
      <c r="C8" s="206"/>
      <c r="D8" s="206"/>
      <c r="E8" s="206"/>
      <c r="F8" s="206"/>
      <c r="G8" s="206" t="str">
        <f>IF('SCOUT &amp; LOGISTICS'!D7="","",'SCOUT &amp; LOGISTICS'!D7)</f>
        <v>ZSOLT CSIKI</v>
      </c>
      <c r="H8" s="206"/>
      <c r="I8" s="206"/>
      <c r="J8" s="206"/>
      <c r="K8" s="206"/>
      <c r="L8" s="206" t="str">
        <f>IF('SCOUT &amp; LOGISTICS'!D8="","",'SCOUT &amp; LOGISTICS'!D8)</f>
        <v>GEORGE PRIDEA</v>
      </c>
      <c r="M8" s="206"/>
      <c r="N8" s="206"/>
      <c r="O8" s="206"/>
      <c r="P8" s="206"/>
      <c r="Q8" s="206" t="str">
        <f>IF('SCOUT &amp; LOGISTICS'!D9="","",'SCOUT &amp; LOGISTICS'!D9)</f>
        <v>IOANA OLARIU</v>
      </c>
      <c r="R8" s="206"/>
      <c r="S8" s="206"/>
      <c r="T8" s="206"/>
      <c r="U8" s="206"/>
      <c r="V8" s="206" t="str">
        <f>IF('SCOUT &amp; LOGISTICS'!D10="","",'SCOUT &amp; LOGISTICS'!D10)</f>
        <v>IULIA ARMANCA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644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4.658385093167702E-3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Excelent perfomance in all aspects. Nothing much to say, just 3 corrections involving 2 criteria things and a shot difficult to judge. Perfect communication through the all game warning of every edition you make. Long ago without supervising a Cluj game and I was surprised for the very possitive progress of the crew. Hope to still have many game like this, keep working on that level!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3.4658385093167703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9F0BB09-2E0C-40E4-87DB-EF225B323895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2025-11-18T20:11:31Z</cp:lastPrinted>
  <dcterms:created xsi:type="dcterms:W3CDTF">2023-09-19T19:50:35Z</dcterms:created>
  <dcterms:modified xsi:type="dcterms:W3CDTF">2025-11-20T16:17:56Z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