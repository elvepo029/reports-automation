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25" documentId="8_{16053FF4-9AC9-43EF-AAFB-0AC9C3C23FE1}" xr6:coauthVersionLast="47" xr6:coauthVersionMax="47" xr10:uidLastSave="{E747D745-ED03-439C-9A64-F66E1BE7ED33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<sst xmlns="http://schemas.openxmlformats.org/spreadsheetml/2006/main" count="3305" uniqueCount="768">
  <si>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</si>
  <si>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</si>
  <si>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</si>
  <si>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</si>
  <si>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</si>
  <si>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</si>
  <si>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</si>
  <si>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</si>
  <si>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</si>
  <si>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</si>
  <si>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</si>
  <si>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</si>
  <si>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</si>
  <si>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</si>
  <si>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</si>
  <si>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</si>
  <si>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</si>
  <si>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</si>
  <si>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</si>
  <si>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</si>
  <si>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</si>
  <si>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</si>
  <si>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</si>
  <si>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</si>
  <si>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</si>
  <si>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</si>
  <si>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</si>
  <si>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</si>
  <si>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</si>
  <si>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</si>
  <si>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</si>
  <si>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</si>
  <si>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</si>
  <si>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</si>
  <si>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</si>
  <si>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</si>
  <si>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</si>
  <si>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</si>
  <si>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</si>
  <si>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</si>
  <si>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</si>
  <si>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</si>
  <si>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</si>
  <si>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</si>
  <si>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</si>
  <si>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</si>
  <si>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</si>
  <si>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</si>
  <si>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</si>
  <si>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</si>
  <si>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</si>
  <si>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</si>
  <si>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</si>
  <si>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</si>
  <si>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</si>
  <si>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</si>
  <si>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</si>
  <si>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</si>
  <si>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</si>
  <si>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</si>
  <si>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</si>
  <si>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</si>
  <si>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</si>
  <si>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</si>
  <si>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</si>
  <si>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</si>
  <si>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</si>
  <si>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</si>
  <si>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</si>
  <si>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</si>
  <si>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</si>
  <si>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</si>
  <si>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</si>
  <si>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</si>
  <si>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</si>
  <si>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</si>
  <si>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</si>
  <si>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</si>
  <si>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</si>
  <si>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</si>
  <si>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</si>
  <si>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</si>
  <si>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</si>
  <si>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</si>
  <si>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</si>
  <si>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</si>
  <si>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</si>
  <si>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</si>
  <si>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</si>
  <si>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</si>
  <si>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</si>
  <si>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</si>
  <si>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</si>
  <si>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</si>
  <si>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</si>
  <si>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</si>
  <si>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</si>
  <si>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</si>
  <si>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</si>
  <si>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</si>
  <si>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</si>
  <si>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</si>
  <si>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</si>
  <si>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</si>
  <si>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</si>
  <si>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</si>
  <si>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</si>
  <si>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</si>
  <si>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</si>
  <si>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</si>
  <si>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</si>
  <si>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</si>
  <si>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</si>
  <si>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</si>
  <si>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</si>
  <si>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</si>
  <si>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</si>
  <si>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</si>
  <si>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</si>
  <si>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</si>
  <si>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</si>
  <si>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</si>
  <si>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</si>
  <si>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</si>
  <si>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</si>
  <si>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</si>
  <si>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</si>
  <si>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</si>
  <si>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</si>
  <si>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</si>
  <si>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</si>
  <si>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</si>
  <si>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</si>
  <si>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</si>
  <si>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</si>
  <si>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</si>
  <si>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</si>
  <si>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</si>
  <si>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</si>
  <si>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</si>
  <si>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</si>
  <si>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</si>
  <si>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</si>
  <si>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</si>
  <si>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</si>
  <si>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</si>
  <si>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</si>
  <si>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</si>
  <si>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</si>
  <si>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</si>
  <si>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</si>
  <si>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</si>
  <si>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</si>
  <si>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</si>
  <si>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</si>
  <si>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</si>
  <si>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</si>
  <si>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</si>
  <si>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</si>
  <si>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</si>
  <si>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</si>
  <si>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</si>
  <si>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</si>
  <si>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</si>
  <si>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</si>
  <si>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</si>
  <si>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</si>
  <si>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</si>
  <si>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</si>
  <si>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</si>
  <si>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</si>
  <si>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</si>
  <si>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</si>
  <si>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</si>
  <si>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</si>
  <si>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</si>
  <si>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</si>
  <si>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</si>
  <si>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</si>
  <si>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</si>
  <si>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</si>
  <si>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</si>
  <si>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</si>
  <si>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</si>
  <si>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</si>
  <si>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</si>
  <si>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</si>
  <si>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</si>
  <si>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</si>
  <si>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</si>
  <si>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</si>
  <si>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</si>
  <si>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</si>
  <si>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</si>
  <si>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</si>
  <si>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</si>
  <si>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</si>
  <si>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</si>
  <si>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</si>
  <si>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</si>
  <si>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</si>
  <si>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</si>
  <si>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</si>
  <si>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</si>
  <si>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</si>
  <si>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</si>
  <si>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</si>
  <si>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</si>
  <si>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</si>
  <si>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</si>
  <si>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</si>
  <si>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</si>
  <si>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</si>
  <si>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</si>
  <si>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</si>
  <si>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</si>
  <si>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</si>
  <si>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</si>
  <si>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</si>
  <si>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</si>
  <si>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</si>
  <si>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</si>
  <si>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</si>
  <si>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</si>
  <si>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</si>
  <si>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</si>
  <si>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</si>
  <si>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</si>
  <si>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</si>
  <si>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</si>
  <si>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</si>
  <si>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</si>
  <si>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</si>
  <si>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</si>
  <si>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</si>
  <si>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</si>
  <si>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</si>
  <si>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</si>
  <si>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</si>
  <si>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</si>
  <si>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</si>
  <si>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</si>
  <si>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</si>
  <si>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</si>
  <si>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</si>
  <si>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</si>
  <si>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</si>
  <si>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</si>
  <si>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</si>
  <si>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</si>
  <si>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</si>
  <si>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</si>
  <si>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</si>
  <si>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</si>
  <si>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</si>
  <si>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</si>
  <si>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</si>
  <si>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</si>
  <si>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</si>
  <si>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</si>
  <si>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</si>
  <si>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</si>
  <si>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</si>
  <si>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</si>
  <si>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</si>
  <si>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</si>
  <si>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</si>
  <si>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</si>
  <si>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</si>
  <si>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</si>
  <si>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</si>
  <si>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</si>
  <si>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</si>
  <si>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</si>
  <si>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</si>
  <si>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</si>
  <si>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</si>
  <si>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</si>
  <si>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</si>
  <si>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</si>
  <si>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</si>
  <si>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</si>
  <si>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</si>
  <si>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</si>
  <si>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</si>
  <si>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</si>
  <si>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</si>
  <si>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</si>
  <si>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</si>
  <si>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</si>
  <si>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</si>
  <si>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</si>
  <si>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</si>
  <si>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</si>
  <si>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</si>
  <si>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</si>
  <si>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</si>
  <si>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</si>
  <si>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</si>
  <si>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</si>
  <si>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</si>
  <si>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</si>
  <si>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</si>
  <si>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</si>
  <si>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</si>
  <si>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</si>
  <si>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</si>
  <si>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</si>
  <si>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</si>
  <si>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</si>
  <si>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</si>
  <si>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</si>
  <si>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</si>
  <si>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</si>
  <si>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</si>
  <si>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</si>
  <si>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</si>
  <si>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</si>
  <si>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</si>
  <si>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</si>
  <si>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</si>
  <si>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</si>
  <si>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</si>
  <si>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</si>
  <si>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</si>
  <si>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</si>
  <si>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</si>
  <si>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</si>
  <si>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</si>
  <si>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</si>
  <si>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</si>
  <si>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</si>
  <si>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</si>
  <si>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</si>
  <si>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</si>
  <si>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</si>
  <si>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</si>
  <si>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</si>
  <si>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</si>
  <si>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</si>
  <si>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</si>
  <si>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</si>
  <si>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</si>
  <si>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</si>
  <si>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</si>
  <si>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</si>
  <si>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</si>
  <si>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</si>
  <si>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</si>
  <si>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</si>
  <si>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</si>
  <si>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</si>
  <si>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</si>
  <si>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</si>
  <si>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</si>
  <si>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</si>
  <si>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</si>
  <si>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</si>
  <si>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</si>
  <si>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</si>
  <si>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</si>
  <si>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</si>
  <si>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</si>
  <si>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</si>
  <si>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</si>
  <si>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</si>
  <si>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</si>
  <si>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</si>
  <si>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</si>
  <si>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</si>
  <si>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</si>
  <si>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</si>
  <si>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</si>
  <si>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</si>
  <si>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</si>
  <si>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</si>
  <si>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</si>
  <si>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</si>
  <si>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</si>
  <si>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</si>
  <si>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</si>
  <si>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</si>
  <si>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</si>
  <si>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</si>
  <si>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</si>
  <si>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</si>
  <si>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</si>
  <si>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</si>
  <si>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</si>
  <si>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</si>
  <si>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</si>
  <si>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</si>
  <si>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</si>
  <si>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</si>
  <si>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</si>
  <si>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</si>
  <si>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</si>
  <si>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</si>
  <si>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</si>
  <si>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</si>
  <si>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</si>
  <si>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</si>
  <si>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</si>
  <si>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</si>
  <si>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</si>
  <si>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</si>
  <si>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</si>
  <si>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</si>
  <si>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</si>
  <si>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</si>
  <si>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</si>
  <si>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</si>
  <si>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</si>
  <si>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</si>
  <si>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</si>
  <si>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</si>
  <si>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</si>
  <si>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</si>
  <si>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</si>
  <si>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</si>
  <si>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</si>
  <si>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</si>
  <si>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</si>
  <si>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</si>
  <si>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</si>
  <si>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</si>
  <si>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</si>
  <si>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</si>
  <si>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</si>
  <si>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</si>
  <si>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</si>
  <si>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</si>
  <si>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</si>
  <si>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</si>
  <si>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</si>
  <si>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</si>
  <si>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</si>
  <si>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</si>
  <si>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</si>
  <si>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</si>
  <si>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</si>
  <si>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</si>
  <si>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</si>
  <si>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</si>
  <si>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</si>
  <si>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</si>
  <si>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</si>
  <si>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</si>
  <si>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</si>
  <si>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</si>
  <si>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</si>
  <si>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</si>
  <si>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</si>
  <si>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</si>
  <si>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</si>
  <si>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</si>
  <si>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</si>
  <si>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</si>
  <si>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</si>
  <si>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</si>
  <si>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</si>
  <si>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</si>
  <si>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</si>
  <si>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</si>
  <si>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</si>
  <si>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</si>
  <si>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</si>
  <si>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</si>
  <si>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</si>
  <si>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</si>
  <si>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</si>
  <si>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</si>
  <si>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</si>
  <si>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</si>
  <si>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</si>
  <si>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</si>
  <si>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</si>
  <si>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</si>
  <si>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</si>
  <si>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</si>
  <si>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</si>
  <si>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</si>
  <si>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</si>
  <si>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</si>
  <si>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</si>
  <si>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</si>
  <si>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</si>
  <si>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</si>
  <si>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</si>
  <si>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</si>
  <si>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</si>
  <si>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</si>
  <si>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</si>
  <si>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</si>
  <si>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</si>
  <si>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</si>
  <si>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</si>
  <si>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</si>
  <si>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</si>
  <si>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</si>
  <si>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</si>
  <si>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</si>
  <si>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</si>
  <si>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</si>
  <si>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</si>
  <si>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</si>
  <si>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</si>
  <si>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</si>
  <si>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</si>
  <si>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</si>
  <si>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</si>
  <si>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</si>
  <si>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</si>
  <si>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</si>
  <si>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</si>
  <si>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</si>
  <si>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</si>
  <si>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</si>
  <si>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</si>
  <si>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</si>
  <si>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</si>
  <si>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</si>
  <si>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</si>
  <si>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</si>
  <si>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</si>
  <si>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</si>
  <si>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</si>
  <si>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</si>
  <si>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</si>
  <si>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</si>
  <si>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</si>
  <si>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</si>
  <si>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</si>
  <si>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</si>
  <si>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</si>
  <si>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</si>
  <si>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</si>
  <si>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</si>
  <si>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</si>
  <si>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</si>
  <si>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</si>
  <si>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</si>
  <si>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</si>
  <si>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</si>
  <si>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</si>
  <si>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</si>
  <si>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</si>
  <si>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</si>
  <si>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</si>
  <si>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</si>
  <si>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</si>
  <si>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</si>
  <si>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</si>
  <si>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</si>
  <si>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</si>
  <si>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</si>
  <si>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</si>
  <si>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</si>
  <si>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</si>
  <si>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</si>
  <si>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</si>
  <si>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</si>
  <si>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</si>
  <si>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</si>
  <si>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</si>
  <si>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</si>
  <si>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</si>
  <si>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</si>
  <si>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</si>
  <si>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</si>
  <si>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</si>
  <si>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</si>
  <si>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</si>
  <si>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</si>
  <si>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</si>
  <si>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</si>
  <si>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</si>
  <si>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</si>
  <si>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</si>
  <si>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</si>
  <si>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</si>
  <si>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</si>
  <si>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</si>
  <si>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</si>
  <si>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</si>
  <si>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</si>
  <si>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</si>
  <si>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</si>
  <si>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</si>
  <si>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</si>
  <si>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</si>
  <si>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</si>
  <si>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</si>
  <si>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</si>
  <si>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</si>
  <si>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</si>
  <si>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</si>
  <si>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</si>
  <si>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</si>
  <si>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</si>
  <si>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</si>
  <si>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</si>
  <si>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</si>
  <si>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</si>
  <si>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</si>
  <si>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</si>
  <si>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</si>
  <si>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</si>
  <si>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</si>
  <si>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</si>
  <si>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</si>
  <si>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</si>
  <si>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</si>
  <si>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</si>
  <si>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</si>
  <si>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</si>
  <si>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</si>
  <si>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</si>
  <si>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</si>
  <si>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</si>
  <si>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</si>
  <si>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</si>
  <si>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</si>
  <si>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</si>
  <si>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</si>
  <si>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</si>
  <si>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</si>
  <si>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</si>
  <si>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</si>
  <si>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</si>
  <si>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</si>
  <si>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</si>
  <si>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</si>
  <si>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</si>
  <si>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</si>
  <si>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</si>
  <si>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</si>
  <si>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</si>
  <si>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</si>
  <si>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</si>
  <si>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</si>
  <si>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</si>
  <si>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</si>
  <si>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</si>
  <si>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</si>
  <si>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</si>
  <si>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</si>
  <si>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</si>
  <si>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</si>
  <si>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</si>
  <si>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</si>
  <si>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</si>
  <si>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</si>
  <si>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</si>
  <si>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</si>
  <si>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</si>
  <si>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</si>
  <si>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</si>
  <si>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</si>
  <si>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</si>
  <si>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</si>
  <si>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</si>
  <si>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</si>
  <si>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</si>
  <si>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</si>
  <si>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</si>
  <si>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</si>
  <si>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</si>
  <si>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</si>
  <si>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</si>
  <si>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</si>
  <si>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</si>
  <si>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</si>
  <si>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</si>
  <si>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</si>
  <si>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</si>
  <si>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</si>
  <si>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</si>
  <si>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</si>
  <si>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</si>
  <si>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</si>
  <si>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</si>
  <si>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</si>
  <si>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</si>
  <si>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</si>
  <si>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</si>
  <si>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</si>
  <si>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</si>
  <si>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</si>
  <si>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</si>
  <si>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</si>
  <si>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</si>
  <si>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</si>
  <si>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</si>
  <si>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</si>
  <si>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</si>
  <si>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</si>
  <si>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</si>
  <si>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</si>
  <si>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</si>
  <si>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</si>
  <si>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</si>
  <si>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</si>
  <si>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</si>
  <si>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</si>
  <si>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</si>
  <si>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</si>
  <si>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</si>
  <si>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</si>
  <si>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</si>
  <si>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</si>
  <si>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</si>
  <si>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</si>
  <si>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</si>
  <si>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</si>
  <si>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</si>
  <si>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</si>
  <si>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</si>
  <si>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</si>
  <si>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</si>
  <si>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</si>
  <si>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</si>
  <si>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</si>
  <si>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</si>
  <si>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</si>
  <si>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</si>
  <si>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</si>
  <si>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</si>
  <si>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</si>
  <si>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</si>
  <si>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</si>
  <si>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</si>
  <si>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</si>
  <si>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</si>
  <si>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</si>
  <si>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</si>
  <si>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</si>
  <si>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</si>
  <si>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</si>
  <si>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</si>
  <si>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</si>
  <si>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</si>
  <si>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</si>
  <si>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</si>
  <si>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</si>
  <si>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</si>
  <si>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</si>
  <si>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</si>
  <si>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</si>
  <si>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ELOI VERGÉ</t>
  </si>
  <si>
    <t>IVAN MOSIC</t>
  </si>
  <si>
    <t>MIODRAG STOJANOVIC</t>
  </si>
  <si>
    <t>MILOS KREMIC</t>
  </si>
  <si>
    <t>BOJANA KRALJEVIC</t>
  </si>
  <si>
    <t>LJUPKA VUKOJEVIC</t>
  </si>
  <si>
    <t>C:\Users\eloi.verge\OneDrive - EUROLEAGUE\Desktop\GAME REPORTS\25-26</t>
  </si>
  <si>
    <t>01:29</t>
  </si>
  <si>
    <t>00:55</t>
  </si>
  <si>
    <t>06:53</t>
  </si>
  <si>
    <t>00:01</t>
  </si>
  <si>
    <t>09:27</t>
  </si>
  <si>
    <t>08:44</t>
  </si>
  <si>
    <t>07:54</t>
  </si>
  <si>
    <t>07:41</t>
  </si>
  <si>
    <t>07:15</t>
  </si>
  <si>
    <t>06:21</t>
  </si>
  <si>
    <t>04:48</t>
  </si>
  <si>
    <t>Good job in the first 3 quarters. But watch out, because on the 4th, there was the situation with the points (it's very important to notify the live game manager about any edition/deletion, specially those related to points or fouls). Also be careful with some moments in which you missidentified a player with another who was very far away from the action. Keep it up, I know next game will be better.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</si>
</sst>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8" sqref="L3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08_073_TEL_RED_E2025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45960.836805555555</v>
      </c>
      <c r="C3" s="157"/>
      <c r="D3" s="39">
        <v>700</v>
      </c>
      <c r="E3" s="29"/>
      <c r="F3" s="26">
        <f>SUBTOTAL(3,I17:I106)</f>
        <v>12</v>
      </c>
      <c r="G3" s="27">
        <f>IF(OR(D3="",D3=0),"",F3/D3)</f>
        <v>1.7142857142857144E-2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Maccabi Rapyd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742</v>
      </c>
      <c r="L4" s="5"/>
      <c r="M4" s="167" t="s">
        <v>767</v>
      </c>
      <c r="N4" s="168"/>
      <c r="O4" s="2"/>
      <c r="P4" s="2"/>
      <c r="Q4" s="84" t="s">
        <v>175</v>
      </c>
      <c r="R4" s="94">
        <f>(IF(G3="",0,G3))</f>
        <v>1.7142857142857144E-2</v>
      </c>
      <c r="S4" s="61">
        <f>SUM(I13:M13)</f>
        <v>0</v>
      </c>
      <c r="T4" s="78"/>
      <c r="U4" s="61">
        <f>AC18</f>
        <v>2</v>
      </c>
      <c r="V4" s="61">
        <f>+AC22</f>
        <v>4</v>
      </c>
      <c r="W4" s="61">
        <f>AC24</f>
        <v>1</v>
      </c>
      <c r="X4" s="61">
        <f>AC29</f>
        <v>1</v>
      </c>
      <c r="Y4" s="61">
        <f>AC25</f>
        <v>3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1.7142857142857144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4</v>
      </c>
      <c r="W5" s="70">
        <f t="shared" si="1"/>
        <v>1</v>
      </c>
      <c r="X5" s="70">
        <f t="shared" si="1"/>
        <v>1</v>
      </c>
      <c r="Y5" s="70">
        <f t="shared" si="1"/>
        <v>6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17.214285714285715</v>
      </c>
      <c r="N7" s="58"/>
      <c r="O7" s="2"/>
      <c r="P7" s="2"/>
      <c r="Q7" s="86">
        <f>SUM(R5,S5,AC16)</f>
        <v>17.214285714285715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17.214285714285715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12</v>
      </c>
      <c r="J15" s="24">
        <f>SUBTOTAL(3,J17:J106)</f>
        <v>12</v>
      </c>
      <c r="K15" s="24">
        <f>SUBTOTAL(3,K17:K106)</f>
        <v>12</v>
      </c>
      <c r="L15" s="24">
        <f>SUBTOTAL(3,L17:L106)</f>
        <v>12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12</v>
      </c>
      <c r="Z16" s="90" t="s">
        <v>110</v>
      </c>
      <c r="AA16" s="75">
        <f>SUM(AA17:AA24)</f>
        <v>12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15.5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12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73</v>
      </c>
      <c r="D17" s="32" t="s">
        <v>756</v>
      </c>
      <c r="E17" s="33">
        <v>1</v>
      </c>
      <c r="F17" s="36">
        <v>22</v>
      </c>
      <c r="G17" s="36">
        <v>29</v>
      </c>
      <c r="H17" s="38" t="str">
        <f>IF(I17="","",$I$14)</f>
        <v>SCOUTING</v>
      </c>
      <c r="I17" s="34">
        <v>134</v>
      </c>
      <c r="J17" s="13" t="s">
        <v>4</v>
      </c>
      <c r="K17" s="13" t="s">
        <v>63</v>
      </c>
      <c r="L17" s="13" t="s">
        <v>6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12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73</v>
      </c>
      <c r="D18" s="32" t="s">
        <v>757</v>
      </c>
      <c r="E18" s="33">
        <v>1</v>
      </c>
      <c r="F18" s="36">
        <v>23</v>
      </c>
      <c r="G18" s="36">
        <v>31</v>
      </c>
      <c r="H18" s="38" t="str">
        <f t="shared" ref="H18:H81" si="8">IF(I18="","",$I$14)</f>
        <v>SCOUTING</v>
      </c>
      <c r="I18" s="34">
        <v>152</v>
      </c>
      <c r="J18" s="13" t="s">
        <v>4</v>
      </c>
      <c r="K18" s="13" t="s">
        <v>62</v>
      </c>
      <c r="L18" s="13" t="s">
        <v>48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73</v>
      </c>
      <c r="D19" s="32" t="s">
        <v>758</v>
      </c>
      <c r="E19" s="33">
        <v>2</v>
      </c>
      <c r="F19" s="36">
        <v>31</v>
      </c>
      <c r="G19" s="36">
        <v>40</v>
      </c>
      <c r="H19" s="38" t="str">
        <f t="shared" si="8"/>
        <v>SCOUTING</v>
      </c>
      <c r="I19" s="34">
        <v>235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73</v>
      </c>
      <c r="D20" s="32" t="s">
        <v>759</v>
      </c>
      <c r="E20" s="33">
        <v>2</v>
      </c>
      <c r="F20" s="36">
        <v>48</v>
      </c>
      <c r="G20" s="36">
        <v>58</v>
      </c>
      <c r="H20" s="38" t="str">
        <f t="shared" si="8"/>
        <v>SCOUTING</v>
      </c>
      <c r="I20" s="34">
        <v>355</v>
      </c>
      <c r="J20" s="13" t="s">
        <v>4</v>
      </c>
      <c r="K20" s="13" t="s">
        <v>62</v>
      </c>
      <c r="L20" s="13" t="s">
        <v>48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6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73</v>
      </c>
      <c r="D21" s="32" t="s">
        <v>760</v>
      </c>
      <c r="E21" s="33">
        <v>3</v>
      </c>
      <c r="F21" s="36">
        <v>48</v>
      </c>
      <c r="G21" s="36">
        <v>58</v>
      </c>
      <c r="H21" s="38" t="str">
        <f t="shared" si="8"/>
        <v>SCOUTING</v>
      </c>
      <c r="I21" s="34">
        <v>376</v>
      </c>
      <c r="J21" s="13" t="s">
        <v>4</v>
      </c>
      <c r="K21" s="13" t="s">
        <v>63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73</v>
      </c>
      <c r="D22" s="32" t="s">
        <v>759</v>
      </c>
      <c r="E22" s="33">
        <v>3</v>
      </c>
      <c r="F22" s="36">
        <v>71</v>
      </c>
      <c r="G22" s="36">
        <v>77</v>
      </c>
      <c r="H22" s="38" t="str">
        <f t="shared" si="8"/>
        <v>SCOUTING</v>
      </c>
      <c r="I22" s="34">
        <v>513</v>
      </c>
      <c r="J22" s="13" t="s">
        <v>4</v>
      </c>
      <c r="K22" s="13" t="s">
        <v>62</v>
      </c>
      <c r="L22" s="13" t="s">
        <v>7</v>
      </c>
      <c r="M22" s="13" t="s">
        <v>26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73</v>
      </c>
      <c r="D23" s="32" t="s">
        <v>761</v>
      </c>
      <c r="E23" s="33">
        <v>4</v>
      </c>
      <c r="F23" s="36">
        <v>76</v>
      </c>
      <c r="G23" s="36">
        <v>77</v>
      </c>
      <c r="H23" s="38" t="str">
        <f t="shared" si="8"/>
        <v>SCOUTING</v>
      </c>
      <c r="I23" s="34">
        <v>542</v>
      </c>
      <c r="J23" s="13" t="s">
        <v>4</v>
      </c>
      <c r="K23" s="13" t="s">
        <v>63</v>
      </c>
      <c r="L23" s="13" t="s">
        <v>5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73</v>
      </c>
      <c r="D24" s="32" t="s">
        <v>762</v>
      </c>
      <c r="E24" s="33">
        <v>4</v>
      </c>
      <c r="F24" s="36">
        <v>78</v>
      </c>
      <c r="G24" s="36">
        <v>78</v>
      </c>
      <c r="H24" s="38" t="str">
        <f t="shared" si="8"/>
        <v>SCOUTING</v>
      </c>
      <c r="I24" s="34">
        <v>561</v>
      </c>
      <c r="J24" s="13" t="s">
        <v>4</v>
      </c>
      <c r="K24" s="13" t="s">
        <v>63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73</v>
      </c>
      <c r="D25" s="32" t="s">
        <v>763</v>
      </c>
      <c r="E25" s="33">
        <v>4</v>
      </c>
      <c r="F25" s="36">
        <v>78</v>
      </c>
      <c r="G25" s="36">
        <v>78</v>
      </c>
      <c r="H25" s="38" t="str">
        <f t="shared" si="8"/>
        <v>SCOUTING</v>
      </c>
      <c r="I25" s="34">
        <v>569</v>
      </c>
      <c r="J25" s="13" t="s">
        <v>4</v>
      </c>
      <c r="K25" s="13" t="s">
        <v>63</v>
      </c>
      <c r="L25" s="13" t="s">
        <v>47</v>
      </c>
      <c r="M25" s="13" t="s">
        <v>28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3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73</v>
      </c>
      <c r="D26" s="32" t="s">
        <v>764</v>
      </c>
      <c r="E26" s="33">
        <v>4</v>
      </c>
      <c r="F26" s="36">
        <v>78</v>
      </c>
      <c r="G26" s="36">
        <v>78</v>
      </c>
      <c r="H26" s="38" t="str">
        <f t="shared" si="8"/>
        <v>SCOUTING</v>
      </c>
      <c r="I26" s="34">
        <v>578</v>
      </c>
      <c r="J26" s="13" t="s">
        <v>4</v>
      </c>
      <c r="K26" s="13" t="s">
        <v>63</v>
      </c>
      <c r="L26" s="13" t="s">
        <v>6</v>
      </c>
      <c r="M26" s="13" t="s">
        <v>168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73</v>
      </c>
      <c r="D27" s="32" t="s">
        <v>765</v>
      </c>
      <c r="E27" s="33">
        <v>4</v>
      </c>
      <c r="F27" s="36">
        <v>80</v>
      </c>
      <c r="G27" s="36">
        <v>78</v>
      </c>
      <c r="H27" s="38" t="str">
        <f t="shared" si="8"/>
        <v>SCOUTING</v>
      </c>
      <c r="I27" s="34">
        <v>595</v>
      </c>
      <c r="J27" s="13" t="s">
        <v>4</v>
      </c>
      <c r="K27" s="13" t="s">
        <v>62</v>
      </c>
      <c r="L27" s="13" t="s">
        <v>48</v>
      </c>
      <c r="M27" s="13" t="s">
        <v>28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73</v>
      </c>
      <c r="D28" s="32" t="s">
        <v>766</v>
      </c>
      <c r="E28" s="33">
        <v>4</v>
      </c>
      <c r="F28" s="36">
        <v>83</v>
      </c>
      <c r="G28" s="36">
        <v>84</v>
      </c>
      <c r="H28" s="38" t="str">
        <f t="shared" si="8"/>
        <v>SCOUTING</v>
      </c>
      <c r="I28" s="34">
        <v>625</v>
      </c>
      <c r="J28" s="13" t="s">
        <v>4</v>
      </c>
      <c r="K28" s="13" t="s">
        <v>62</v>
      </c>
      <c r="L28" s="13" t="s">
        <v>75</v>
      </c>
      <c r="M28" s="13" t="s">
        <v>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4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REPORT_E2025073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"E2025073"</v>
      </c>
      <c r="F3" s="45" t="str">
        <f t="shared" ref="F3:F16" si="0">""""&amp;B3&amp;"""" &amp; " : " &amp;C3&amp;","</f>
        <v>"name" : "E2025073",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"E073"</v>
      </c>
      <c r="F4" s="45" t="str">
        <f t="shared" si="0"/>
        <v>"cod" : "E073",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073</v>
      </c>
      <c r="F6" s="45" t="str">
        <f t="shared" si="0"/>
        <v>"number" : 073,</v>
      </c>
    </row>
    <row r="7" spans="2:6" x14ac:dyDescent="0.25">
      <c r="B7" s="43" t="s">
        <v>116</v>
      </c>
      <c r="C7" s="43" t="str">
        <f ca="1">""""&amp;TEXT('SCOUT &amp; LOGISTICS'!B3,"dd/mm/aaaa")&amp;""""</f>
        <v>"30/10/2025"</v>
      </c>
      <c r="F7" s="45" t="str">
        <f t="shared" ca="1" si="0"/>
        <v>"date" : "30/10/2025",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"LJUPKA VUKOJEVIC"</v>
      </c>
      <c r="F14" s="45" t="str">
        <f t="shared" si="0"/>
        <v>"Shotclock" : "LJUPKA VUKOJEVIC",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700</v>
      </c>
      <c r="F25" s="45" t="str">
        <f t="shared" ref="F25:F48" si="1">""""&amp;C25&amp;"""" &amp; " : " &amp;D25&amp;","</f>
        <v>"total_actions" : 700,</v>
      </c>
    </row>
    <row r="26" spans="2:6" x14ac:dyDescent="0.25">
      <c r="C26" s="43" t="s">
        <v>132</v>
      </c>
      <c r="D26" s="43">
        <f>'SCOUT &amp; LOGISTICS'!F3</f>
        <v>12</v>
      </c>
      <c r="F26" s="45" t="str">
        <f t="shared" si="1"/>
        <v>"total_correcions" : 12,</v>
      </c>
    </row>
    <row r="27" spans="2:6" x14ac:dyDescent="0.25">
      <c r="C27" s="43" t="s">
        <v>133</v>
      </c>
      <c r="D27" s="43" t="str">
        <f>""""&amp;IF(OR(D25="",D25=0),"",TEXT(D26/D25,"0,0%"))&amp;""""</f>
        <v>"1,7%"</v>
      </c>
      <c r="F27" s="45" t="str">
        <f t="shared" si="1"/>
        <v>"%_corrections" : "1,7%",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6</v>
      </c>
      <c r="F34" s="45" t="str">
        <f t="shared" si="1"/>
        <v>"q4" : 6,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12</v>
      </c>
      <c r="F37" s="45" t="str">
        <f t="shared" si="1"/>
        <v>"scoresheet_corrections" : 12,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 in the first 3 quarters. But watch out, because on the 4th, there was the situation with the points (it's very important to notify the live game manager about any edition/deletion, specially those related to points or fouls). Also be careful with some moments in which you missidentified a player with another who was very far away from the action. Keep it up, I know next game will be better."</v>
      </c>
      <c r="F51" s="45" t="str">
        <f>""""&amp;B51&amp;"""" &amp; " : " &amp;C51&amp;","</f>
        <v>"comments" : "Good job in the first 3 quarters. But watch out, because on the 4th, there was the situation with the points (it's very important to notify the live game manager about any edition/deletion, specially those related to points or fouls). Also be careful with some moments in which you missidentified a player with another who was very far away from the action. Keep it up, I know next game will be better.",</v>
      </c>
    </row>
    <row r="52" spans="2:6" x14ac:dyDescent="0.25">
      <c r="B52" s="43" t="s">
        <v>153</v>
      </c>
      <c r="C52" s="43" t="str">
        <f>TEXT('SCOUT &amp; LOGISTICS'!F1,"0,0")</f>
        <v>08_073_TEL_RED_E2025</v>
      </c>
      <c r="F52" s="45" t="str">
        <f>""""&amp;B52&amp;"""" &amp; " : " &amp;C52</f>
        <v>"result" : 08_073_TEL_RED_E2025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E073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30/10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Maccabi Rapyd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BOJANA KRALJEVIC</v>
      </c>
      <c r="R8" s="206"/>
      <c r="S8" s="206"/>
      <c r="T8" s="206"/>
      <c r="U8" s="206"/>
      <c r="V8" s="206" t="str">
        <f>IF('SCOUT &amp; LOGISTICS'!D10="","",'SCOUT &amp; LOGISTICS'!D10)</f>
        <v>LJUPKA VUKOJEVIC</v>
      </c>
      <c r="W8" s="206"/>
      <c r="X8" s="206"/>
      <c r="Y8" s="206"/>
      <c r="Z8" s="206"/>
      <c r="AA8" s="206" t="str">
        <f>IF('SCOUT &amp; LOGISTICS'!D11="","",'SCOUT &amp; LOGISTICS'!D11)</f>
        <v>ANA KRSTIC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700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1.7142857142857144E-2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6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3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Good job in the first 3 quarters. But watch out, because on the 4th, there was the situation with the points (it's very important to notify the live game manager about any edition/deletion, specially those related to points or fouls). Also be careful with some moments in which you missidentified a player with another who was very far away from the action. Keep it up, I know next game will be better.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17.214285714285715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E778C8-8348-4677-9A20-56280020A374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2025-10-31T16:42:17Z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