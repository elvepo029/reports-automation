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0" documentId="8_{AEA14B53-52C7-4C3E-ABAF-B1FBAB1CC234}" xr6:coauthVersionLast="47" xr6:coauthVersionMax="47" xr10:uidLastSave="{B94EDD24-3749-44B3-8B90-5B5D8EB3F4CD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<sst xmlns="http://schemas.openxmlformats.org/spreadsheetml/2006/main" count="3260" uniqueCount="762">
  <si>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</si>
  <si>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</si>
  <si>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</si>
  <si>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</si>
  <si>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</si>
  <si>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</si>
  <si>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</si>
  <si>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</si>
  <si>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</si>
  <si>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</si>
  <si>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</si>
  <si>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</si>
  <si>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</si>
  <si>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</si>
  <si>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</si>
  <si>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</si>
  <si>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</si>
  <si>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</si>
  <si>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</si>
  <si>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</si>
  <si>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</si>
  <si>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</si>
  <si>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</si>
  <si>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</si>
  <si>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</si>
  <si>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</si>
  <si>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</si>
  <si>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</si>
  <si>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</si>
  <si>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</si>
  <si>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</si>
  <si>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</si>
  <si>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</si>
  <si>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</si>
  <si>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</si>
  <si>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</si>
  <si>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</si>
  <si>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</si>
  <si>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</si>
  <si>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</si>
  <si>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</si>
  <si>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</si>
  <si>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</si>
  <si>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</si>
  <si>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</si>
  <si>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</si>
  <si>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</si>
  <si>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</si>
  <si>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</si>
  <si>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</si>
  <si>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</si>
  <si>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</si>
  <si>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</si>
  <si>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</si>
  <si>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</si>
  <si>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</si>
  <si>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</si>
  <si>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</si>
  <si>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</si>
  <si>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</si>
  <si>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</si>
  <si>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</si>
  <si>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</si>
  <si>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</si>
  <si>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</si>
  <si>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</si>
  <si>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</si>
  <si>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</si>
  <si>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</si>
  <si>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</si>
  <si>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</si>
  <si>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</si>
  <si>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</si>
  <si>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</si>
  <si>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</si>
  <si>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</si>
  <si>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</si>
  <si>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</si>
  <si>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</si>
  <si>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</si>
  <si>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</si>
  <si>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</si>
  <si>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</si>
  <si>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</si>
  <si>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</si>
  <si>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</si>
  <si>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</si>
  <si>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</si>
  <si>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</si>
  <si>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</si>
  <si>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</si>
  <si>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</si>
  <si>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</si>
  <si>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</si>
  <si>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</si>
  <si>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</si>
  <si>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</si>
  <si>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</si>
  <si>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</si>
  <si>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</si>
  <si>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</si>
  <si>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</si>
  <si>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</si>
  <si>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</si>
  <si>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</si>
  <si>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</si>
  <si>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</si>
  <si>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</si>
  <si>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</si>
  <si>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</si>
  <si>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</si>
  <si>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</si>
  <si>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</si>
  <si>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</si>
  <si>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</si>
  <si>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</si>
  <si>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</si>
  <si>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</si>
  <si>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</si>
  <si>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</si>
  <si>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</si>
  <si>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</si>
  <si>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</si>
  <si>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</si>
  <si>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</si>
  <si>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</si>
  <si>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</si>
  <si>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</si>
  <si>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</si>
  <si>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</si>
  <si>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</si>
  <si>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</si>
  <si>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</si>
  <si>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</si>
  <si>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</si>
  <si>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</si>
  <si>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</si>
  <si>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</si>
  <si>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</si>
  <si>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</si>
  <si>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</si>
  <si>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</si>
  <si>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</si>
  <si>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</si>
  <si>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</si>
  <si>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</si>
  <si>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</si>
  <si>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</si>
  <si>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</si>
  <si>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</si>
  <si>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</si>
  <si>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</si>
  <si>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</si>
  <si>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</si>
  <si>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</si>
  <si>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</si>
  <si>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</si>
  <si>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</si>
  <si>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</si>
  <si>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</si>
  <si>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</si>
  <si>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</si>
  <si>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</si>
  <si>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</si>
  <si>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</si>
  <si>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</si>
  <si>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</si>
  <si>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</si>
  <si>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</si>
  <si>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</si>
  <si>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</si>
  <si>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</si>
  <si>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</si>
  <si>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</si>
  <si>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</si>
  <si>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</si>
  <si>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</si>
  <si>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</si>
  <si>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</si>
  <si>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</si>
  <si>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</si>
  <si>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</si>
  <si>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</si>
  <si>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</si>
  <si>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</si>
  <si>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</si>
  <si>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</si>
  <si>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</si>
  <si>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</si>
  <si>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</si>
  <si>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</si>
  <si>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</si>
  <si>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</si>
  <si>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</si>
  <si>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</si>
  <si>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</si>
  <si>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</si>
  <si>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</si>
  <si>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</si>
  <si>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</si>
  <si>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</si>
  <si>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</si>
  <si>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</si>
  <si>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</si>
  <si>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</si>
  <si>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</si>
  <si>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</si>
  <si>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</si>
  <si>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</si>
  <si>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</si>
  <si>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</si>
  <si>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</si>
  <si>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</si>
  <si>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</si>
  <si>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</si>
  <si>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</si>
  <si>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</si>
  <si>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</si>
  <si>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</si>
  <si>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</si>
  <si>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</si>
  <si>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</si>
  <si>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</si>
  <si>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</si>
  <si>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</si>
  <si>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</si>
  <si>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</si>
  <si>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</si>
  <si>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</si>
  <si>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</si>
  <si>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</si>
  <si>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</si>
  <si>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</si>
  <si>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</si>
  <si>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</si>
  <si>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</si>
  <si>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</si>
  <si>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</si>
  <si>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</si>
  <si>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</si>
  <si>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</si>
  <si>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</si>
  <si>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</si>
  <si>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</si>
  <si>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</si>
  <si>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</si>
  <si>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</si>
  <si>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</si>
  <si>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</si>
  <si>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</si>
  <si>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</si>
  <si>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</si>
  <si>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</si>
  <si>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</si>
  <si>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</si>
  <si>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</si>
  <si>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</si>
  <si>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</si>
  <si>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</si>
  <si>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</si>
  <si>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</si>
  <si>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</si>
  <si>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</si>
  <si>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</si>
  <si>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</si>
  <si>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</si>
  <si>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</si>
  <si>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</si>
  <si>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</si>
  <si>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</si>
  <si>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</si>
  <si>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</si>
  <si>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</si>
  <si>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</si>
  <si>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</si>
  <si>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</si>
  <si>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</si>
  <si>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</si>
  <si>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</si>
  <si>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</si>
  <si>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</si>
  <si>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</si>
  <si>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</si>
  <si>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</si>
  <si>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</si>
  <si>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</si>
  <si>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</si>
  <si>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</si>
  <si>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</si>
  <si>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</si>
  <si>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</si>
  <si>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</si>
  <si>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</si>
  <si>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</si>
  <si>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</si>
  <si>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</si>
  <si>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</si>
  <si>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</si>
  <si>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</si>
  <si>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</si>
  <si>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</si>
  <si>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</si>
  <si>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</si>
  <si>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</si>
  <si>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</si>
  <si>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</si>
  <si>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</si>
  <si>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</si>
  <si>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</si>
  <si>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</si>
  <si>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</si>
  <si>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</si>
  <si>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</si>
  <si>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</si>
  <si>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</si>
  <si>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</si>
  <si>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</si>
  <si>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</si>
  <si>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</si>
  <si>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</si>
  <si>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</si>
  <si>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</si>
  <si>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</si>
  <si>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</si>
  <si>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</si>
  <si>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</si>
  <si>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</si>
  <si>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</si>
  <si>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</si>
  <si>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</si>
  <si>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</si>
  <si>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</si>
  <si>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</si>
  <si>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</si>
  <si>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</si>
  <si>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</si>
  <si>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</si>
  <si>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</si>
  <si>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</si>
  <si>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</si>
  <si>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</si>
  <si>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</si>
  <si>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</si>
  <si>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</si>
  <si>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</si>
  <si>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</si>
  <si>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</si>
  <si>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</si>
  <si>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</si>
  <si>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</si>
  <si>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</si>
  <si>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</si>
  <si>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</si>
  <si>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</si>
  <si>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</si>
  <si>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</si>
  <si>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</si>
  <si>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</si>
  <si>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</si>
  <si>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</si>
  <si>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</si>
  <si>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</si>
  <si>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</si>
  <si>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</si>
  <si>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</si>
  <si>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</si>
  <si>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</si>
  <si>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</si>
  <si>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</si>
  <si>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</si>
  <si>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</si>
  <si>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</si>
  <si>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</si>
  <si>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</si>
  <si>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</si>
  <si>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</si>
  <si>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</si>
  <si>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</si>
  <si>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</si>
  <si>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</si>
  <si>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</si>
  <si>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</si>
  <si>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</si>
  <si>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</si>
  <si>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</si>
  <si>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</si>
  <si>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</si>
  <si>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</si>
  <si>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</si>
  <si>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</si>
  <si>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</si>
  <si>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</si>
  <si>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</si>
  <si>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</si>
  <si>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</si>
  <si>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</si>
  <si>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</si>
  <si>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</si>
  <si>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</si>
  <si>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</si>
  <si>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</si>
  <si>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</si>
  <si>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</si>
  <si>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</si>
  <si>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</si>
  <si>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</si>
  <si>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</si>
  <si>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</si>
  <si>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</si>
  <si>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</si>
  <si>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</si>
  <si>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</si>
  <si>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</si>
  <si>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</si>
  <si>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</si>
  <si>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</si>
  <si>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</si>
  <si>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</si>
  <si>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</si>
  <si>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</si>
  <si>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</si>
  <si>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</si>
  <si>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</si>
  <si>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</si>
  <si>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</si>
  <si>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</si>
  <si>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</si>
  <si>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</si>
  <si>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</si>
  <si>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</si>
  <si>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</si>
  <si>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</si>
  <si>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</si>
  <si>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</si>
  <si>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</si>
  <si>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</si>
  <si>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</si>
  <si>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</si>
  <si>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</si>
  <si>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</si>
  <si>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</si>
  <si>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</si>
  <si>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</si>
  <si>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</si>
  <si>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</si>
  <si>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</si>
  <si>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</si>
  <si>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</si>
  <si>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</si>
  <si>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</si>
  <si>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</si>
  <si>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</si>
  <si>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</si>
  <si>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</si>
  <si>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</si>
  <si>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</si>
  <si>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</si>
  <si>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</si>
  <si>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</si>
  <si>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</si>
  <si>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</si>
  <si>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</si>
  <si>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</si>
  <si>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</si>
  <si>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</si>
  <si>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</si>
  <si>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</si>
  <si>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</si>
  <si>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</si>
  <si>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</si>
  <si>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</si>
  <si>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</si>
  <si>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</si>
  <si>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</si>
  <si>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</si>
  <si>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</si>
  <si>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</si>
  <si>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</si>
  <si>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</si>
  <si>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</si>
  <si>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</si>
  <si>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</si>
  <si>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</si>
  <si>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</si>
  <si>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</si>
  <si>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</si>
  <si>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</si>
  <si>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</si>
  <si>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</si>
  <si>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</si>
  <si>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</si>
  <si>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</si>
  <si>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</si>
  <si>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</si>
  <si>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</si>
  <si>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</si>
  <si>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</si>
  <si>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</si>
  <si>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</si>
  <si>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</si>
  <si>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</si>
  <si>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</si>
  <si>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</si>
  <si>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</si>
  <si>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</si>
  <si>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</si>
  <si>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</si>
  <si>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</si>
  <si>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</si>
  <si>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</si>
  <si>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</si>
  <si>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</si>
  <si>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</si>
  <si>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</si>
  <si>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</si>
  <si>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</si>
  <si>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</si>
  <si>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</si>
  <si>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</si>
  <si>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</si>
  <si>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</si>
  <si>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</si>
  <si>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</si>
  <si>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</si>
  <si>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</si>
  <si>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</si>
  <si>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</si>
  <si>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</si>
  <si>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</si>
  <si>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</si>
  <si>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</si>
  <si>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</si>
  <si>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</si>
  <si>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</si>
  <si>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</si>
  <si>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</si>
  <si>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</si>
  <si>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</si>
  <si>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</si>
  <si>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</si>
  <si>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</si>
  <si>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</si>
  <si>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</si>
  <si>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</si>
  <si>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</si>
  <si>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</si>
  <si>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</si>
  <si>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</si>
  <si>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</si>
  <si>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</si>
  <si>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</si>
  <si>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</si>
  <si>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</si>
  <si>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</si>
  <si>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</si>
  <si>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</si>
  <si>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</si>
  <si>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</si>
  <si>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</si>
  <si>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</si>
  <si>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</si>
  <si>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</si>
  <si>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</si>
  <si>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</si>
  <si>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</si>
  <si>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</si>
  <si>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</si>
  <si>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</si>
  <si>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</si>
  <si>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</si>
  <si>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</si>
  <si>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</si>
  <si>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</si>
  <si>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</si>
  <si>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</si>
  <si>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</si>
  <si>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</si>
  <si>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</si>
  <si>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</si>
  <si>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</si>
  <si>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</si>
  <si>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</si>
  <si>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</si>
  <si>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</si>
  <si>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</si>
  <si>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</si>
  <si>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</si>
  <si>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</si>
  <si>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</si>
  <si>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</si>
  <si>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</si>
  <si>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</si>
  <si>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</si>
  <si>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</si>
  <si>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</si>
  <si>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</si>
  <si>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</si>
  <si>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</si>
  <si>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</si>
  <si>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</si>
  <si>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</si>
  <si>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</si>
  <si>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</si>
  <si>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</si>
  <si>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</si>
  <si>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</si>
  <si>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</si>
  <si>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</si>
  <si>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</si>
  <si>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</si>
  <si>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</si>
  <si>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</si>
  <si>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</si>
  <si>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</si>
  <si>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</si>
  <si>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</si>
  <si>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</si>
  <si>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</si>
  <si>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</si>
  <si>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</si>
  <si>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</si>
  <si>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</si>
  <si>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</si>
  <si>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</si>
  <si>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</si>
  <si>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</si>
  <si>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</si>
  <si>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</si>
  <si>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</si>
  <si>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</si>
  <si>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</si>
  <si>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</si>
  <si>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</si>
  <si>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</si>
  <si>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</si>
  <si>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</si>
  <si>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</si>
  <si>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</si>
  <si>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</si>
  <si>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</si>
  <si>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</si>
  <si>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</si>
  <si>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</si>
  <si>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</si>
  <si>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</si>
  <si>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</si>
  <si>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</si>
  <si>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</si>
  <si>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</si>
  <si>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</si>
  <si>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</si>
  <si>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</si>
  <si>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</si>
  <si>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</si>
  <si>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</si>
  <si>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</si>
  <si>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</si>
  <si>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</si>
  <si>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</si>
  <si>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</si>
  <si>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</si>
  <si>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</si>
  <si>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</si>
  <si>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</si>
  <si>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</si>
  <si>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</si>
  <si>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</si>
  <si>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</si>
  <si>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</si>
  <si>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</si>
  <si>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</si>
  <si>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</si>
  <si>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</si>
  <si>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</si>
  <si>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</si>
  <si>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</si>
  <si>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</si>
  <si>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</si>
  <si>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</si>
  <si>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</si>
  <si>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</si>
  <si>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</si>
  <si>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</si>
  <si>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</si>
  <si>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</si>
  <si>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</si>
  <si>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</si>
  <si>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</si>
  <si>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</si>
  <si>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</si>
  <si>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</si>
  <si>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</si>
  <si>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</si>
  <si>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</si>
  <si>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</si>
  <si>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</si>
  <si>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</si>
  <si>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</si>
  <si>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</si>
  <si>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</si>
  <si>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</si>
  <si>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</si>
  <si>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</si>
  <si>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</si>
  <si>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</si>
  <si>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</si>
  <si>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</si>
  <si>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</si>
  <si>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</si>
  <si>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</si>
  <si>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</si>
  <si>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</si>
  <si>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</si>
  <si>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</si>
  <si>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</si>
  <si>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</si>
  <si>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</si>
  <si>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</si>
  <si>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</si>
  <si>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</si>
  <si>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</si>
  <si>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</si>
  <si>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</si>
  <si>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</si>
  <si>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</si>
  <si>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</si>
  <si>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</si>
  <si>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</si>
  <si>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</si>
  <si>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</si>
  <si>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</si>
  <si>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</si>
  <si>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</si>
  <si>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</si>
  <si>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</si>
  <si>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</si>
  <si>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</si>
  <si>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</si>
  <si>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</si>
  <si>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</si>
  <si>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</si>
  <si>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</si>
  <si>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</si>
  <si>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</si>
  <si>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</si>
  <si>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</si>
  <si>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</si>
  <si>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</si>
  <si>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</si>
  <si>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</si>
  <si>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C:\Users\nerea.fraile\EUROLEAGUE\EB STATS - Documents\General\SEASON 2025-26\Reports\Euroleague\PDF</t>
  </si>
  <si>
    <t>C:\Users\nerea.fraile\EUROLEAGUE\EB STATS - Documents\General\SEASON 2025-26\Reports\Euroleague</t>
  </si>
  <si>
    <t>JAIME LAQUIDAIN</t>
  </si>
  <si>
    <t>VICTOR LAQUIDAIN</t>
  </si>
  <si>
    <t>PABLO KELLER</t>
  </si>
  <si>
    <t>NOA GARCIA</t>
  </si>
  <si>
    <t>INES RAQUEL PIATKOWSKA</t>
  </si>
  <si>
    <t>ALVARO PENALBA</t>
  </si>
  <si>
    <t>07:49</t>
  </si>
  <si>
    <t>07:30</t>
  </si>
  <si>
    <t>06:48</t>
  </si>
  <si>
    <t>Very good job! You were very accurate and focused throughout the entire match. Remember, when you need to edit the value of a shot, it's best delete it and then add it again with the correction (this prevents it from appearing twice on the shot card). Keep going like this!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</si>
</sst>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08_074_MAD_ULK_E2025</v>
      </c>
      <c r="G1" s="5"/>
      <c r="H1" s="5"/>
      <c r="I1" s="5"/>
      <c r="J1" s="8" t="s">
        <v>707</v>
      </c>
      <c r="K1" s="121" t="s">
        <v>751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74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45960.875</v>
      </c>
      <c r="C3" s="157"/>
      <c r="D3" s="39">
        <v>591</v>
      </c>
      <c r="E3" s="29"/>
      <c r="F3" s="26">
        <f>SUBTOTAL(3,I17:I106)</f>
        <v>3</v>
      </c>
      <c r="G3" s="27">
        <f>IF(OR(D3="",D3=0),"",F3/D3)</f>
        <v>5.076142131979695E-3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Real Madrid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742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5.076142131979695E-3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Fenerbahce Beko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0.50761421319796951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752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4.5076142131979697</v>
      </c>
      <c r="N7" s="58"/>
      <c r="O7" s="2"/>
      <c r="P7" s="2"/>
      <c r="Q7" s="86">
        <f>SUM(R5,S5,AC16)</f>
        <v>4.5076142131979697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4.5076142131979697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756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757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74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74</v>
      </c>
      <c r="D17" s="32" t="s">
        <v>758</v>
      </c>
      <c r="E17" s="33">
        <v>1</v>
      </c>
      <c r="F17" s="36">
        <v>9</v>
      </c>
      <c r="G17" s="36">
        <v>2</v>
      </c>
      <c r="H17" s="38" t="str">
        <f>IF(I17="","",$I$14)</f>
        <v>SCOUTING</v>
      </c>
      <c r="I17" s="34">
        <v>22</v>
      </c>
      <c r="J17" s="13" t="s">
        <v>4</v>
      </c>
      <c r="K17" s="13" t="s">
        <v>63</v>
      </c>
      <c r="L17" s="13" t="s">
        <v>7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74</v>
      </c>
      <c r="D18" s="32" t="s">
        <v>759</v>
      </c>
      <c r="E18" s="33">
        <v>2</v>
      </c>
      <c r="F18" s="36">
        <v>29</v>
      </c>
      <c r="G18" s="36">
        <v>20</v>
      </c>
      <c r="H18" s="38" t="str">
        <f t="shared" ref="H18:H81" si="8">IF(I18="","",$I$14)</f>
        <v>SCOUTING</v>
      </c>
      <c r="I18" s="34">
        <v>166</v>
      </c>
      <c r="J18" s="13" t="s">
        <v>4</v>
      </c>
      <c r="K18" s="13" t="s">
        <v>62</v>
      </c>
      <c r="L18" s="13" t="s">
        <v>5</v>
      </c>
      <c r="M18" s="13" t="s">
        <v>26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74</v>
      </c>
      <c r="D19" s="32" t="s">
        <v>760</v>
      </c>
      <c r="E19" s="33">
        <v>4</v>
      </c>
      <c r="F19" s="36">
        <v>71</v>
      </c>
      <c r="G19" s="36">
        <v>42</v>
      </c>
      <c r="H19" s="38" t="str">
        <f t="shared" si="8"/>
        <v>SCOUTING</v>
      </c>
      <c r="I19" s="34">
        <v>507</v>
      </c>
      <c r="J19" s="13" t="s">
        <v>4</v>
      </c>
      <c r="K19" s="13" t="s">
        <v>63</v>
      </c>
      <c r="L19" s="13" t="s">
        <v>6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REPORT_E2025074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"E2025074"</v>
      </c>
      <c r="F3" s="45" t="str">
        <f t="shared" ref="F3:F16" si="0">""""&amp;B3&amp;"""" &amp; " : " &amp;C3&amp;","</f>
        <v>"name" : "E2025074",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"E074"</v>
      </c>
      <c r="F4" s="45" t="str">
        <f t="shared" si="0"/>
        <v>"cod" : "E074",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074</v>
      </c>
      <c r="F6" s="45" t="str">
        <f t="shared" si="0"/>
        <v>"number" : 074,</v>
      </c>
    </row>
    <row r="7" spans="2:6" x14ac:dyDescent="0.25">
      <c r="B7" s="43" t="s">
        <v>116</v>
      </c>
      <c r="C7" s="43" t="str">
        <f ca="1">""""&amp;TEXT('SCOUT &amp; LOGISTICS'!B3,"dd/mm/aaaa")&amp;""""</f>
        <v>"30/10/Thursday"</v>
      </c>
      <c r="F7" s="45" t="str">
        <f t="shared" ca="1" si="0"/>
        <v>"date" : "30/10/Thursday",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"JAIME LAQUIDAIN"</v>
      </c>
      <c r="F10" s="45" t="str">
        <f t="shared" si="0"/>
        <v>"Data_entry" : "JAIME LAQUIDAIN",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"VICTOR LAQUIDAIN"</v>
      </c>
      <c r="F11" s="45" t="str">
        <f t="shared" si="0"/>
        <v>"Caller_1" : "VICTOR LAQUIDAIN",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"PABLO KELLER"</v>
      </c>
      <c r="F12" s="45" t="str">
        <f t="shared" si="0"/>
        <v>"Caller_2" : "PABLO KELLER",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"INES RAQUEL PIATKOWSKA"</v>
      </c>
      <c r="F13" s="45" t="str">
        <f t="shared" si="0"/>
        <v>"Timerkeeper" : "INES RAQUEL PIATKOWSKA",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"NOA GARCIA"</v>
      </c>
      <c r="F14" s="45" t="str">
        <f t="shared" si="0"/>
        <v>"Shotclock" : "NOA GARCIA",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"ALVARO PENALBA"</v>
      </c>
      <c r="F15" s="45" t="str">
        <f t="shared" si="0"/>
        <v>"IRS" : "ALVARO PENALBA",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591</v>
      </c>
      <c r="F25" s="45" t="str">
        <f t="shared" ref="F25:F48" si="1">""""&amp;C25&amp;"""" &amp; " : " &amp;D25&amp;","</f>
        <v>"total_actions" : 591,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You were very accurate and focused throughout the entire match. Remember, when you need to edit the value of a shot, it's best delete it and then add it again with the correction (this prevents it from appearing twice on the shot card). Keep going like this!"</v>
      </c>
      <c r="F51" s="45" t="str">
        <f>""""&amp;B51&amp;"""" &amp; " : " &amp;C51&amp;","</f>
        <v>"comments" : "Very good job! You were very accurate and focused throughout the entire match. Remember, when you need to edit the value of a shot, it's best delete it and then add it again with the correction (this prevents it from appearing twice on the shot card). Keep going like this!",</v>
      </c>
    </row>
    <row r="52" spans="2:6" x14ac:dyDescent="0.25">
      <c r="B52" s="43" t="s">
        <v>153</v>
      </c>
      <c r="C52" s="43" t="str">
        <f>TEXT('SCOUT &amp; LOGISTICS'!F1,"0,0")</f>
        <v>08_074_MAD_ULK_E2025</v>
      </c>
      <c r="F52" s="45" t="str">
        <f>""""&amp;B52&amp;"""" &amp; " : " &amp;C52</f>
        <v>"result" : 08_074_MAD_ULK_E2025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E074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30/10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Real Madrid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Fenerbahce Beko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JAIME LAQUIDAIN</v>
      </c>
      <c r="C8" s="206"/>
      <c r="D8" s="206"/>
      <c r="E8" s="206"/>
      <c r="F8" s="206"/>
      <c r="G8" s="206" t="str">
        <f>IF('SCOUT &amp; LOGISTICS'!D7="","",'SCOUT &amp; LOGISTICS'!D7)</f>
        <v>VICTOR LAQUIDAIN</v>
      </c>
      <c r="H8" s="206"/>
      <c r="I8" s="206"/>
      <c r="J8" s="206"/>
      <c r="K8" s="206"/>
      <c r="L8" s="206" t="str">
        <f>IF('SCOUT &amp; LOGISTICS'!D8="","",'SCOUT &amp; LOGISTICS'!D8)</f>
        <v>PABLO KELLER</v>
      </c>
      <c r="M8" s="206"/>
      <c r="N8" s="206"/>
      <c r="O8" s="206"/>
      <c r="P8" s="206"/>
      <c r="Q8" s="206" t="str">
        <f>IF('SCOUT &amp; LOGISTICS'!D9="","",'SCOUT &amp; LOGISTICS'!D9)</f>
        <v>INES RAQUEL PIATKOWSKA</v>
      </c>
      <c r="R8" s="206"/>
      <c r="S8" s="206"/>
      <c r="T8" s="206"/>
      <c r="U8" s="206"/>
      <c r="V8" s="206" t="str">
        <f>IF('SCOUT &amp; LOGISTICS'!D10="","",'SCOUT &amp; LOGISTICS'!D10)</f>
        <v>NOA GARCIA</v>
      </c>
      <c r="W8" s="206"/>
      <c r="X8" s="206"/>
      <c r="Y8" s="206"/>
      <c r="Z8" s="206"/>
      <c r="AA8" s="206" t="str">
        <f>IF('SCOUT &amp; LOGISTICS'!D11="","",'SCOUT &amp; LOGISTICS'!D11)</f>
        <v>ALVARO PENALBA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591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5.076142131979695E-3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You were very accurate and focused throughout the entire match. Remember, when you need to edit the value of a shot, it's best delete it and then add it again with the correction (this prevents it from appearing twice on the shot card). Keep going like this!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4.5076142131979697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95B5518-5FB1-456D-99C4-2FB63D4E63E5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2025-10-31T15:45:15Z</cp:lastPrinted>
  <dcterms:created xsi:type="dcterms:W3CDTF">2023-09-19T19:50:35Z</dcterms:created>
  <dcterms:modified xsi:type="dcterms:W3CDTF">2025-10-31T15:45:17Z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