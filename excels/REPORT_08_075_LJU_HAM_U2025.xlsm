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5" documentId="8_{185C17A1-B2AD-4386-9028-53908ABCF940}" xr6:coauthVersionLast="47" xr6:coauthVersionMax="47" xr10:uidLastSave="{CEABD796-4154-475D-9544-A66379D24D5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<sst xmlns="http://schemas.openxmlformats.org/spreadsheetml/2006/main" count="3274" uniqueCount="764">
  <si>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</si>
  <si>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</si>
  <si>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</si>
  <si>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</si>
  <si>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</si>
  <si>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</si>
  <si>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</si>
  <si>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</si>
  <si>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</si>
  <si>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</si>
  <si>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</si>
  <si>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</si>
  <si>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</si>
  <si>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</si>
  <si>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</si>
  <si>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</si>
  <si>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</si>
  <si>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</si>
  <si>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</si>
  <si>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</si>
  <si>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</si>
  <si>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</si>
  <si>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</si>
  <si>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</si>
  <si>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</si>
  <si>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</si>
  <si>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</si>
  <si>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</si>
  <si>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</si>
  <si>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</si>
  <si>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</si>
  <si>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</si>
  <si>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</si>
  <si>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</si>
  <si>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</si>
  <si>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</si>
  <si>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</si>
  <si>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</si>
  <si>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</si>
  <si>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</si>
  <si>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</si>
  <si>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</si>
  <si>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</si>
  <si>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</si>
  <si>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</si>
  <si>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</si>
  <si>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</si>
  <si>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</si>
  <si>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</si>
  <si>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</si>
  <si>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</si>
  <si>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</si>
  <si>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</si>
  <si>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</si>
  <si>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</si>
  <si>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</si>
  <si>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</si>
  <si>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</si>
  <si>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</si>
  <si>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</si>
  <si>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</si>
  <si>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</si>
  <si>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</si>
  <si>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</si>
  <si>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</si>
  <si>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</si>
  <si>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</si>
  <si>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</si>
  <si>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</si>
  <si>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</si>
  <si>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</si>
  <si>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</si>
  <si>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</si>
  <si>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</si>
  <si>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</si>
  <si>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</si>
  <si>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</si>
  <si>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</si>
  <si>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</si>
  <si>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</si>
  <si>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</si>
  <si>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</si>
  <si>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</si>
  <si>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</si>
  <si>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</si>
  <si>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</si>
  <si>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</si>
  <si>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</si>
  <si>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</si>
  <si>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</si>
  <si>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</si>
  <si>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</si>
  <si>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</si>
  <si>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</si>
  <si>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</si>
  <si>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</si>
  <si>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</si>
  <si>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</si>
  <si>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</si>
  <si>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</si>
  <si>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</si>
  <si>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</si>
  <si>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</si>
  <si>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</si>
  <si>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</si>
  <si>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</si>
  <si>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</si>
  <si>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</si>
  <si>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</si>
  <si>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</si>
  <si>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</si>
  <si>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</si>
  <si>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</si>
  <si>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</si>
  <si>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</si>
  <si>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</si>
  <si>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</si>
  <si>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</si>
  <si>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</si>
  <si>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</si>
  <si>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</si>
  <si>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</si>
  <si>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</si>
  <si>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</si>
  <si>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</si>
  <si>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</si>
  <si>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</si>
  <si>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</si>
  <si>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</si>
  <si>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</si>
  <si>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</si>
  <si>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</si>
  <si>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</si>
  <si>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</si>
  <si>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</si>
  <si>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</si>
  <si>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</si>
  <si>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</si>
  <si>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</si>
  <si>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</si>
  <si>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</si>
  <si>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</si>
  <si>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</si>
  <si>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</si>
  <si>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</si>
  <si>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</si>
  <si>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</si>
  <si>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</si>
  <si>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</si>
  <si>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</si>
  <si>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</si>
  <si>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</si>
  <si>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</si>
  <si>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</si>
  <si>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</si>
  <si>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</si>
  <si>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</si>
  <si>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</si>
  <si>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</si>
  <si>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</si>
  <si>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</si>
  <si>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</si>
  <si>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</si>
  <si>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</si>
  <si>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</si>
  <si>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</si>
  <si>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</si>
  <si>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</si>
  <si>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</si>
  <si>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</si>
  <si>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</si>
  <si>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</si>
  <si>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</si>
  <si>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</si>
  <si>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</si>
  <si>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</si>
  <si>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</si>
  <si>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</si>
  <si>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</si>
  <si>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</si>
  <si>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</si>
  <si>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</si>
  <si>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</si>
  <si>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</si>
  <si>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</si>
  <si>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</si>
  <si>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</si>
  <si>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</si>
  <si>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</si>
  <si>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</si>
  <si>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</si>
  <si>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</si>
  <si>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</si>
  <si>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</si>
  <si>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</si>
  <si>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</si>
  <si>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</si>
  <si>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</si>
  <si>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</si>
  <si>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</si>
  <si>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</si>
  <si>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</si>
  <si>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</si>
  <si>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</si>
  <si>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</si>
  <si>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</si>
  <si>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</si>
  <si>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</si>
  <si>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</si>
  <si>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</si>
  <si>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</si>
  <si>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</si>
  <si>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</si>
  <si>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</si>
  <si>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</si>
  <si>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</si>
  <si>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</si>
  <si>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</si>
  <si>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</si>
  <si>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</si>
  <si>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</si>
  <si>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</si>
  <si>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</si>
  <si>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</si>
  <si>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</si>
  <si>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</si>
  <si>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</si>
  <si>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</si>
  <si>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</si>
  <si>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</si>
  <si>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</si>
  <si>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</si>
  <si>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</si>
  <si>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</si>
  <si>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</si>
  <si>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</si>
  <si>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</si>
  <si>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</si>
  <si>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</si>
  <si>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</si>
  <si>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</si>
  <si>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</si>
  <si>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</si>
  <si>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</si>
  <si>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</si>
  <si>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</si>
  <si>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</si>
  <si>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</si>
  <si>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</si>
  <si>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</si>
  <si>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</si>
  <si>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</si>
  <si>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</si>
  <si>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</si>
  <si>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</si>
  <si>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</si>
  <si>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</si>
  <si>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</si>
  <si>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</si>
  <si>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</si>
  <si>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</si>
  <si>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</si>
  <si>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</si>
  <si>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</si>
  <si>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</si>
  <si>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</si>
  <si>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</si>
  <si>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</si>
  <si>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</si>
  <si>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</si>
  <si>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</si>
  <si>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</si>
  <si>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</si>
  <si>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</si>
  <si>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</si>
  <si>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</si>
  <si>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</si>
  <si>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</si>
  <si>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</si>
  <si>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</si>
  <si>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</si>
  <si>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</si>
  <si>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</si>
  <si>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</si>
  <si>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</si>
  <si>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</si>
  <si>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</si>
  <si>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</si>
  <si>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</si>
  <si>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</si>
  <si>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</si>
  <si>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</si>
  <si>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</si>
  <si>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</si>
  <si>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</si>
  <si>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</si>
  <si>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</si>
  <si>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</si>
  <si>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</si>
  <si>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</si>
  <si>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</si>
  <si>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</si>
  <si>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</si>
  <si>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</si>
  <si>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</si>
  <si>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</si>
  <si>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</si>
  <si>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</si>
  <si>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</si>
  <si>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</si>
  <si>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</si>
  <si>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</si>
  <si>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</si>
  <si>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</si>
  <si>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</si>
  <si>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</si>
  <si>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</si>
  <si>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</si>
  <si>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</si>
  <si>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</si>
  <si>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</si>
  <si>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</si>
  <si>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</si>
  <si>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</si>
  <si>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</si>
  <si>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</si>
  <si>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</si>
  <si>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</si>
  <si>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</si>
  <si>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</si>
  <si>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</si>
  <si>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</si>
  <si>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</si>
  <si>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</si>
  <si>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</si>
  <si>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</si>
  <si>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</si>
  <si>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</si>
  <si>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</si>
  <si>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</si>
  <si>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</si>
  <si>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</si>
  <si>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</si>
  <si>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</si>
  <si>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</si>
  <si>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</si>
  <si>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</si>
  <si>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</si>
  <si>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</si>
  <si>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</si>
  <si>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</si>
  <si>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</si>
  <si>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</si>
  <si>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</si>
  <si>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</si>
  <si>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</si>
  <si>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</si>
  <si>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</si>
  <si>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</si>
  <si>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</si>
  <si>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</si>
  <si>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</si>
  <si>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</si>
  <si>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</si>
  <si>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</si>
  <si>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</si>
  <si>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</si>
  <si>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</si>
  <si>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</si>
  <si>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</si>
  <si>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</si>
  <si>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</si>
  <si>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</si>
  <si>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</si>
  <si>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</si>
  <si>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</si>
  <si>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</si>
  <si>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</si>
  <si>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</si>
  <si>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</si>
  <si>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</si>
  <si>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</si>
  <si>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</si>
  <si>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</si>
  <si>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</si>
  <si>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</si>
  <si>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</si>
  <si>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</si>
  <si>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</si>
  <si>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</si>
  <si>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</si>
  <si>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</si>
  <si>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</si>
  <si>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</si>
  <si>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</si>
  <si>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</si>
  <si>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</si>
  <si>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</si>
  <si>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</si>
  <si>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</si>
  <si>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</si>
  <si>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</si>
  <si>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</si>
  <si>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</si>
  <si>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</si>
  <si>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</si>
  <si>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</si>
  <si>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</si>
  <si>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</si>
  <si>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</si>
  <si>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</si>
  <si>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</si>
  <si>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</si>
  <si>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</si>
  <si>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</si>
  <si>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</si>
  <si>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</si>
  <si>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</si>
  <si>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</si>
  <si>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</si>
  <si>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</si>
  <si>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</si>
  <si>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</si>
  <si>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</si>
  <si>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</si>
  <si>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</si>
  <si>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</si>
  <si>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</si>
  <si>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</si>
  <si>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</si>
  <si>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</si>
  <si>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</si>
  <si>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</si>
  <si>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</si>
  <si>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</si>
  <si>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</si>
  <si>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</si>
  <si>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</si>
  <si>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</si>
  <si>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</si>
  <si>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</si>
  <si>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</si>
  <si>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</si>
  <si>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</si>
  <si>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</si>
  <si>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</si>
  <si>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</si>
  <si>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</si>
  <si>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</si>
  <si>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</si>
  <si>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</si>
  <si>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</si>
  <si>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</si>
  <si>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</si>
  <si>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</si>
  <si>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</si>
  <si>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</si>
  <si>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</si>
  <si>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</si>
  <si>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</si>
  <si>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</si>
  <si>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</si>
  <si>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</si>
  <si>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</si>
  <si>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</si>
  <si>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</si>
  <si>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</si>
  <si>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</si>
  <si>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</si>
  <si>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</si>
  <si>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</si>
  <si>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</si>
  <si>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</si>
  <si>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</si>
  <si>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</si>
  <si>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</si>
  <si>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</si>
  <si>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</si>
  <si>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</si>
  <si>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</si>
  <si>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</si>
  <si>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</si>
  <si>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</si>
  <si>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</si>
  <si>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</si>
  <si>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</si>
  <si>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</si>
  <si>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</si>
  <si>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</si>
  <si>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</si>
  <si>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</si>
  <si>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</si>
  <si>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</si>
  <si>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</si>
  <si>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</si>
  <si>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</si>
  <si>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</si>
  <si>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</si>
  <si>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</si>
  <si>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</si>
  <si>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</si>
  <si>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</si>
  <si>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</si>
  <si>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</si>
  <si>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</si>
  <si>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</si>
  <si>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</si>
  <si>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</si>
  <si>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</si>
  <si>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</si>
  <si>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</si>
  <si>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</si>
  <si>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</si>
  <si>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</si>
  <si>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</si>
  <si>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</si>
  <si>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</si>
  <si>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</si>
  <si>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</si>
  <si>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</si>
  <si>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</si>
  <si>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</si>
  <si>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</si>
  <si>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</si>
  <si>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</si>
  <si>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</si>
  <si>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</si>
  <si>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</si>
  <si>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</si>
  <si>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</si>
  <si>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</si>
  <si>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</si>
  <si>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</si>
  <si>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</si>
  <si>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</si>
  <si>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</si>
  <si>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</si>
  <si>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</si>
  <si>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</si>
  <si>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</si>
  <si>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</si>
  <si>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</si>
  <si>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</si>
  <si>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</si>
  <si>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</si>
  <si>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</si>
  <si>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</si>
  <si>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</si>
  <si>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</si>
  <si>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</si>
  <si>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</si>
  <si>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</si>
  <si>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</si>
  <si>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</si>
  <si>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</si>
  <si>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</si>
  <si>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</si>
  <si>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</si>
  <si>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</si>
  <si>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</si>
  <si>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</si>
  <si>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</si>
  <si>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</si>
  <si>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</si>
  <si>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</si>
  <si>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</si>
  <si>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</si>
  <si>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</si>
  <si>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</si>
  <si>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</si>
  <si>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</si>
  <si>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</si>
  <si>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</si>
  <si>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</si>
  <si>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</si>
  <si>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</si>
  <si>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</si>
  <si>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</si>
  <si>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</si>
  <si>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</si>
  <si>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</si>
  <si>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</si>
  <si>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</si>
  <si>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</si>
  <si>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</si>
  <si>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</si>
  <si>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</si>
  <si>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</si>
  <si>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</si>
  <si>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</si>
  <si>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</si>
  <si>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</si>
  <si>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</si>
  <si>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</si>
  <si>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</si>
  <si>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</si>
  <si>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</si>
  <si>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</si>
  <si>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</si>
  <si>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</si>
  <si>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</si>
  <si>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</si>
  <si>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</si>
  <si>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</si>
  <si>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</si>
  <si>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</si>
  <si>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</si>
  <si>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</si>
  <si>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</si>
  <si>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</si>
  <si>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</si>
  <si>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</si>
  <si>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</si>
  <si>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</si>
  <si>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</si>
  <si>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</si>
  <si>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</si>
  <si>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</si>
  <si>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</si>
  <si>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</si>
  <si>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</si>
  <si>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</si>
  <si>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</si>
  <si>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</si>
  <si>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</si>
  <si>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</si>
  <si>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</si>
  <si>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</si>
  <si>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</si>
  <si>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</si>
  <si>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</si>
  <si>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</si>
  <si>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</si>
  <si>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</si>
  <si>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</si>
  <si>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</si>
  <si>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</si>
  <si>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</si>
  <si>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</si>
  <si>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</si>
  <si>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</si>
  <si>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</si>
  <si>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</si>
  <si>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</si>
  <si>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</si>
  <si>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</si>
  <si>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</si>
  <si>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</si>
  <si>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</si>
  <si>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</si>
  <si>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</si>
  <si>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</si>
  <si>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</si>
  <si>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</si>
  <si>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</si>
  <si>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</si>
  <si>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</si>
  <si>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</si>
  <si>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</si>
  <si>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</si>
  <si>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</si>
  <si>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</si>
  <si>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</si>
  <si>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</si>
  <si>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</si>
  <si>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</si>
  <si>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</si>
  <si>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</si>
  <si>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</si>
  <si>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</si>
  <si>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</si>
  <si>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</si>
  <si>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</si>
  <si>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</si>
  <si>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</si>
  <si>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</si>
  <si>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</si>
  <si>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</si>
  <si>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</si>
  <si>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</si>
  <si>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</si>
  <si>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</si>
  <si>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</si>
  <si>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</si>
  <si>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</si>
  <si>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</si>
  <si>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</si>
  <si>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</si>
  <si>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</si>
  <si>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</si>
  <si>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</si>
  <si>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</si>
  <si>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</si>
  <si>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</si>
  <si>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</si>
  <si>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</si>
  <si>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</si>
  <si>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</si>
  <si>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</si>
  <si>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</si>
  <si>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</si>
  <si>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</si>
  <si>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</si>
  <si>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</si>
  <si>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</si>
  <si>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</si>
  <si>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</si>
  <si>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</si>
  <si>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</si>
  <si>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</si>
  <si>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</si>
  <si>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</si>
  <si>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</si>
  <si>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</si>
  <si>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</si>
  <si>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</si>
  <si>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</si>
  <si>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</si>
  <si>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</si>
  <si>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</si>
  <si>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</si>
  <si>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</si>
  <si>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</si>
  <si>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</si>
  <si>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</si>
  <si>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</si>
  <si>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</si>
  <si>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</si>
  <si>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</si>
  <si>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</si>
  <si>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</si>
  <si>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</si>
  <si>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</si>
  <si>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</si>
  <si>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</si>
  <si>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</si>
  <si>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</si>
  <si>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</si>
  <si>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</si>
  <si>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</si>
  <si>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</si>
  <si>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</si>
  <si>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</si>
  <si>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</si>
  <si>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</si>
  <si>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</si>
  <si>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</si>
  <si>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</si>
  <si>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</si>
  <si>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</t>
  </si>
  <si>
    <t>C:\Users\hector.guillen\EUROLEAGUE\EB STATS - Documents\General\SEASON 2025-26\Reports\Eurocup\PDF</t>
  </si>
  <si>
    <t>5:45</t>
  </si>
  <si>
    <t>0:57</t>
  </si>
  <si>
    <t>0:24</t>
  </si>
  <si>
    <t>0:00</t>
  </si>
  <si>
    <t>7:14</t>
  </si>
  <si>
    <t>4:12</t>
  </si>
  <si>
    <t>ZIGA BENKO</t>
  </si>
  <si>
    <t>MATIC MARKIC</t>
  </si>
  <si>
    <t>SILVO MARKIC</t>
  </si>
  <si>
    <t>GORAN HODZIC</t>
  </si>
  <si>
    <t>ZIGA JANEZ</t>
  </si>
  <si>
    <t>HECTOR GUILLEN</t>
  </si>
  <si>
    <t>Good game on average. Continue working like that!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</si>
</sst>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08_075_LJU_HAM_U2025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45980.770833333336</v>
      </c>
      <c r="C3" s="178"/>
      <c r="D3" s="39">
        <v>623</v>
      </c>
      <c r="E3" s="29"/>
      <c r="F3" s="26">
        <f>SUBTOTAL(3,I17:I106)</f>
        <v>6</v>
      </c>
      <c r="G3" s="27">
        <f>IF(OR(D3="",D3=0),"",F3/D3)</f>
        <v>9.630818619582664E-3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Cedevita Olimpija Ljubljana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742</v>
      </c>
      <c r="L4" s="5"/>
      <c r="M4" s="185" t="s">
        <v>763</v>
      </c>
      <c r="N4" s="186"/>
      <c r="O4" s="2"/>
      <c r="P4" s="2"/>
      <c r="Q4" s="84" t="s">
        <v>175</v>
      </c>
      <c r="R4" s="94">
        <f>(IF(G3="",0,G3))</f>
        <v>9.630818619582664E-3</v>
      </c>
      <c r="S4" s="61">
        <f>SUM(I13:M13)</f>
        <v>0</v>
      </c>
      <c r="T4" s="78"/>
      <c r="U4" s="61">
        <f>AC18</f>
        <v>6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Veolia Towers Hamburg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0.96308186195826639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3.9630818619582664</v>
      </c>
      <c r="N7" s="58"/>
      <c r="O7" s="2"/>
      <c r="P7" s="2"/>
      <c r="Q7" s="86">
        <f>SUM(R5,S5,AC16)</f>
        <v>3.9630818619582664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3.9630818619582664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760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761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762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75</v>
      </c>
      <c r="D17" s="32" t="s">
        <v>751</v>
      </c>
      <c r="E17" s="33">
        <v>1</v>
      </c>
      <c r="F17" s="36">
        <v>9</v>
      </c>
      <c r="G17" s="36">
        <v>2</v>
      </c>
      <c r="H17" s="38" t="str">
        <f>IF(I17="","",$I$14)</f>
        <v>SCOUTING</v>
      </c>
      <c r="I17" s="34">
        <v>46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75</v>
      </c>
      <c r="D18" s="32" t="s">
        <v>752</v>
      </c>
      <c r="E18" s="33">
        <v>1</v>
      </c>
      <c r="F18" s="36">
        <v>16</v>
      </c>
      <c r="G18" s="36">
        <v>15</v>
      </c>
      <c r="H18" s="38" t="str">
        <f t="shared" ref="H18:H81" si="8">IF(I18="","",$I$14)</f>
        <v>SCOUTING</v>
      </c>
      <c r="I18" s="34">
        <v>121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75</v>
      </c>
      <c r="D19" s="32" t="s">
        <v>753</v>
      </c>
      <c r="E19" s="33">
        <v>1</v>
      </c>
      <c r="F19" s="36">
        <v>21</v>
      </c>
      <c r="G19" s="36">
        <v>16</v>
      </c>
      <c r="H19" s="38" t="str">
        <f t="shared" si="8"/>
        <v>SCOUTING</v>
      </c>
      <c r="I19" s="34">
        <v>133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75</v>
      </c>
      <c r="D20" s="32" t="s">
        <v>754</v>
      </c>
      <c r="E20" s="33">
        <v>1</v>
      </c>
      <c r="F20" s="36">
        <v>21</v>
      </c>
      <c r="G20" s="36">
        <v>16</v>
      </c>
      <c r="H20" s="38" t="str">
        <f t="shared" si="8"/>
        <v>SCOUTING</v>
      </c>
      <c r="I20" s="34">
        <v>138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75</v>
      </c>
      <c r="D21" s="32" t="s">
        <v>755</v>
      </c>
      <c r="E21" s="33">
        <v>3</v>
      </c>
      <c r="F21" s="36">
        <v>55</v>
      </c>
      <c r="G21" s="36">
        <v>40</v>
      </c>
      <c r="H21" s="38" t="str">
        <f t="shared" si="8"/>
        <v>SCOUTING</v>
      </c>
      <c r="I21" s="34">
        <v>326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75</v>
      </c>
      <c r="D22" s="32" t="s">
        <v>756</v>
      </c>
      <c r="E22" s="33">
        <v>4</v>
      </c>
      <c r="F22" s="36">
        <v>81</v>
      </c>
      <c r="G22" s="36">
        <v>63</v>
      </c>
      <c r="H22" s="38" t="str">
        <f t="shared" si="8"/>
        <v>SCOUTING</v>
      </c>
      <c r="I22" s="34">
        <v>553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"U2025075"</v>
      </c>
      <c r="F3" s="45" t="str">
        <f t="shared" ref="F3:F16" si="0">""""&amp;B3&amp;"""" &amp; " : " &amp;C3&amp;","</f>
        <v>"name" : "U2025075",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"U075"</v>
      </c>
      <c r="F4" s="45" t="str">
        <f t="shared" si="0"/>
        <v>"cod" : "U075",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075</v>
      </c>
      <c r="F6" s="45" t="str">
        <f t="shared" si="0"/>
        <v>"number" : 075,</v>
      </c>
    </row>
    <row r="7" spans="2:6" x14ac:dyDescent="0.25">
      <c r="B7" s="43" t="s">
        <v>116</v>
      </c>
      <c r="C7" s="43" t="str">
        <f ca="1">""""&amp;TEXT('SCOUT &amp; LOGISTICS'!B3,"dd/mm/aaaa")&amp;""""</f>
        <v>"19/11/Wednesday"</v>
      </c>
      <c r="F7" s="45" t="str">
        <f t="shared" ca="1" si="0"/>
        <v>"date" : "19/11/Wednesday",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"SILVO MARKIC"</v>
      </c>
      <c r="F12" s="45" t="str">
        <f t="shared" si="0"/>
        <v>"Caller_2" : "SILVO MARKIC",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"ZIGA JANEZ"</v>
      </c>
      <c r="F14" s="45" t="str">
        <f t="shared" si="0"/>
        <v>"Shotclock" : "ZIGA JANEZ",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623</v>
      </c>
      <c r="F25" s="45" t="str">
        <f t="shared" ref="F25:F48" si="1">""""&amp;C25&amp;"""" &amp; " : " &amp;D25&amp;","</f>
        <v>"total_actions" : 623,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 on average. Continue working like that!"</v>
      </c>
      <c r="F51" s="45" t="str">
        <f>""""&amp;B51&amp;"""" &amp; " : " &amp;C51&amp;","</f>
        <v>"comments" : "Good game on average. Continue working like that!",</v>
      </c>
    </row>
    <row r="52" spans="2:6" x14ac:dyDescent="0.25">
      <c r="B52" s="43" t="s">
        <v>153</v>
      </c>
      <c r="C52" s="43" t="str">
        <f>TEXT('SCOUT &amp; LOGISTICS'!F1,"0,0")</f>
        <v>08_075_LJU_HAM_U2025</v>
      </c>
      <c r="F52" s="45" t="str">
        <f>""""&amp;B52&amp;"""" &amp; " : " &amp;C52</f>
        <v>"result" : 08_075_LJU_HAM_U2025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U075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19/11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Cedevita Olimpija Ljubljana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Veolia Towers Hamburg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ZIGA BENKO</v>
      </c>
      <c r="C8" s="201"/>
      <c r="D8" s="201"/>
      <c r="E8" s="201"/>
      <c r="F8" s="201"/>
      <c r="G8" s="201" t="str">
        <f>IF('SCOUT &amp; LOGISTICS'!D7="","",'SCOUT &amp; LOGISTICS'!D7)</f>
        <v>MATIC MARKIC</v>
      </c>
      <c r="H8" s="201"/>
      <c r="I8" s="201"/>
      <c r="J8" s="201"/>
      <c r="K8" s="201"/>
      <c r="L8" s="201" t="str">
        <f>IF('SCOUT &amp; LOGISTICS'!D8="","",'SCOUT &amp; LOGISTICS'!D8)</f>
        <v>SILVO MARKIC</v>
      </c>
      <c r="M8" s="201"/>
      <c r="N8" s="201"/>
      <c r="O8" s="201"/>
      <c r="P8" s="201"/>
      <c r="Q8" s="201" t="str">
        <f>IF('SCOUT &amp; LOGISTICS'!D9="","",'SCOUT &amp; LOGISTICS'!D9)</f>
        <v>GORAN HODZIC</v>
      </c>
      <c r="R8" s="201"/>
      <c r="S8" s="201"/>
      <c r="T8" s="201"/>
      <c r="U8" s="201"/>
      <c r="V8" s="201" t="str">
        <f>IF('SCOUT &amp; LOGISTICS'!D10="","",'SCOUT &amp; LOGISTICS'!D10)</f>
        <v>ZIGA JANEZ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623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9.630818619582664E-3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6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Good game on average. Continue working like that!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3.9630818619582664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BD6803E-6CA7-4122-9F09-0C11EAD59742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2025-11-19T19:44:18Z</cp:lastPrinted>
  <dcterms:created xsi:type="dcterms:W3CDTF">2023-09-19T19:50:35Z</dcterms:created>
  <dcterms:modified xsi:type="dcterms:W3CDTF">2025-11-19T19:44:21Z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