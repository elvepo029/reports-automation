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1" documentId="8_{1CA46FD4-2033-40A4-A45A-C30305405718}" xr6:coauthVersionLast="47" xr6:coauthVersionMax="47" xr10:uidLastSave="{A9A1D8FD-1E05-425E-A2BC-095814D78535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<sst xmlns="http://schemas.openxmlformats.org/spreadsheetml/2006/main" count="3250" uniqueCount="760">
  <si>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</si>
  <si>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</si>
  <si>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</si>
  <si>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</si>
  <si>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</si>
  <si>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</si>
  <si>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</si>
  <si>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</si>
  <si>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</si>
  <si>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</si>
  <si>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</si>
  <si>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</si>
  <si>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</si>
  <si>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</si>
  <si>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</si>
  <si>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</si>
  <si>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</si>
  <si>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</si>
  <si>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</si>
  <si>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</si>
  <si>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</si>
  <si>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</si>
  <si>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</si>
  <si>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</si>
  <si>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</si>
  <si>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</si>
  <si>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</si>
  <si>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</si>
  <si>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</si>
  <si>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</si>
  <si>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</si>
  <si>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</si>
  <si>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</si>
  <si>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</si>
  <si>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</si>
  <si>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</si>
  <si>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</si>
  <si>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</si>
  <si>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</si>
  <si>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</si>
  <si>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</si>
  <si>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</si>
  <si>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</si>
  <si>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</si>
  <si>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</si>
  <si>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</si>
  <si>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</si>
  <si>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</si>
  <si>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</si>
  <si>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</si>
  <si>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</si>
  <si>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</si>
  <si>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</si>
  <si>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</si>
  <si>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</si>
  <si>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</si>
  <si>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</si>
  <si>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</si>
  <si>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</si>
  <si>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</si>
  <si>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</si>
  <si>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</si>
  <si>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</si>
  <si>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</si>
  <si>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</si>
  <si>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</si>
  <si>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</si>
  <si>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</si>
  <si>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</si>
  <si>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</si>
  <si>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</si>
  <si>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</si>
  <si>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</si>
  <si>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</si>
  <si>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</si>
  <si>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</si>
  <si>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</si>
  <si>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</si>
  <si>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</si>
  <si>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</si>
  <si>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</si>
  <si>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</si>
  <si>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</si>
  <si>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</si>
  <si>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</si>
  <si>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</si>
  <si>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</si>
  <si>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</si>
  <si>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</si>
  <si>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</si>
  <si>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</si>
  <si>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</si>
  <si>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</si>
  <si>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</si>
  <si>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</si>
  <si>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</si>
  <si>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</si>
  <si>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</si>
  <si>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</si>
  <si>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</si>
  <si>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</si>
  <si>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</si>
  <si>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</si>
  <si>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</si>
  <si>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</si>
  <si>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</si>
  <si>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</si>
  <si>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</si>
  <si>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</si>
  <si>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</si>
  <si>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</si>
  <si>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</si>
  <si>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</si>
  <si>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</si>
  <si>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</si>
  <si>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</si>
  <si>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</si>
  <si>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</si>
  <si>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</si>
  <si>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</si>
  <si>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</si>
  <si>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</si>
  <si>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</si>
  <si>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</si>
  <si>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</si>
  <si>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</si>
  <si>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</si>
  <si>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</si>
  <si>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</si>
  <si>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</si>
  <si>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</si>
  <si>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</si>
  <si>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</si>
  <si>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</si>
  <si>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</si>
  <si>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</si>
  <si>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</si>
  <si>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</si>
  <si>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</si>
  <si>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</si>
  <si>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</si>
  <si>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</si>
  <si>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</si>
  <si>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</si>
  <si>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</si>
  <si>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</si>
  <si>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</si>
  <si>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</si>
  <si>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</si>
  <si>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</si>
  <si>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</si>
  <si>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</si>
  <si>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</si>
  <si>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</si>
  <si>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</si>
  <si>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</si>
  <si>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</si>
  <si>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</si>
  <si>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</si>
  <si>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</si>
  <si>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</si>
  <si>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</si>
  <si>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</si>
  <si>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</si>
  <si>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</si>
  <si>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</si>
  <si>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</si>
  <si>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</si>
  <si>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</si>
  <si>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</si>
  <si>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</si>
  <si>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</si>
  <si>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</si>
  <si>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</si>
  <si>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</si>
  <si>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</si>
  <si>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</si>
  <si>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</si>
  <si>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</si>
  <si>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</si>
  <si>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</si>
  <si>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</si>
  <si>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</si>
  <si>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</si>
  <si>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</si>
  <si>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</si>
  <si>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</si>
  <si>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</si>
  <si>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</si>
  <si>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</si>
  <si>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</si>
  <si>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</si>
  <si>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</si>
  <si>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</si>
  <si>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</si>
  <si>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</si>
  <si>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</si>
  <si>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</si>
  <si>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</si>
  <si>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</si>
  <si>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</si>
  <si>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</si>
  <si>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</si>
  <si>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</si>
  <si>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</si>
  <si>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</si>
  <si>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</si>
  <si>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</si>
  <si>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</si>
  <si>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</si>
  <si>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</si>
  <si>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</si>
  <si>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</si>
  <si>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</si>
  <si>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</si>
  <si>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</si>
  <si>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</si>
  <si>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</si>
  <si>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</si>
  <si>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</si>
  <si>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</si>
  <si>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</si>
  <si>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</si>
  <si>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</si>
  <si>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</si>
  <si>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</si>
  <si>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</si>
  <si>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</si>
  <si>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</si>
  <si>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</si>
  <si>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</si>
  <si>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</si>
  <si>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</si>
  <si>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</si>
  <si>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</si>
  <si>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</si>
  <si>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</si>
  <si>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</si>
  <si>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</si>
  <si>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</si>
  <si>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</si>
  <si>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</si>
  <si>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</si>
  <si>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</si>
  <si>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</si>
  <si>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</si>
  <si>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</si>
  <si>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</si>
  <si>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</si>
  <si>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</si>
  <si>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</si>
  <si>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</si>
  <si>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</si>
  <si>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</si>
  <si>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</si>
  <si>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</si>
  <si>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</si>
  <si>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</si>
  <si>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</si>
  <si>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</si>
  <si>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</si>
  <si>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</si>
  <si>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</si>
  <si>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</si>
  <si>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</si>
  <si>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</si>
  <si>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</si>
  <si>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</si>
  <si>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</si>
  <si>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</si>
  <si>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</si>
  <si>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</si>
  <si>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</si>
  <si>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</si>
  <si>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</si>
  <si>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</si>
  <si>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</si>
  <si>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</si>
  <si>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</si>
  <si>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</si>
  <si>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</si>
  <si>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</si>
  <si>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</si>
  <si>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</si>
  <si>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</si>
  <si>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</si>
  <si>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</si>
  <si>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</si>
  <si>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</si>
  <si>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</si>
  <si>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</si>
  <si>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</si>
  <si>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</si>
  <si>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</si>
  <si>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</si>
  <si>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</si>
  <si>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</si>
  <si>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</si>
  <si>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</si>
  <si>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</si>
  <si>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</si>
  <si>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</si>
  <si>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</si>
  <si>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</si>
  <si>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</si>
  <si>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</si>
  <si>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</si>
  <si>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</si>
  <si>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</si>
  <si>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</si>
  <si>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</si>
  <si>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</si>
  <si>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</si>
  <si>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</si>
  <si>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</si>
  <si>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</si>
  <si>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</si>
  <si>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</si>
  <si>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</si>
  <si>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</si>
  <si>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</si>
  <si>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</si>
  <si>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</si>
  <si>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</si>
  <si>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</si>
  <si>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</si>
  <si>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</si>
  <si>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</si>
  <si>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</si>
  <si>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</si>
  <si>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</si>
  <si>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</si>
  <si>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</si>
  <si>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</si>
  <si>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</si>
  <si>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</si>
  <si>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</si>
  <si>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</si>
  <si>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</si>
  <si>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</si>
  <si>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</si>
  <si>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</si>
  <si>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</si>
  <si>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</si>
  <si>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</si>
  <si>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</si>
  <si>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</si>
  <si>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</si>
  <si>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</si>
  <si>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</si>
  <si>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</si>
  <si>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</si>
  <si>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</si>
  <si>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</si>
  <si>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</si>
  <si>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</si>
  <si>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</si>
  <si>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</si>
  <si>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</si>
  <si>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</si>
  <si>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</si>
  <si>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</si>
  <si>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</si>
  <si>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</si>
  <si>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</si>
  <si>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</si>
  <si>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</si>
  <si>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</si>
  <si>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</si>
  <si>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</si>
  <si>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</si>
  <si>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</si>
  <si>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</si>
  <si>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</si>
  <si>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</si>
  <si>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</si>
  <si>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</si>
  <si>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</si>
  <si>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</si>
  <si>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</si>
  <si>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</si>
  <si>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</si>
  <si>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</si>
  <si>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</si>
  <si>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</si>
  <si>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</si>
  <si>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</si>
  <si>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</si>
  <si>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</si>
  <si>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</si>
  <si>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</si>
  <si>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</si>
  <si>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</si>
  <si>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</si>
  <si>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</si>
  <si>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</si>
  <si>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</si>
  <si>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</si>
  <si>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</si>
  <si>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</si>
  <si>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</si>
  <si>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</si>
  <si>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</si>
  <si>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</si>
  <si>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</si>
  <si>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</si>
  <si>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</si>
  <si>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</si>
  <si>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</si>
  <si>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</si>
  <si>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</si>
  <si>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</si>
  <si>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</si>
  <si>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</si>
  <si>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</si>
  <si>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</si>
  <si>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</si>
  <si>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</si>
  <si>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</si>
  <si>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</si>
  <si>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</si>
  <si>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</si>
  <si>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</si>
  <si>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</si>
  <si>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</si>
  <si>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</si>
  <si>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</si>
  <si>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</si>
  <si>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</si>
  <si>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</si>
  <si>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</si>
  <si>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</si>
  <si>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</si>
  <si>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</si>
  <si>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</si>
  <si>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</si>
  <si>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</si>
  <si>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</si>
  <si>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</si>
  <si>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</si>
  <si>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</si>
  <si>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</si>
  <si>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</si>
  <si>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</si>
  <si>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</si>
  <si>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</si>
  <si>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</si>
  <si>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</si>
  <si>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</si>
  <si>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</si>
  <si>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</si>
  <si>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</si>
  <si>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</si>
  <si>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</si>
  <si>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</si>
  <si>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</si>
  <si>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</si>
  <si>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</si>
  <si>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</si>
  <si>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</si>
  <si>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</si>
  <si>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</si>
  <si>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</si>
  <si>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</si>
  <si>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</si>
  <si>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</si>
  <si>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</si>
  <si>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</si>
  <si>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</si>
  <si>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</si>
  <si>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</si>
  <si>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</si>
  <si>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</si>
  <si>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</si>
  <si>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</si>
  <si>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</si>
  <si>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</si>
  <si>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</si>
  <si>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</si>
  <si>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</si>
  <si>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</si>
  <si>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</si>
  <si>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</si>
  <si>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</si>
  <si>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</si>
  <si>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</si>
  <si>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</si>
  <si>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</si>
  <si>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</si>
  <si>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</si>
  <si>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</si>
  <si>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</si>
  <si>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</si>
  <si>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</si>
  <si>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</si>
  <si>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</si>
  <si>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</si>
  <si>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</si>
  <si>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</si>
  <si>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</si>
  <si>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</si>
  <si>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</si>
  <si>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</si>
  <si>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</si>
  <si>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</si>
  <si>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</si>
  <si>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</si>
  <si>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</si>
  <si>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</si>
  <si>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</si>
  <si>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</si>
  <si>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</si>
  <si>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</si>
  <si>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</si>
  <si>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</si>
  <si>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</si>
  <si>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</si>
  <si>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</si>
  <si>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</si>
  <si>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</si>
  <si>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</si>
  <si>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</si>
  <si>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</si>
  <si>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</si>
  <si>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</si>
  <si>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</si>
  <si>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</si>
  <si>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</si>
  <si>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</si>
  <si>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</si>
  <si>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</si>
  <si>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</si>
  <si>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</si>
  <si>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</si>
  <si>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</si>
  <si>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</si>
  <si>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</si>
  <si>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</si>
  <si>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</si>
  <si>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</si>
  <si>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</si>
  <si>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</si>
  <si>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</si>
  <si>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</si>
  <si>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</si>
  <si>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</si>
  <si>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</si>
  <si>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</si>
  <si>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</si>
  <si>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</si>
  <si>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</si>
  <si>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</si>
  <si>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</si>
  <si>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</si>
  <si>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</si>
  <si>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</si>
  <si>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</si>
  <si>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</si>
  <si>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</si>
  <si>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</si>
  <si>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</si>
  <si>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</si>
  <si>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</si>
  <si>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</si>
  <si>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</si>
  <si>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</si>
  <si>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</si>
  <si>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</si>
  <si>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</si>
  <si>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</si>
  <si>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</si>
  <si>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</si>
  <si>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</si>
  <si>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</si>
  <si>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</si>
  <si>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</si>
  <si>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</si>
  <si>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</si>
  <si>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</si>
  <si>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</si>
  <si>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</si>
  <si>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</si>
  <si>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</si>
  <si>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</si>
  <si>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</si>
  <si>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</si>
  <si>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</si>
  <si>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</si>
  <si>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</si>
  <si>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</si>
  <si>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</si>
  <si>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</si>
  <si>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</si>
  <si>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</si>
  <si>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</si>
  <si>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</si>
  <si>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</si>
  <si>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</si>
  <si>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</si>
  <si>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</si>
  <si>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</si>
  <si>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</si>
  <si>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</si>
  <si>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</si>
  <si>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</si>
  <si>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</si>
  <si>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</si>
  <si>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</si>
  <si>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</si>
  <si>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</si>
  <si>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</si>
  <si>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</si>
  <si>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</si>
  <si>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</si>
  <si>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</si>
  <si>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</si>
  <si>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</si>
  <si>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</si>
  <si>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</si>
  <si>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</si>
  <si>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</si>
  <si>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</si>
  <si>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</si>
  <si>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</si>
  <si>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</si>
  <si>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</si>
  <si>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</si>
  <si>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</si>
  <si>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</si>
  <si>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</si>
  <si>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</si>
  <si>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</si>
  <si>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</si>
  <si>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</si>
  <si>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</si>
  <si>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</si>
  <si>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</si>
  <si>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</si>
  <si>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</si>
  <si>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</si>
  <si>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</si>
  <si>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</si>
  <si>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</si>
  <si>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</si>
  <si>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</si>
  <si>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</si>
  <si>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</si>
  <si>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</si>
  <si>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</si>
  <si>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</si>
  <si>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</si>
  <si>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</si>
  <si>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</si>
  <si>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</si>
  <si>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</si>
  <si>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</si>
  <si>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</si>
  <si>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</si>
  <si>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</si>
  <si>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</si>
  <si>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</si>
  <si>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</si>
  <si>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</si>
  <si>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</si>
  <si>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</si>
  <si>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</si>
  <si>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</si>
  <si>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</si>
  <si>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</si>
  <si>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</si>
  <si>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</si>
  <si>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</si>
  <si>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</si>
  <si>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</si>
  <si>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</si>
  <si>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</si>
  <si>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</si>
  <si>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</si>
  <si>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</si>
  <si>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</si>
  <si>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</si>
  <si>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</si>
  <si>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</si>
  <si>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</si>
  <si>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</si>
  <si>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</si>
  <si>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</si>
  <si>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</si>
  <si>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</si>
  <si>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</si>
  <si>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</si>
  <si>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</si>
  <si>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</si>
  <si>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</si>
  <si>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</si>
  <si>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</si>
  <si>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</si>
  <si>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</si>
  <si>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</si>
  <si>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</si>
  <si>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</si>
  <si>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</si>
  <si>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</si>
  <si>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</si>
  <si>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</si>
  <si>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</si>
  <si>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</si>
  <si>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</si>
  <si>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</si>
  <si>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</si>
  <si>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</si>
  <si>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</si>
  <si>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</si>
  <si>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</si>
  <si>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</si>
  <si>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</si>
  <si>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</si>
  <si>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</si>
  <si>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</si>
  <si>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</si>
  <si>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</si>
  <si>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</si>
  <si>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</si>
  <si>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</si>
  <si>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</si>
  <si>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</si>
  <si>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</si>
  <si>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</si>
  <si>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</si>
  <si>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</si>
  <si>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</si>
  <si>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</si>
  <si>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</si>
  <si>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</si>
  <si>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</si>
  <si>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</si>
  <si>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</si>
  <si>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</si>
  <si>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</si>
  <si>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</si>
  <si>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</si>
  <si>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</si>
  <si>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</si>
  <si>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</si>
  <si>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</si>
  <si>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</si>
  <si>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</si>
  <si>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</si>
  <si>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</si>
  <si>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</si>
  <si>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</si>
  <si>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JACOBO LAPRESTA</t>
  </si>
  <si>
    <t>JOSE VICENTE ARQUES</t>
  </si>
  <si>
    <t>JOSE ANTONIO RODRIGUEZ</t>
  </si>
  <si>
    <t>PABLO DESSE</t>
  </si>
  <si>
    <t>BORJA RODRIGUEZ</t>
  </si>
  <si>
    <t>MARIA DESSE</t>
  </si>
  <si>
    <t>HECTOR GUILLEN</t>
  </si>
  <si>
    <t>8:35</t>
  </si>
  <si>
    <t>Very good job! Keep it up!!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</si>
</sst>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08_075_PAM_DUB_E2025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75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45960.854166666664</v>
      </c>
      <c r="C3" s="157"/>
      <c r="D3" s="39">
        <v>598</v>
      </c>
      <c r="E3" s="29"/>
      <c r="F3" s="26">
        <f>SUBTOTAL(3,I17:I106)</f>
        <v>1</v>
      </c>
      <c r="G3" s="27">
        <f>IF(OR(D3="",D3=0),"",F3/D3)</f>
        <v>1.6722408026755853E-3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Valencia Basket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742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1.6722408026755853E-3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0.16722408026755853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2.6672240802675584</v>
      </c>
      <c r="N7" s="58"/>
      <c r="O7" s="2"/>
      <c r="P7" s="2"/>
      <c r="Q7" s="86">
        <f>SUM(R5,S5,AC16)</f>
        <v>2.6672240802675584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2.6672240802675584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75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75</v>
      </c>
      <c r="D17" s="32" t="s">
        <v>758</v>
      </c>
      <c r="E17" s="33">
        <v>1</v>
      </c>
      <c r="F17" s="36">
        <v>6</v>
      </c>
      <c r="G17" s="36">
        <v>2</v>
      </c>
      <c r="H17" s="38" t="str">
        <f>IF(I17="","",$I$14)</f>
        <v>SCOUTING</v>
      </c>
      <c r="I17" s="34">
        <v>14</v>
      </c>
      <c r="J17" s="13" t="s">
        <v>4</v>
      </c>
      <c r="K17" s="13" t="s">
        <v>63</v>
      </c>
      <c r="L17" s="13" t="s">
        <v>7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REPORT_E2025075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"E2025075"</v>
      </c>
      <c r="F3" s="45" t="str">
        <f t="shared" ref="F3:F16" si="0">""""&amp;B3&amp;"""" &amp; " : " &amp;C3&amp;","</f>
        <v>"name" : "E2025075",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"E075"</v>
      </c>
      <c r="F4" s="45" t="str">
        <f t="shared" si="0"/>
        <v>"cod" : "E075",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075</v>
      </c>
      <c r="F6" s="45" t="str">
        <f t="shared" si="0"/>
        <v>"number" : 075,</v>
      </c>
    </row>
    <row r="7" spans="2:6" x14ac:dyDescent="0.25">
      <c r="B7" s="43" t="s">
        <v>116</v>
      </c>
      <c r="C7" s="43" t="str">
        <f ca="1">""""&amp;TEXT('SCOUT &amp; LOGISTICS'!B3,"dd/mm/aaaa")&amp;""""</f>
        <v>"30/10/Thursday"</v>
      </c>
      <c r="F7" s="45" t="str">
        <f t="shared" ca="1" si="0"/>
        <v>"date" : "30/10/Thursday",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VICENTE ARQUES"</v>
      </c>
      <c r="F11" s="45" t="str">
        <f t="shared" si="0"/>
        <v>"Caller_1" : "JOSE VICENTE ARQUES",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ANTONIO RODRIGUEZ"</v>
      </c>
      <c r="F12" s="45" t="str">
        <f t="shared" si="0"/>
        <v>"Caller_2" : "JOSE ANTONIO RODRIGUEZ",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"PABLO DESSE"</v>
      </c>
      <c r="F13" s="45" t="str">
        <f t="shared" si="0"/>
        <v>"Timerkeeper" : "PABLO DESSE",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"MARIA DESSE"</v>
      </c>
      <c r="F14" s="45" t="str">
        <f t="shared" si="0"/>
        <v>"Shotclock" : "MARIA DESSE",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598</v>
      </c>
      <c r="F25" s="45" t="str">
        <f t="shared" ref="F25:F48" si="1">""""&amp;C25&amp;"""" &amp; " : " &amp;D25&amp;","</f>
        <v>"total_actions" : 598,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up!!"</v>
      </c>
      <c r="F51" s="45" t="str">
        <f>""""&amp;B51&amp;"""" &amp; " : " &amp;C51&amp;","</f>
        <v>"comments" : "Very good job! Keep it up!!",</v>
      </c>
    </row>
    <row r="52" spans="2:6" x14ac:dyDescent="0.25">
      <c r="B52" s="43" t="s">
        <v>153</v>
      </c>
      <c r="C52" s="43" t="str">
        <f>TEXT('SCOUT &amp; LOGISTICS'!F1,"0,0")</f>
        <v>08_075_PAM_DUB_E2025</v>
      </c>
      <c r="F52" s="45" t="str">
        <f>""""&amp;B52&amp;"""" &amp; " : " &amp;C52</f>
        <v>"result" : 08_075_PAM_DUB_E2025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E075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30/10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Valencia Basket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JACOBO LAPRESTA</v>
      </c>
      <c r="C8" s="206"/>
      <c r="D8" s="206"/>
      <c r="E8" s="206"/>
      <c r="F8" s="206"/>
      <c r="G8" s="206" t="str">
        <f>IF('SCOUT &amp; LOGISTICS'!D7="","",'SCOUT &amp; LOGISTICS'!D7)</f>
        <v>JOSE VICENTE ARQUES</v>
      </c>
      <c r="H8" s="206"/>
      <c r="I8" s="206"/>
      <c r="J8" s="206"/>
      <c r="K8" s="206"/>
      <c r="L8" s="206" t="str">
        <f>IF('SCOUT &amp; LOGISTICS'!D8="","",'SCOUT &amp; LOGISTICS'!D8)</f>
        <v>JOSE ANTONIO RODRIGUEZ</v>
      </c>
      <c r="M8" s="206"/>
      <c r="N8" s="206"/>
      <c r="O8" s="206"/>
      <c r="P8" s="206"/>
      <c r="Q8" s="206" t="str">
        <f>IF('SCOUT &amp; LOGISTICS'!D9="","",'SCOUT &amp; LOGISTICS'!D9)</f>
        <v>PABLO DESSE</v>
      </c>
      <c r="R8" s="206"/>
      <c r="S8" s="206"/>
      <c r="T8" s="206"/>
      <c r="U8" s="206"/>
      <c r="V8" s="206" t="str">
        <f>IF('SCOUT &amp; LOGISTICS'!D10="","",'SCOUT &amp; LOGISTICS'!D10)</f>
        <v>MARIA DESSE</v>
      </c>
      <c r="W8" s="206"/>
      <c r="X8" s="206"/>
      <c r="Y8" s="206"/>
      <c r="Z8" s="206"/>
      <c r="AA8" s="206" t="str">
        <f>IF('SCOUT &amp; LOGISTICS'!D11="","",'SCOUT &amp; LOGISTICS'!D11)</f>
        <v>BORJA RODRIGUEZ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1.6722408026755853E-3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2.6672240802675584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4DE8F9B-605C-471C-9259-5BEEDC871BD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2025-10-31T19:11:43Z</cp:lastPrinted>
  <dcterms:created xsi:type="dcterms:W3CDTF">2023-09-19T19:50:35Z</dcterms:created>
  <dcterms:modified xsi:type="dcterms:W3CDTF">2025-10-31T19:11:46Z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