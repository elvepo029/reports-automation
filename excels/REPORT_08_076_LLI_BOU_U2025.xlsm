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12" documentId="8_{952EDBDE-04AB-4C06-963B-547E9BC78458}" xr6:coauthVersionLast="47" xr6:coauthVersionMax="47" xr10:uidLastSave="{F408FDA5-A2C9-4B2E-A954-669F78C62E33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<sst xmlns="http://schemas.openxmlformats.org/spreadsheetml/2006/main" count="3294" uniqueCount="766">
  <si>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</si>
  <si>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</si>
  <si>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</si>
  <si>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</si>
  <si>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</si>
  <si>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</si>
  <si>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</si>
  <si>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</si>
  <si>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</si>
  <si>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</si>
  <si>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</si>
  <si>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</si>
  <si>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</si>
  <si>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</si>
  <si>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</si>
  <si>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</si>
  <si>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</si>
  <si>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</si>
  <si>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</si>
  <si>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</si>
  <si>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</si>
  <si>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</si>
  <si>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</si>
  <si>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</si>
  <si>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</si>
  <si>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</si>
  <si>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</si>
  <si>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</si>
  <si>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</si>
  <si>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</si>
  <si>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</si>
  <si>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</si>
  <si>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</si>
  <si>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</si>
  <si>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</si>
  <si>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</si>
  <si>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</si>
  <si>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</si>
  <si>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</si>
  <si>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</si>
  <si>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</si>
  <si>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</si>
  <si>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</si>
  <si>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</si>
  <si>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</si>
  <si>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</si>
  <si>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</si>
  <si>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</si>
  <si>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</si>
  <si>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</si>
  <si>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</si>
  <si>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</si>
  <si>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</si>
  <si>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</si>
  <si>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</si>
  <si>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</si>
  <si>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</si>
  <si>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</si>
  <si>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</si>
  <si>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</si>
  <si>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</si>
  <si>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</si>
  <si>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</si>
  <si>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</si>
  <si>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</si>
  <si>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</si>
  <si>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</si>
  <si>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</si>
  <si>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</si>
  <si>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</si>
  <si>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</si>
  <si>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</si>
  <si>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</si>
  <si>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</si>
  <si>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</si>
  <si>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</si>
  <si>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</si>
  <si>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</si>
  <si>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</si>
  <si>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</si>
  <si>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</si>
  <si>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</si>
  <si>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</si>
  <si>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</si>
  <si>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</si>
  <si>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</si>
  <si>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</si>
  <si>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</si>
  <si>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</si>
  <si>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</si>
  <si>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</si>
  <si>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</si>
  <si>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</si>
  <si>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</si>
  <si>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</si>
  <si>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</si>
  <si>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</si>
  <si>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</si>
  <si>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</si>
  <si>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</si>
  <si>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</si>
  <si>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</si>
  <si>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</si>
  <si>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</si>
  <si>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</si>
  <si>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</si>
  <si>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</si>
  <si>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</si>
  <si>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</si>
  <si>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</si>
  <si>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</si>
  <si>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</si>
  <si>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</si>
  <si>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</si>
  <si>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</si>
  <si>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</si>
  <si>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</si>
  <si>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</si>
  <si>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</si>
  <si>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</si>
  <si>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</si>
  <si>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</si>
  <si>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</si>
  <si>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</si>
  <si>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</si>
  <si>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</si>
  <si>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</si>
  <si>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</si>
  <si>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</si>
  <si>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</si>
  <si>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</si>
  <si>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</si>
  <si>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</si>
  <si>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</si>
  <si>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</si>
  <si>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</si>
  <si>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</si>
  <si>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</si>
  <si>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</si>
  <si>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</si>
  <si>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</si>
  <si>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</si>
  <si>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</si>
  <si>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</si>
  <si>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</si>
  <si>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</si>
  <si>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</si>
  <si>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</si>
  <si>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</si>
  <si>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</si>
  <si>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</si>
  <si>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</si>
  <si>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</si>
  <si>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</si>
  <si>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</si>
  <si>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</si>
  <si>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</si>
  <si>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</si>
  <si>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</si>
  <si>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</si>
  <si>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</si>
  <si>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</si>
  <si>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</si>
  <si>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</si>
  <si>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</si>
  <si>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</si>
  <si>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</si>
  <si>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</si>
  <si>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</si>
  <si>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</si>
  <si>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</si>
  <si>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</si>
  <si>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</si>
  <si>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</si>
  <si>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</si>
  <si>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</si>
  <si>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</si>
  <si>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</si>
  <si>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</si>
  <si>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</si>
  <si>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</si>
  <si>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</si>
  <si>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</si>
  <si>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</si>
  <si>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</si>
  <si>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</si>
  <si>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</si>
  <si>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</si>
  <si>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</si>
  <si>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</si>
  <si>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</si>
  <si>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</si>
  <si>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</si>
  <si>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</si>
  <si>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</si>
  <si>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</si>
  <si>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</si>
  <si>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</si>
  <si>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</si>
  <si>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</si>
  <si>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</si>
  <si>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</si>
  <si>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</si>
  <si>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</si>
  <si>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</si>
  <si>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</si>
  <si>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</si>
  <si>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</si>
  <si>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</si>
  <si>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</si>
  <si>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</si>
  <si>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</si>
  <si>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</si>
  <si>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</si>
  <si>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</si>
  <si>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</si>
  <si>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</si>
  <si>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</si>
  <si>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</si>
  <si>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</si>
  <si>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</si>
  <si>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</si>
  <si>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</si>
  <si>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</si>
  <si>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</si>
  <si>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</si>
  <si>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</si>
  <si>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</si>
  <si>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</si>
  <si>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</si>
  <si>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</si>
  <si>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</si>
  <si>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</si>
  <si>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</si>
  <si>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</si>
  <si>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</si>
  <si>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</si>
  <si>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</si>
  <si>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</si>
  <si>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</si>
  <si>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</si>
  <si>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</si>
  <si>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</si>
  <si>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</si>
  <si>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</si>
  <si>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</si>
  <si>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</si>
  <si>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</si>
  <si>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</si>
  <si>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</si>
  <si>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</si>
  <si>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</si>
  <si>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</si>
  <si>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</si>
  <si>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</si>
  <si>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</si>
  <si>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</si>
  <si>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</si>
  <si>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</si>
  <si>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</si>
  <si>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</si>
  <si>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</si>
  <si>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</si>
  <si>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</si>
  <si>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</si>
  <si>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</si>
  <si>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</si>
  <si>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</si>
  <si>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</si>
  <si>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</si>
  <si>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</si>
  <si>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</si>
  <si>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</si>
  <si>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</si>
  <si>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</si>
  <si>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</si>
  <si>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</si>
  <si>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</si>
  <si>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</si>
  <si>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</si>
  <si>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</si>
  <si>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</si>
  <si>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</si>
  <si>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</si>
  <si>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</si>
  <si>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</si>
  <si>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</si>
  <si>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</si>
  <si>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</si>
  <si>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</si>
  <si>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</si>
  <si>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</si>
  <si>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</si>
  <si>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</si>
  <si>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</si>
  <si>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</si>
  <si>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</si>
  <si>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</si>
  <si>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</si>
  <si>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</si>
  <si>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</si>
  <si>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</si>
  <si>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</si>
  <si>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</si>
  <si>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</si>
  <si>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</si>
  <si>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</si>
  <si>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</si>
  <si>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</si>
  <si>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</si>
  <si>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</si>
  <si>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</si>
  <si>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</si>
  <si>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</si>
  <si>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</si>
  <si>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</si>
  <si>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</si>
  <si>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</si>
  <si>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</si>
  <si>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</si>
  <si>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</si>
  <si>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</si>
  <si>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</si>
  <si>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</si>
  <si>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</si>
  <si>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</si>
  <si>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</si>
  <si>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</si>
  <si>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</si>
  <si>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</si>
  <si>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</si>
  <si>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</si>
  <si>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</si>
  <si>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</si>
  <si>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</si>
  <si>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</si>
  <si>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</si>
  <si>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</si>
  <si>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</si>
  <si>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</si>
  <si>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</si>
  <si>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</si>
  <si>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</si>
  <si>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</si>
  <si>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</si>
  <si>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</si>
  <si>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</si>
  <si>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</si>
  <si>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</si>
  <si>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</si>
  <si>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</si>
  <si>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</si>
  <si>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</si>
  <si>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</si>
  <si>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</si>
  <si>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</si>
  <si>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</si>
  <si>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</si>
  <si>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</si>
  <si>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</si>
  <si>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</si>
  <si>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</si>
  <si>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</si>
  <si>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</si>
  <si>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</si>
  <si>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</si>
  <si>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</si>
  <si>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</si>
  <si>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</si>
  <si>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</si>
  <si>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</si>
  <si>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</si>
  <si>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</si>
  <si>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</si>
  <si>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</si>
  <si>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</si>
  <si>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</si>
  <si>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</si>
  <si>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</si>
  <si>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</si>
  <si>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</si>
  <si>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</si>
  <si>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</si>
  <si>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</si>
  <si>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</si>
  <si>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</si>
  <si>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</si>
  <si>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</si>
  <si>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</si>
  <si>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</si>
  <si>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</si>
  <si>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</si>
  <si>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</si>
  <si>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</si>
  <si>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</si>
  <si>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</si>
  <si>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</si>
  <si>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</si>
  <si>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</si>
  <si>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</si>
  <si>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</si>
  <si>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</si>
  <si>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</si>
  <si>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</si>
  <si>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</si>
  <si>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</si>
  <si>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</si>
  <si>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</si>
  <si>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</si>
  <si>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</si>
  <si>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</si>
  <si>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</si>
  <si>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</si>
  <si>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</si>
  <si>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</si>
  <si>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</si>
  <si>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</si>
  <si>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</si>
  <si>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</si>
  <si>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</si>
  <si>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</si>
  <si>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</si>
  <si>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</si>
  <si>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</si>
  <si>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</si>
  <si>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</si>
  <si>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</si>
  <si>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</si>
  <si>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</si>
  <si>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</si>
  <si>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</si>
  <si>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</si>
  <si>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</si>
  <si>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</si>
  <si>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</si>
  <si>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</si>
  <si>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</si>
  <si>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</si>
  <si>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</si>
  <si>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</si>
  <si>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</si>
  <si>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</si>
  <si>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</si>
  <si>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</si>
  <si>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</si>
  <si>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</si>
  <si>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</si>
  <si>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</si>
  <si>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</si>
  <si>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</si>
  <si>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</si>
  <si>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</si>
  <si>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</si>
  <si>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</si>
  <si>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</si>
  <si>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</si>
  <si>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</si>
  <si>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</si>
  <si>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</si>
  <si>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</si>
  <si>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</si>
  <si>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</si>
  <si>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</si>
  <si>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</si>
  <si>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</si>
  <si>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</si>
  <si>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</si>
  <si>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</si>
  <si>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</si>
  <si>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</si>
  <si>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</si>
  <si>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</si>
  <si>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</si>
  <si>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</si>
  <si>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</si>
  <si>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</si>
  <si>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</si>
  <si>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</si>
  <si>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</si>
  <si>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</si>
  <si>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</si>
  <si>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</si>
  <si>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</si>
  <si>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</si>
  <si>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</si>
  <si>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</si>
  <si>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</si>
  <si>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</si>
  <si>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</si>
  <si>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</si>
  <si>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</si>
  <si>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</si>
  <si>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</si>
  <si>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</si>
  <si>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</si>
  <si>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</si>
  <si>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</si>
  <si>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</si>
  <si>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</si>
  <si>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</si>
  <si>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</si>
  <si>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</si>
  <si>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</si>
  <si>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</si>
  <si>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</si>
  <si>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</si>
  <si>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</si>
  <si>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</si>
  <si>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</si>
  <si>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</si>
  <si>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</si>
  <si>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</si>
  <si>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</si>
  <si>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</si>
  <si>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</si>
  <si>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</si>
  <si>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</si>
  <si>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</si>
  <si>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</si>
  <si>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</si>
  <si>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</si>
  <si>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</si>
  <si>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</si>
  <si>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</si>
  <si>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</si>
  <si>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</si>
  <si>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</si>
  <si>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</si>
  <si>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</si>
  <si>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</si>
  <si>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</si>
  <si>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</si>
  <si>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</si>
  <si>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</si>
  <si>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</si>
  <si>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</si>
  <si>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</si>
  <si>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</si>
  <si>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</si>
  <si>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</si>
  <si>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</si>
  <si>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</si>
  <si>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</si>
  <si>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</si>
  <si>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</si>
  <si>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</si>
  <si>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</si>
  <si>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</si>
  <si>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</si>
  <si>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</si>
  <si>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</si>
  <si>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</si>
  <si>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</si>
  <si>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</si>
  <si>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</si>
  <si>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</si>
  <si>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</si>
  <si>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</si>
  <si>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</si>
  <si>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</si>
  <si>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</si>
  <si>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</si>
  <si>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</si>
  <si>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</si>
  <si>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</si>
  <si>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</si>
  <si>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</si>
  <si>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</si>
  <si>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</si>
  <si>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</si>
  <si>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</si>
  <si>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</si>
  <si>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</si>
  <si>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</si>
  <si>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</si>
  <si>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</si>
  <si>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</si>
  <si>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</si>
  <si>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</si>
  <si>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</si>
  <si>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</si>
  <si>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</si>
  <si>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</si>
  <si>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</si>
  <si>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</si>
  <si>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</si>
  <si>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</si>
  <si>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</si>
  <si>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</si>
  <si>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</si>
  <si>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</si>
  <si>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</si>
  <si>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</si>
  <si>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</si>
  <si>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</si>
  <si>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</si>
  <si>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</si>
  <si>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</si>
  <si>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</si>
  <si>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</si>
  <si>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</si>
  <si>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</si>
  <si>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</si>
  <si>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</si>
  <si>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</si>
  <si>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</si>
  <si>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</si>
  <si>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</si>
  <si>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</si>
  <si>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</si>
  <si>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</si>
  <si>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</si>
  <si>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</si>
  <si>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</si>
  <si>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</si>
  <si>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</si>
  <si>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</si>
  <si>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</si>
  <si>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</si>
  <si>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</si>
  <si>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</si>
  <si>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</si>
  <si>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</si>
  <si>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</si>
  <si>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</si>
  <si>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</si>
  <si>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</si>
  <si>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</si>
  <si>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</si>
  <si>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</si>
  <si>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</si>
  <si>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</si>
  <si>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</si>
  <si>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</si>
  <si>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</si>
  <si>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</si>
  <si>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</si>
  <si>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</si>
  <si>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</si>
  <si>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</si>
  <si>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</si>
  <si>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</si>
  <si>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</si>
  <si>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</si>
  <si>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</si>
  <si>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</si>
  <si>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</si>
  <si>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</si>
  <si>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</si>
  <si>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</si>
  <si>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</si>
  <si>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</si>
  <si>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</si>
  <si>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</si>
  <si>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</si>
  <si>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</si>
  <si>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</si>
  <si>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</si>
  <si>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</si>
  <si>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</si>
  <si>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</si>
  <si>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</si>
  <si>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</si>
  <si>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</si>
  <si>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</si>
  <si>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</si>
  <si>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</si>
  <si>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</si>
  <si>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</si>
  <si>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</si>
  <si>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</si>
  <si>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</si>
  <si>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</si>
  <si>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</si>
  <si>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</si>
  <si>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</si>
  <si>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</si>
  <si>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</si>
  <si>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</si>
  <si>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</si>
  <si>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</si>
  <si>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</si>
  <si>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</si>
  <si>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</si>
  <si>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</si>
  <si>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</si>
  <si>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</si>
  <si>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</si>
  <si>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</si>
  <si>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</si>
  <si>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</si>
  <si>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</si>
  <si>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</si>
  <si>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</si>
  <si>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</si>
  <si>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</si>
  <si>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</si>
  <si>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</si>
  <si>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</si>
  <si>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</si>
  <si>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</si>
  <si>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</si>
  <si>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</si>
  <si>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</si>
  <si>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</si>
  <si>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</si>
  <si>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</si>
  <si>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</si>
  <si>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</si>
  <si>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</si>
  <si>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</si>
  <si>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</si>
  <si>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</si>
  <si>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</si>
  <si>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</si>
  <si>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</si>
  <si>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</si>
  <si>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</si>
  <si>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</si>
  <si>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</si>
  <si>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</si>
  <si>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</si>
  <si>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</si>
  <si>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</si>
  <si>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</si>
  <si>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</si>
  <si>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</si>
  <si>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</si>
  <si>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</si>
  <si>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</si>
  <si>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</si>
  <si>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</si>
  <si>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</si>
  <si>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</si>
  <si>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</si>
  <si>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</si>
  <si>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</si>
  <si>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</si>
  <si>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</si>
  <si>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</si>
  <si>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</si>
  <si>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</si>
  <si>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</si>
  <si>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</si>
  <si>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</si>
  <si>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</si>
  <si>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</si>
  <si>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</si>
  <si>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</si>
  <si>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</si>
  <si>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MICHAEL HANSON-MORRIS</t>
  </si>
  <si>
    <t>ABI OSUNSAMI</t>
  </si>
  <si>
    <t>CARA ALLAN</t>
  </si>
  <si>
    <t>EMMA BIRCH</t>
  </si>
  <si>
    <t>HAZEL GRAY</t>
  </si>
  <si>
    <t>XAVI MATEU</t>
  </si>
  <si>
    <t>07:26</t>
  </si>
  <si>
    <t>05:03</t>
  </si>
  <si>
    <t>05:00</t>
  </si>
  <si>
    <t>02:42</t>
  </si>
  <si>
    <t>01:35</t>
  </si>
  <si>
    <t>01:04</t>
  </si>
  <si>
    <t>06:00</t>
  </si>
  <si>
    <t>06:30</t>
  </si>
  <si>
    <t>It's hard to understand how you marked a 3-pointer as a free throw. There was also a play with two changes of possession: the referee signaled a reset of the shot clock, there was a shot, and it ended up being called out of bounds. It was hard to see, but please try to keep an eye on the referees' signals.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</si>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</sst>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08_076_LLI_BOU_U2025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76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45980.8125</v>
      </c>
      <c r="C3" s="157"/>
      <c r="D3" s="39">
        <v>611</v>
      </c>
      <c r="E3" s="29"/>
      <c r="F3" s="26">
        <f>SUBTOTAL(3,I17:I106)</f>
        <v>10</v>
      </c>
      <c r="G3" s="27">
        <f>IF(OR(D3="",D3=0),"",F3/D3)</f>
        <v>1.6366612111292964E-2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London Lions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LLI</v>
      </c>
      <c r="I4" s="5"/>
      <c r="J4" s="119" t="s">
        <v>714</v>
      </c>
      <c r="K4" s="54" t="s">
        <v>743</v>
      </c>
      <c r="L4" s="5"/>
      <c r="M4" s="167" t="s">
        <v>764</v>
      </c>
      <c r="N4" s="168"/>
      <c r="O4" s="2"/>
      <c r="P4" s="2"/>
      <c r="Q4" s="84" t="s">
        <v>175</v>
      </c>
      <c r="R4" s="94">
        <f>(IF(G3="",0,G3))</f>
        <v>1.6366612111292964E-2</v>
      </c>
      <c r="S4" s="61">
        <f>SUM(I13:M13)</f>
        <v>1</v>
      </c>
      <c r="T4" s="78"/>
      <c r="U4" s="61">
        <f>AC18</f>
        <v>3</v>
      </c>
      <c r="V4" s="61">
        <f>+AC22</f>
        <v>4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Cosea JL Bourg-en-Bresse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BOU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1.6366612111292964</v>
      </c>
      <c r="S5" s="70">
        <f t="shared" ref="S5" si="0">S4*S3</f>
        <v>1</v>
      </c>
      <c r="T5" s="92"/>
      <c r="U5" s="70">
        <f t="shared" ref="U5:AG5" si="1">U4*U3</f>
        <v>1.5</v>
      </c>
      <c r="V5" s="70">
        <f t="shared" si="1"/>
        <v>4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31.636661211129297</v>
      </c>
      <c r="N7" s="58"/>
      <c r="O7" s="2"/>
      <c r="P7" s="2"/>
      <c r="Q7" s="86">
        <f>SUM(R5,S5,AC16)</f>
        <v>31.636661211129297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11.636661211129297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76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755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10</v>
      </c>
      <c r="J15" s="24">
        <f>SUBTOTAL(3,J17:J106)</f>
        <v>10</v>
      </c>
      <c r="K15" s="24">
        <f>SUBTOTAL(3,K17:K106)</f>
        <v>10</v>
      </c>
      <c r="L15" s="24">
        <f>SUBTOTAL(3,L17:L106)</f>
        <v>10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10</v>
      </c>
      <c r="Z16" s="90" t="s">
        <v>110</v>
      </c>
      <c r="AA16" s="75">
        <f>SUM(AA17:AA24)</f>
        <v>10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29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10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2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76</v>
      </c>
      <c r="D17" s="32" t="s">
        <v>756</v>
      </c>
      <c r="E17" s="33">
        <v>1</v>
      </c>
      <c r="F17" s="36">
        <v>2</v>
      </c>
      <c r="G17" s="36">
        <v>4</v>
      </c>
      <c r="H17" s="38" t="str">
        <f>IF(I17="","",$I$14)</f>
        <v>SCOUTING</v>
      </c>
      <c r="I17" s="34">
        <v>27</v>
      </c>
      <c r="J17" s="13" t="s">
        <v>4</v>
      </c>
      <c r="K17" s="13" t="s">
        <v>62</v>
      </c>
      <c r="L17" s="13" t="s">
        <v>6</v>
      </c>
      <c r="M17" s="13" t="s">
        <v>39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5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7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1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76</v>
      </c>
      <c r="D18" s="32" t="s">
        <v>757</v>
      </c>
      <c r="E18" s="33">
        <v>1</v>
      </c>
      <c r="F18" s="36">
        <v>4</v>
      </c>
      <c r="G18" s="36">
        <v>12</v>
      </c>
      <c r="H18" s="38" t="str">
        <f t="shared" ref="H18:H81" si="8">IF(I18="","",$I$14)</f>
        <v>SCOUTING</v>
      </c>
      <c r="I18" s="34">
        <v>52</v>
      </c>
      <c r="J18" s="13" t="s">
        <v>4</v>
      </c>
      <c r="K18" s="13" t="s">
        <v>63</v>
      </c>
      <c r="L18" s="13" t="s">
        <v>6</v>
      </c>
      <c r="M18" s="13" t="s">
        <v>26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76</v>
      </c>
      <c r="D19" s="32" t="s">
        <v>758</v>
      </c>
      <c r="E19" s="33">
        <v>1</v>
      </c>
      <c r="F19" s="36">
        <v>4</v>
      </c>
      <c r="G19" s="36">
        <v>12</v>
      </c>
      <c r="H19" s="38" t="str">
        <f t="shared" si="8"/>
        <v>SCOUTING</v>
      </c>
      <c r="I19" s="34">
        <v>49</v>
      </c>
      <c r="J19" s="13" t="s">
        <v>3</v>
      </c>
      <c r="K19" s="13" t="s">
        <v>63</v>
      </c>
      <c r="L19" s="13" t="s">
        <v>77</v>
      </c>
      <c r="M19" s="13" t="s">
        <v>34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76</v>
      </c>
      <c r="D20" s="32" t="s">
        <v>759</v>
      </c>
      <c r="E20" s="33">
        <v>1</v>
      </c>
      <c r="F20" s="36">
        <v>9</v>
      </c>
      <c r="G20" s="36">
        <v>17</v>
      </c>
      <c r="H20" s="38" t="str">
        <f t="shared" si="8"/>
        <v>SCOUTING</v>
      </c>
      <c r="I20" s="34">
        <v>98</v>
      </c>
      <c r="J20" s="13" t="s">
        <v>4</v>
      </c>
      <c r="K20" s="13" t="s">
        <v>63</v>
      </c>
      <c r="L20" s="13" t="s">
        <v>7</v>
      </c>
      <c r="M20" s="13" t="s">
        <v>9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76</v>
      </c>
      <c r="D21" s="32" t="s">
        <v>760</v>
      </c>
      <c r="E21" s="33">
        <v>1</v>
      </c>
      <c r="F21" s="36">
        <v>12</v>
      </c>
      <c r="G21" s="36">
        <v>17</v>
      </c>
      <c r="H21" s="38" t="str">
        <f t="shared" si="8"/>
        <v>SCOUTING</v>
      </c>
      <c r="I21" s="34">
        <v>106</v>
      </c>
      <c r="J21" s="13" t="s">
        <v>4</v>
      </c>
      <c r="K21" s="13" t="s">
        <v>63</v>
      </c>
      <c r="L21" s="13" t="s">
        <v>6</v>
      </c>
      <c r="M21" s="13" t="s">
        <v>28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76</v>
      </c>
      <c r="D22" s="32" t="s">
        <v>760</v>
      </c>
      <c r="E22" s="33">
        <v>1</v>
      </c>
      <c r="F22" s="36">
        <v>12</v>
      </c>
      <c r="G22" s="36">
        <v>19</v>
      </c>
      <c r="H22" s="38" t="str">
        <f t="shared" si="8"/>
        <v>SCOUTING</v>
      </c>
      <c r="I22" s="34">
        <v>107</v>
      </c>
      <c r="J22" s="13" t="s">
        <v>4</v>
      </c>
      <c r="K22" s="13" t="s">
        <v>63</v>
      </c>
      <c r="L22" s="13" t="s">
        <v>5</v>
      </c>
      <c r="M22" s="13" t="s">
        <v>11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76</v>
      </c>
      <c r="D23" s="32" t="s">
        <v>761</v>
      </c>
      <c r="E23" s="33">
        <v>1</v>
      </c>
      <c r="F23" s="36">
        <v>12</v>
      </c>
      <c r="G23" s="36">
        <v>19</v>
      </c>
      <c r="H23" s="38" t="str">
        <f t="shared" si="8"/>
        <v>SCOUTING</v>
      </c>
      <c r="I23" s="34">
        <v>115</v>
      </c>
      <c r="J23" s="13" t="s">
        <v>4</v>
      </c>
      <c r="K23" s="13" t="s">
        <v>62</v>
      </c>
      <c r="L23" s="13" t="s">
        <v>5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76</v>
      </c>
      <c r="D24" s="32" t="s">
        <v>762</v>
      </c>
      <c r="E24" s="33">
        <v>2</v>
      </c>
      <c r="F24" s="36">
        <v>23</v>
      </c>
      <c r="G24" s="36">
        <v>28</v>
      </c>
      <c r="H24" s="38" t="str">
        <f t="shared" si="8"/>
        <v>SCOUTING</v>
      </c>
      <c r="I24" s="34">
        <v>181</v>
      </c>
      <c r="J24" s="13" t="s">
        <v>4</v>
      </c>
      <c r="K24" s="13" t="s">
        <v>61</v>
      </c>
      <c r="L24" s="13" t="s">
        <v>75</v>
      </c>
      <c r="M24" s="13" t="s">
        <v>164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76</v>
      </c>
      <c r="D25" s="32" t="s">
        <v>763</v>
      </c>
      <c r="E25" s="33">
        <v>2</v>
      </c>
      <c r="F25" s="36">
        <v>25</v>
      </c>
      <c r="G25" s="36">
        <v>28</v>
      </c>
      <c r="H25" s="38" t="str">
        <f t="shared" si="8"/>
        <v>SCOUTING</v>
      </c>
      <c r="I25" s="34">
        <v>188</v>
      </c>
      <c r="J25" s="13" t="s">
        <v>4</v>
      </c>
      <c r="K25" s="13" t="s">
        <v>62</v>
      </c>
      <c r="L25" s="13" t="s">
        <v>5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76</v>
      </c>
      <c r="D26" s="32" t="s">
        <v>53</v>
      </c>
      <c r="E26" s="33">
        <v>3</v>
      </c>
      <c r="F26" s="36">
        <v>52</v>
      </c>
      <c r="G26" s="36">
        <v>53</v>
      </c>
      <c r="H26" s="38" t="str">
        <f t="shared" si="8"/>
        <v>SCOUTING</v>
      </c>
      <c r="I26" s="34">
        <v>446</v>
      </c>
      <c r="J26" s="13" t="s">
        <v>4</v>
      </c>
      <c r="K26" s="13" t="s">
        <v>62</v>
      </c>
      <c r="L26" s="13" t="s">
        <v>6</v>
      </c>
      <c r="M26" s="13" t="s">
        <v>168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1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1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1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REPORT_U2025076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"U2025076"</v>
      </c>
      <c r="F3" s="45" t="str">
        <f t="shared" ref="F3:F16" si="0">""""&amp;B3&amp;"""" &amp; " : " &amp;C3&amp;","</f>
        <v>"name" : "U2025076",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"U076"</v>
      </c>
      <c r="F4" s="45" t="str">
        <f t="shared" si="0"/>
        <v>"cod" : "U076",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076</v>
      </c>
      <c r="F6" s="45" t="str">
        <f t="shared" si="0"/>
        <v>"number" : 076,</v>
      </c>
    </row>
    <row r="7" spans="2:6" x14ac:dyDescent="0.25">
      <c r="B7" s="43" t="s">
        <v>116</v>
      </c>
      <c r="C7" s="43" t="str">
        <f ca="1">""""&amp;TEXT('SCOUT &amp; LOGISTICS'!B3,"dd/mm/aaaa")&amp;""""</f>
        <v>"19/11/Wednesday"</v>
      </c>
      <c r="F7" s="45" t="str">
        <f t="shared" ca="1" si="0"/>
        <v>"date" : "19/11/Wednesday",</v>
      </c>
    </row>
    <row r="8" spans="2:6" x14ac:dyDescent="0.25">
      <c r="B8" s="43" t="s">
        <v>125</v>
      </c>
      <c r="C8" s="43" t="str">
        <f>""""&amp;'SCOUT &amp; LOGISTICS'!D4 &amp;""""</f>
        <v>"London Lions"</v>
      </c>
      <c r="F8" s="45" t="str">
        <f t="shared" si="0"/>
        <v>"home_team" : "London Lions",</v>
      </c>
    </row>
    <row r="9" spans="2:6" x14ac:dyDescent="0.25">
      <c r="B9" s="43" t="s">
        <v>126</v>
      </c>
      <c r="C9" s="43" t="str">
        <f>""""&amp;'SCOUT &amp; LOGISTICS'!D5&amp;""""</f>
        <v>"Cosea JL Bourg-en-Bresse"</v>
      </c>
      <c r="F9" s="45" t="str">
        <f t="shared" si="0"/>
        <v>"away_team" : "Cosea JL Bourg-en-Bresse",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"MICHAEL HANSON-MORRIS"</v>
      </c>
      <c r="F10" s="45" t="str">
        <f t="shared" si="0"/>
        <v>"Data_entry" : "MICHAEL HANSON-MORRIS",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"ABI OSUNSAMI"</v>
      </c>
      <c r="F11" s="45" t="str">
        <f t="shared" si="0"/>
        <v>"Caller_1" : "ABI OSUNSAMI",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"CARA ALLAN"</v>
      </c>
      <c r="F12" s="45" t="str">
        <f t="shared" si="0"/>
        <v>"Caller_2" : "CARA ALLAN",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"EMMA BIRCH"</v>
      </c>
      <c r="F13" s="45" t="str">
        <f t="shared" si="0"/>
        <v>"Timerkeeper" : "EMMA BIRCH",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"HAZEL GRAY"</v>
      </c>
      <c r="F14" s="45" t="str">
        <f t="shared" si="0"/>
        <v>"Shotclock" : "HAZEL GRAY",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611</v>
      </c>
      <c r="F25" s="45" t="str">
        <f t="shared" ref="F25:F48" si="1">""""&amp;C25&amp;"""" &amp; " : " &amp;D25&amp;","</f>
        <v>"total_actions" : 611,</v>
      </c>
    </row>
    <row r="26" spans="2:6" x14ac:dyDescent="0.25">
      <c r="C26" s="43" t="s">
        <v>132</v>
      </c>
      <c r="D26" s="43">
        <f>'SCOUT &amp; LOGISTICS'!F3</f>
        <v>10</v>
      </c>
      <c r="F26" s="45" t="str">
        <f t="shared" si="1"/>
        <v>"total_correcions" : 10,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5</v>
      </c>
      <c r="F28" s="45" t="str">
        <f t="shared" si="1"/>
        <v>"home_team" : 5,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7</v>
      </c>
      <c r="F31" s="45" t="str">
        <f t="shared" si="1"/>
        <v>"q1" : 7,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10</v>
      </c>
      <c r="F37" s="45" t="str">
        <f t="shared" si="1"/>
        <v>"scoresheet_corrections" : 10,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"It's hard to understand how you marked a 3-pointer as a free throw. There was also a play with two changes of possession: the referee signaled a reset of the shot clock, there was a shot, and it ended up being called out of bounds. It was hard to see, but please try to keep an eye on the referees' signals."</v>
      </c>
      <c r="F51" s="45" t="str">
        <f>""""&amp;B51&amp;"""" &amp; " : " &amp;C51&amp;","</f>
        <v>"comments" : "It's hard to understand how you marked a 3-pointer as a free throw. There was also a play with two changes of possession: the referee signaled a reset of the shot clock, there was a shot, and it ended up being called out of bounds. It was hard to see, but please try to keep an eye on the referees' signals.",</v>
      </c>
    </row>
    <row r="52" spans="2:6" x14ac:dyDescent="0.25">
      <c r="B52" s="43" t="s">
        <v>153</v>
      </c>
      <c r="C52" s="43" t="str">
        <f>TEXT('SCOUT &amp; LOGISTICS'!F1,"0,0")</f>
        <v>08_076_LLI_BOU_U2025</v>
      </c>
      <c r="F52" s="45" t="str">
        <f>""""&amp;B52&amp;"""" &amp; " : " &amp;C52</f>
        <v>"result" : 08_076_LLI_BOU_U2025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U076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19/11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London Lions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Cosea Jl Bourg-En-Bresse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MICHAEL HANSON-MORRIS</v>
      </c>
      <c r="C8" s="206"/>
      <c r="D8" s="206"/>
      <c r="E8" s="206"/>
      <c r="F8" s="206"/>
      <c r="G8" s="206" t="str">
        <f>IF('SCOUT &amp; LOGISTICS'!D7="","",'SCOUT &amp; LOGISTICS'!D7)</f>
        <v>ABI OSUNSAMI</v>
      </c>
      <c r="H8" s="206"/>
      <c r="I8" s="206"/>
      <c r="J8" s="206"/>
      <c r="K8" s="206"/>
      <c r="L8" s="206" t="str">
        <f>IF('SCOUT &amp; LOGISTICS'!D8="","",'SCOUT &amp; LOGISTICS'!D8)</f>
        <v>CARA ALLAN</v>
      </c>
      <c r="M8" s="206"/>
      <c r="N8" s="206"/>
      <c r="O8" s="206"/>
      <c r="P8" s="206"/>
      <c r="Q8" s="206" t="str">
        <f>IF('SCOUT &amp; LOGISTICS'!D9="","",'SCOUT &amp; LOGISTICS'!D9)</f>
        <v>EMMA BIRCH</v>
      </c>
      <c r="R8" s="206"/>
      <c r="S8" s="206"/>
      <c r="T8" s="206"/>
      <c r="U8" s="206"/>
      <c r="V8" s="206" t="str">
        <f>IF('SCOUT &amp; LOGISTICS'!D10="","",'SCOUT &amp; LOGISTICS'!D10)</f>
        <v>HAZEL GRAY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611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1.6366612111292964E-2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5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4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7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9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4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1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It's hard to understand how you marked a 3-pointer as a free throw. There was also a play with two changes of possession: the referee signaled a reset of the shot clock, there was a shot, and it ended up being called out of bounds. It was hard to see, but please try to keep an eye on the referees' signals.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31.636661211129297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357B7A1-9038-4720-AB1D-B8541AF5F6F3}"/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2025-11-20T15:32:17Z</cp:lastPrinted>
  <dcterms:created xsi:type="dcterms:W3CDTF">2023-09-19T19:50:35Z</dcterms:created>
  <dcterms:modified xsi:type="dcterms:W3CDTF">2025-11-20T15:34:08Z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