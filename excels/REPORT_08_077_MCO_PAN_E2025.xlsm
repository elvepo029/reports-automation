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59" documentId="8_{106BF095-0299-4886-8A03-FAD03CA9E442}" xr6:coauthVersionLast="47" xr6:coauthVersionMax="47" xr10:uidLastSave="{D6A7D5FC-F738-460C-A332-9738764C63A5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<sst xmlns="http://schemas.openxmlformats.org/spreadsheetml/2006/main" count="3310" uniqueCount="772">
  <si>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</si>
  <si>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</si>
  <si>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</si>
  <si>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</si>
  <si>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</si>
  <si>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</si>
  <si>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</si>
  <si>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</si>
  <si>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</si>
  <si>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</si>
  <si>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</si>
  <si>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</si>
  <si>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</si>
  <si>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</si>
  <si>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</si>
  <si>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</si>
  <si>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</si>
  <si>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</si>
  <si>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</si>
  <si>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</si>
  <si>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</si>
  <si>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</si>
  <si>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</si>
  <si>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</si>
  <si>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</si>
  <si>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</si>
  <si>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</si>
  <si>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</si>
  <si>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</si>
  <si>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</si>
  <si>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</si>
  <si>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</si>
  <si>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</si>
  <si>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</si>
  <si>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</si>
  <si>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</si>
  <si>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</si>
  <si>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</si>
  <si>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</si>
  <si>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</si>
  <si>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</si>
  <si>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</si>
  <si>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</si>
  <si>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</si>
  <si>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</si>
  <si>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</si>
  <si>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</si>
  <si>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</si>
  <si>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</si>
  <si>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</si>
  <si>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</si>
  <si>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</si>
  <si>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</si>
  <si>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</si>
  <si>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</si>
  <si>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</si>
  <si>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</si>
  <si>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</si>
  <si>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</si>
  <si>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</si>
  <si>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</si>
  <si>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</si>
  <si>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</si>
  <si>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</si>
  <si>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</si>
  <si>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</si>
  <si>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</si>
  <si>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</si>
  <si>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</si>
  <si>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</si>
  <si>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</si>
  <si>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</si>
  <si>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</si>
  <si>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</si>
  <si>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</si>
  <si>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</si>
  <si>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</si>
  <si>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</si>
  <si>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</si>
  <si>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</si>
  <si>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</si>
  <si>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</si>
  <si>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</si>
  <si>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</si>
  <si>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</si>
  <si>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</si>
  <si>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</si>
  <si>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</si>
  <si>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</si>
  <si>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</si>
  <si>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</si>
  <si>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</si>
  <si>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</si>
  <si>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</si>
  <si>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</si>
  <si>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</si>
  <si>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</si>
  <si>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</si>
  <si>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</si>
  <si>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</si>
  <si>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</si>
  <si>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</si>
  <si>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</si>
  <si>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</si>
  <si>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</si>
  <si>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</si>
  <si>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</si>
  <si>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</si>
  <si>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</si>
  <si>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</si>
  <si>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</si>
  <si>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</si>
  <si>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</si>
  <si>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</si>
  <si>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</si>
  <si>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</si>
  <si>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</si>
  <si>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</si>
  <si>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</si>
  <si>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</si>
  <si>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</si>
  <si>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</si>
  <si>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</si>
  <si>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</si>
  <si>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</si>
  <si>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</si>
  <si>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</si>
  <si>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</si>
  <si>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</si>
  <si>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</si>
  <si>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</si>
  <si>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</si>
  <si>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</si>
  <si>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</si>
  <si>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</si>
  <si>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</si>
  <si>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</si>
  <si>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</si>
  <si>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</si>
  <si>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</si>
  <si>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</si>
  <si>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</si>
  <si>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</si>
  <si>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</si>
  <si>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</si>
  <si>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</si>
  <si>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</si>
  <si>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</si>
  <si>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</si>
  <si>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</si>
  <si>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</si>
  <si>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</si>
  <si>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</si>
  <si>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</si>
  <si>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</si>
  <si>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</si>
  <si>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</si>
  <si>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</si>
  <si>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</si>
  <si>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</si>
  <si>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</si>
  <si>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</si>
  <si>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</si>
  <si>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</si>
  <si>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</si>
  <si>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</si>
  <si>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</si>
  <si>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</si>
  <si>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</si>
  <si>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</si>
  <si>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</si>
  <si>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</si>
  <si>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</si>
  <si>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</si>
  <si>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</si>
  <si>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</si>
  <si>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</si>
  <si>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</si>
  <si>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</si>
  <si>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</si>
  <si>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</si>
  <si>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</si>
  <si>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</si>
  <si>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</si>
  <si>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</si>
  <si>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</si>
  <si>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</si>
  <si>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</si>
  <si>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</si>
  <si>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</si>
  <si>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</si>
  <si>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</si>
  <si>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</si>
  <si>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</si>
  <si>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</si>
  <si>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</si>
  <si>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</si>
  <si>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</si>
  <si>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</si>
  <si>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</si>
  <si>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</si>
  <si>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</si>
  <si>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</si>
  <si>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</si>
  <si>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</si>
  <si>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</si>
  <si>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</si>
  <si>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</si>
  <si>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</si>
  <si>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</si>
  <si>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</si>
  <si>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</si>
  <si>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</si>
  <si>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</si>
  <si>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</si>
  <si>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</si>
  <si>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</si>
  <si>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</si>
  <si>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</si>
  <si>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</si>
  <si>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</si>
  <si>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</si>
  <si>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</si>
  <si>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</si>
  <si>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</si>
  <si>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</si>
  <si>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</si>
  <si>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</si>
  <si>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</si>
  <si>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</si>
  <si>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</si>
  <si>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</si>
  <si>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</si>
  <si>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</si>
  <si>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</si>
  <si>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</si>
  <si>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</si>
  <si>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</si>
  <si>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</si>
  <si>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</si>
  <si>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</si>
  <si>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</si>
  <si>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</si>
  <si>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</si>
  <si>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</si>
  <si>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</si>
  <si>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</si>
  <si>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</si>
  <si>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</si>
  <si>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</si>
  <si>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</si>
  <si>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</si>
  <si>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</si>
  <si>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</si>
  <si>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</si>
  <si>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</si>
  <si>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</si>
  <si>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</si>
  <si>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</si>
  <si>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</si>
  <si>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</si>
  <si>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</si>
  <si>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</si>
  <si>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</si>
  <si>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</si>
  <si>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</si>
  <si>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</si>
  <si>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</si>
  <si>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</si>
  <si>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</si>
  <si>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</si>
  <si>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</si>
  <si>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</si>
  <si>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</si>
  <si>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</si>
  <si>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</si>
  <si>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</si>
  <si>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</si>
  <si>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</si>
  <si>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</si>
  <si>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</si>
  <si>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</si>
  <si>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</si>
  <si>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</si>
  <si>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</si>
  <si>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</si>
  <si>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</si>
  <si>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</si>
  <si>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</si>
  <si>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</si>
  <si>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</si>
  <si>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</si>
  <si>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</si>
  <si>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</si>
  <si>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</si>
  <si>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</si>
  <si>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</si>
  <si>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</si>
  <si>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</si>
  <si>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</si>
  <si>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</si>
  <si>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</si>
  <si>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</si>
  <si>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</si>
  <si>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</si>
  <si>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</si>
  <si>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</si>
  <si>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</si>
  <si>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</si>
  <si>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</si>
  <si>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</si>
  <si>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</si>
  <si>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</si>
  <si>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</si>
  <si>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</si>
  <si>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</si>
  <si>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</si>
  <si>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</si>
  <si>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</si>
  <si>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</si>
  <si>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</si>
  <si>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</si>
  <si>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</si>
  <si>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</si>
  <si>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</si>
  <si>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</si>
  <si>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</si>
  <si>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</si>
  <si>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</si>
  <si>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</si>
  <si>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</si>
  <si>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</si>
  <si>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</si>
  <si>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</si>
  <si>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</si>
  <si>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</si>
  <si>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</si>
  <si>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</si>
  <si>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</si>
  <si>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</si>
  <si>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</si>
  <si>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</si>
  <si>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</si>
  <si>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</si>
  <si>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</si>
  <si>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</si>
  <si>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</si>
  <si>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</si>
  <si>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</si>
  <si>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</si>
  <si>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</si>
  <si>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</si>
  <si>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</si>
  <si>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</si>
  <si>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</si>
  <si>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</si>
  <si>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</si>
  <si>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</si>
  <si>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</si>
  <si>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</si>
  <si>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</si>
  <si>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</si>
  <si>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</si>
  <si>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</si>
  <si>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</si>
  <si>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</si>
  <si>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</si>
  <si>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</si>
  <si>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</si>
  <si>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</si>
  <si>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</si>
  <si>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</si>
  <si>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</si>
  <si>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</si>
  <si>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</si>
  <si>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</si>
  <si>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</si>
  <si>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</si>
  <si>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</si>
  <si>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</si>
  <si>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</si>
  <si>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</si>
  <si>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</si>
  <si>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</si>
  <si>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</si>
  <si>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</si>
  <si>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</si>
  <si>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</si>
  <si>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</si>
  <si>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</si>
  <si>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</si>
  <si>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</si>
  <si>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</si>
  <si>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</si>
  <si>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</si>
  <si>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</si>
  <si>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</si>
  <si>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</si>
  <si>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</si>
  <si>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</si>
  <si>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</si>
  <si>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</si>
  <si>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</si>
  <si>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</si>
  <si>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</si>
  <si>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</si>
  <si>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</si>
  <si>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</si>
  <si>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</si>
  <si>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</si>
  <si>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</si>
  <si>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</si>
  <si>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</si>
  <si>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</si>
  <si>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</si>
  <si>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</si>
  <si>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</si>
  <si>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</si>
  <si>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</si>
  <si>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</si>
  <si>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</si>
  <si>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</si>
  <si>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</si>
  <si>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</si>
  <si>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</si>
  <si>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</si>
  <si>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</si>
  <si>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</si>
  <si>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</si>
  <si>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</si>
  <si>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</si>
  <si>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</si>
  <si>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</si>
  <si>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</si>
  <si>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</si>
  <si>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</si>
  <si>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</si>
  <si>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</si>
  <si>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</si>
  <si>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</si>
  <si>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</si>
  <si>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</si>
  <si>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</si>
  <si>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</si>
  <si>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</si>
  <si>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</si>
  <si>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</si>
  <si>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</si>
  <si>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</si>
  <si>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</si>
  <si>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</si>
  <si>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</si>
  <si>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</si>
  <si>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</si>
  <si>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</si>
  <si>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</si>
  <si>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</si>
  <si>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</si>
  <si>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</si>
  <si>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</si>
  <si>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</si>
  <si>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</si>
  <si>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</si>
  <si>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</si>
  <si>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</si>
  <si>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</si>
  <si>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</si>
  <si>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</si>
  <si>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</si>
  <si>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</si>
  <si>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</si>
  <si>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</si>
  <si>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</si>
  <si>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</si>
  <si>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</si>
  <si>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</si>
  <si>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</si>
  <si>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</si>
  <si>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</si>
  <si>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</si>
  <si>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</si>
  <si>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</si>
  <si>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</si>
  <si>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</si>
  <si>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</si>
  <si>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</si>
  <si>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</si>
  <si>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</si>
  <si>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</si>
  <si>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</si>
  <si>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</si>
  <si>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</si>
  <si>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</si>
  <si>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</si>
  <si>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</si>
  <si>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</si>
  <si>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</si>
  <si>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</si>
  <si>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</si>
  <si>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</si>
  <si>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</si>
  <si>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</si>
  <si>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</si>
  <si>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</si>
  <si>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</si>
  <si>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</si>
  <si>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</si>
  <si>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</si>
  <si>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</si>
  <si>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</si>
  <si>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</si>
  <si>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</si>
  <si>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</si>
  <si>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</si>
  <si>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</si>
  <si>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</si>
  <si>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</si>
  <si>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</si>
  <si>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</si>
  <si>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</si>
  <si>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</si>
  <si>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</si>
  <si>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</si>
  <si>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</si>
  <si>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</si>
  <si>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</si>
  <si>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</si>
  <si>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</si>
  <si>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</si>
  <si>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</si>
  <si>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</si>
  <si>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</si>
  <si>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</si>
  <si>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</si>
  <si>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</si>
  <si>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</si>
  <si>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</si>
  <si>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</si>
  <si>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</si>
  <si>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</si>
  <si>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</si>
  <si>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</si>
  <si>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</si>
  <si>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</si>
  <si>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</si>
  <si>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</si>
  <si>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</si>
  <si>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</si>
  <si>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</si>
  <si>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</si>
  <si>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</si>
  <si>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</si>
  <si>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</si>
  <si>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</si>
  <si>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</si>
  <si>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</si>
  <si>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</si>
  <si>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</si>
  <si>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</si>
  <si>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</si>
  <si>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</si>
  <si>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</si>
  <si>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</si>
  <si>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</si>
  <si>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</si>
  <si>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</si>
  <si>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</si>
  <si>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</si>
  <si>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</si>
  <si>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</si>
  <si>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</si>
  <si>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</si>
  <si>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</si>
  <si>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</si>
  <si>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</si>
  <si>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</si>
  <si>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</si>
  <si>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</si>
  <si>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</si>
  <si>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</si>
  <si>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</si>
  <si>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</si>
  <si>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</si>
  <si>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</si>
  <si>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</si>
  <si>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</si>
  <si>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</si>
  <si>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</si>
  <si>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</si>
  <si>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</si>
  <si>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</si>
  <si>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</si>
  <si>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</si>
  <si>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</si>
  <si>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</si>
  <si>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</si>
  <si>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</si>
  <si>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</si>
  <si>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</si>
  <si>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</si>
  <si>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</si>
  <si>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</si>
  <si>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</si>
  <si>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</si>
  <si>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</si>
  <si>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</si>
  <si>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</si>
  <si>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</si>
  <si>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</si>
  <si>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</si>
  <si>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</si>
  <si>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</si>
  <si>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</si>
  <si>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</si>
  <si>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</si>
  <si>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</si>
  <si>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</si>
  <si>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</si>
  <si>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</si>
  <si>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</si>
  <si>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</si>
  <si>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</si>
  <si>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</si>
  <si>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</si>
  <si>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</si>
  <si>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</si>
  <si>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</si>
  <si>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</si>
  <si>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</si>
  <si>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</si>
  <si>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</si>
  <si>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</si>
  <si>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</si>
  <si>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</si>
  <si>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</si>
  <si>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</si>
  <si>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</si>
  <si>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</si>
  <si>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</si>
  <si>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</si>
  <si>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</si>
  <si>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</si>
  <si>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</si>
  <si>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</si>
  <si>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</si>
  <si>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</si>
  <si>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</si>
  <si>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</si>
  <si>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</si>
  <si>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</si>
  <si>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</si>
  <si>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</si>
  <si>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</si>
  <si>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</si>
  <si>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</si>
  <si>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</si>
  <si>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</si>
  <si>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</si>
  <si>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</si>
  <si>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</si>
  <si>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</si>
  <si>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</si>
  <si>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</si>
  <si>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</si>
  <si>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</si>
  <si>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</si>
  <si>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</si>
  <si>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</si>
  <si>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</si>
  <si>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</si>
  <si>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</si>
  <si>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</si>
  <si>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</si>
  <si>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</si>
  <si>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</si>
  <si>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</si>
  <si>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</si>
  <si>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</si>
  <si>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</si>
  <si>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</si>
  <si>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</si>
  <si>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</si>
  <si>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</si>
  <si>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</si>
  <si>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</si>
  <si>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</si>
  <si>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</si>
  <si>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</si>
  <si>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</si>
  <si>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</si>
  <si>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</si>
  <si>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</si>
  <si>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</si>
  <si>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</si>
  <si>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</si>
  <si>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</si>
  <si>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</si>
  <si>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</si>
  <si>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</si>
  <si>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</si>
  <si>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</si>
  <si>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</si>
  <si>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</si>
  <si>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</si>
  <si>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</si>
  <si>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</si>
  <si>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</si>
  <si>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</si>
  <si>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</si>
  <si>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</si>
  <si>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</si>
  <si>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</si>
  <si>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</si>
  <si>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</si>
  <si>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</si>
  <si>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</si>
  <si>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</si>
  <si>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</si>
  <si>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</si>
  <si>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</si>
  <si>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</si>
  <si>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</si>
  <si>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</si>
  <si>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</si>
  <si>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</si>
  <si>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</si>
  <si>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</si>
  <si>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</si>
  <si>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</si>
  <si>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</si>
  <si>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</si>
  <si>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</si>
  <si>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</si>
  <si>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</si>
  <si>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</si>
  <si>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</si>
  <si>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</si>
  <si>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</si>
  <si>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</si>
  <si>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</si>
  <si>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</si>
  <si>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</si>
  <si>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</si>
  <si>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</si>
  <si>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</si>
  <si>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</si>
  <si>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</si>
  <si>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</si>
  <si>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</si>
  <si>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</si>
  <si>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C:\Users\nerea.fraile\EUROLEAGUE\EB STATS - Documents\General\SEASON 2025-26\Reports\Euroleague\PDF</t>
  </si>
  <si>
    <t>C:\Users\nerea.fraile\EUROLEAGUE\EB STATS - Documents\General\SEASON 2025-26\Reports\Euroleague</t>
  </si>
  <si>
    <t>CATHERINE RICARD</t>
  </si>
  <si>
    <t>VANESSA CAUCHIE</t>
  </si>
  <si>
    <t>CLAUDINE CARADONNA</t>
  </si>
  <si>
    <t>ISABELLA GUITTI</t>
  </si>
  <si>
    <t>CORINNE LOGERAIS</t>
  </si>
  <si>
    <t>THOMAS ROUSSEL</t>
  </si>
  <si>
    <t>04:06</t>
  </si>
  <si>
    <t>03:44</t>
  </si>
  <si>
    <t>01:49</t>
  </si>
  <si>
    <t>09:27</t>
  </si>
  <si>
    <t>03:47</t>
  </si>
  <si>
    <t>01:13</t>
  </si>
  <si>
    <t>01:07</t>
  </si>
  <si>
    <t>01:04</t>
  </si>
  <si>
    <t>07:11</t>
  </si>
  <si>
    <t>03:05</t>
  </si>
  <si>
    <t>00:27</t>
  </si>
  <si>
    <t>04:49</t>
  </si>
  <si>
    <t>03:15</t>
  </si>
  <si>
    <t>You done a good job, despite making some mistakes, there weren't any important mistake to affect the game. The correctios and comunication was very good and fast.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</si>
</sst>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08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08_077_MCO_PAN_E2025</v>
      </c>
      <c r="G1" s="5"/>
      <c r="H1" s="5"/>
      <c r="I1" s="5"/>
      <c r="J1" s="8" t="s">
        <v>707</v>
      </c>
      <c r="K1" s="121" t="s">
        <v>751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77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45961.791666666664</v>
      </c>
      <c r="C3" s="178"/>
      <c r="D3" s="39">
        <v>539</v>
      </c>
      <c r="E3" s="29"/>
      <c r="F3" s="26">
        <f>SUBTOTAL(3,I17:I106)</f>
        <v>13</v>
      </c>
      <c r="G3" s="27">
        <f>IF(OR(D3="",D3=0),"",F3/D3)</f>
        <v>2.4118738404452691E-2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AS Monaco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742</v>
      </c>
      <c r="L4" s="5"/>
      <c r="M4" s="185" t="s">
        <v>771</v>
      </c>
      <c r="N4" s="186"/>
      <c r="O4" s="2"/>
      <c r="P4" s="2"/>
      <c r="Q4" s="84" t="s">
        <v>175</v>
      </c>
      <c r="R4" s="94">
        <f>(IF(G3="",0,G3))</f>
        <v>2.4118738404452691E-2</v>
      </c>
      <c r="S4" s="61">
        <f>SUM(I13:M13)</f>
        <v>0</v>
      </c>
      <c r="T4" s="78"/>
      <c r="U4" s="61">
        <f>AC18</f>
        <v>1</v>
      </c>
      <c r="V4" s="61">
        <f>+AC22</f>
        <v>8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4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Panathinaikos AKTOR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2.4118738404452689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8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10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752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753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20.911873840445267</v>
      </c>
      <c r="N7" s="58"/>
      <c r="O7" s="2"/>
      <c r="P7" s="2"/>
      <c r="Q7" s="86">
        <f>SUM(R5,S5,AC16)</f>
        <v>20.911873840445267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754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20.911873840445267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755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756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757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77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13</v>
      </c>
      <c r="J15" s="24">
        <f>SUBTOTAL(3,J17:J106)</f>
        <v>13</v>
      </c>
      <c r="K15" s="24">
        <f>SUBTOTAL(3,K17:K106)</f>
        <v>13</v>
      </c>
      <c r="L15" s="24">
        <f>SUBTOTAL(3,L17:L106)</f>
        <v>13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13</v>
      </c>
      <c r="Z16" s="90" t="s">
        <v>110</v>
      </c>
      <c r="AA16" s="75">
        <f>SUM(AA17:AA24)</f>
        <v>13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18.5</v>
      </c>
      <c r="AD16" s="75">
        <f>SUM(AD17:AD24)</f>
        <v>45</v>
      </c>
      <c r="AE16" s="76" t="s">
        <v>42</v>
      </c>
      <c r="AF16" s="75">
        <f>SUM(AF17:AF24)</f>
        <v>6</v>
      </c>
      <c r="AG16" s="75">
        <f>SUM(AG17:AG21)</f>
        <v>13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77</v>
      </c>
      <c r="D17" s="32" t="s">
        <v>758</v>
      </c>
      <c r="E17" s="33">
        <v>1</v>
      </c>
      <c r="F17" s="36">
        <v>11</v>
      </c>
      <c r="G17" s="36">
        <v>9</v>
      </c>
      <c r="H17" s="38" t="str">
        <f>IF(I17="","",$I$14)</f>
        <v>SCOUTING</v>
      </c>
      <c r="I17" s="34">
        <v>64</v>
      </c>
      <c r="J17" s="13" t="s">
        <v>4</v>
      </c>
      <c r="K17" s="13" t="s">
        <v>62</v>
      </c>
      <c r="L17" s="13" t="s">
        <v>6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13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77</v>
      </c>
      <c r="D18" s="32" t="s">
        <v>759</v>
      </c>
      <c r="E18" s="33">
        <v>1</v>
      </c>
      <c r="F18" s="36">
        <v>13</v>
      </c>
      <c r="G18" s="36">
        <v>11</v>
      </c>
      <c r="H18" s="38" t="str">
        <f t="shared" ref="H18:H81" si="8">IF(I18="","",$I$14)</f>
        <v>SCOUTING</v>
      </c>
      <c r="I18" s="34">
        <v>73</v>
      </c>
      <c r="J18" s="13" t="s">
        <v>4</v>
      </c>
      <c r="K18" s="13" t="s">
        <v>62</v>
      </c>
      <c r="L18" s="13" t="s">
        <v>7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5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77</v>
      </c>
      <c r="D19" s="32" t="s">
        <v>760</v>
      </c>
      <c r="E19" s="33">
        <v>1</v>
      </c>
      <c r="F19" s="36">
        <v>20</v>
      </c>
      <c r="G19" s="36">
        <v>14</v>
      </c>
      <c r="H19" s="38" t="str">
        <f t="shared" si="8"/>
        <v>SCOUTING</v>
      </c>
      <c r="I19" s="34">
        <v>104</v>
      </c>
      <c r="J19" s="13" t="s">
        <v>4</v>
      </c>
      <c r="K19" s="13" t="s">
        <v>62</v>
      </c>
      <c r="L19" s="13" t="s">
        <v>6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77</v>
      </c>
      <c r="D20" s="32" t="s">
        <v>761</v>
      </c>
      <c r="E20" s="33">
        <v>2</v>
      </c>
      <c r="F20" s="36">
        <v>27</v>
      </c>
      <c r="G20" s="36">
        <v>20</v>
      </c>
      <c r="H20" s="38" t="str">
        <f t="shared" si="8"/>
        <v>SCOUTING</v>
      </c>
      <c r="I20" s="34">
        <v>138</v>
      </c>
      <c r="J20" s="13" t="s">
        <v>4</v>
      </c>
      <c r="K20" s="13" t="s">
        <v>62</v>
      </c>
      <c r="L20" s="13" t="s">
        <v>6</v>
      </c>
      <c r="M20" s="13" t="s">
        <v>10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77</v>
      </c>
      <c r="D21" s="32" t="s">
        <v>762</v>
      </c>
      <c r="E21" s="33">
        <v>2</v>
      </c>
      <c r="F21" s="36">
        <v>43</v>
      </c>
      <c r="G21" s="36">
        <v>32</v>
      </c>
      <c r="H21" s="38" t="str">
        <f t="shared" si="8"/>
        <v>SCOUTING</v>
      </c>
      <c r="I21" s="34">
        <v>223</v>
      </c>
      <c r="J21" s="13" t="s">
        <v>4</v>
      </c>
      <c r="K21" s="13" t="s">
        <v>62</v>
      </c>
      <c r="L21" s="13" t="s">
        <v>6</v>
      </c>
      <c r="M21" s="13" t="s">
        <v>22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77</v>
      </c>
      <c r="D22" s="32" t="s">
        <v>763</v>
      </c>
      <c r="E22" s="33">
        <v>2</v>
      </c>
      <c r="F22" s="36">
        <v>47</v>
      </c>
      <c r="G22" s="36">
        <v>37</v>
      </c>
      <c r="H22" s="38" t="str">
        <f t="shared" si="8"/>
        <v>SCOUTING</v>
      </c>
      <c r="I22" s="34">
        <v>251</v>
      </c>
      <c r="J22" s="13" t="s">
        <v>4</v>
      </c>
      <c r="K22" s="13" t="s">
        <v>62</v>
      </c>
      <c r="L22" s="13" t="s">
        <v>7</v>
      </c>
      <c r="M22" s="13" t="s">
        <v>12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8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77</v>
      </c>
      <c r="D23" s="32" t="s">
        <v>764</v>
      </c>
      <c r="E23" s="33">
        <v>2</v>
      </c>
      <c r="F23" s="36">
        <v>47</v>
      </c>
      <c r="G23" s="36">
        <v>37</v>
      </c>
      <c r="H23" s="38" t="str">
        <f t="shared" si="8"/>
        <v>SCOUTING</v>
      </c>
      <c r="I23" s="34">
        <v>255</v>
      </c>
      <c r="J23" s="13" t="s">
        <v>4</v>
      </c>
      <c r="K23" s="13" t="s">
        <v>62</v>
      </c>
      <c r="L23" s="13" t="s">
        <v>6</v>
      </c>
      <c r="M23" s="13" t="s">
        <v>9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4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77</v>
      </c>
      <c r="D24" s="32" t="s">
        <v>765</v>
      </c>
      <c r="E24" s="33">
        <v>2</v>
      </c>
      <c r="F24" s="36">
        <v>47</v>
      </c>
      <c r="G24" s="36">
        <v>37</v>
      </c>
      <c r="H24" s="38" t="str">
        <f t="shared" si="8"/>
        <v>SCOUTING</v>
      </c>
      <c r="I24" s="34">
        <v>256</v>
      </c>
      <c r="J24" s="13" t="s">
        <v>4</v>
      </c>
      <c r="K24" s="13" t="s">
        <v>63</v>
      </c>
      <c r="L24" s="13" t="s">
        <v>6</v>
      </c>
      <c r="M24" s="13" t="s">
        <v>10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77</v>
      </c>
      <c r="D25" s="32" t="s">
        <v>766</v>
      </c>
      <c r="E25" s="33">
        <v>3</v>
      </c>
      <c r="F25" s="36">
        <v>54</v>
      </c>
      <c r="G25" s="36">
        <v>50</v>
      </c>
      <c r="H25" s="38" t="str">
        <f t="shared" si="8"/>
        <v>SCOUTING</v>
      </c>
      <c r="I25" s="34">
        <v>313</v>
      </c>
      <c r="J25" s="13" t="s">
        <v>4</v>
      </c>
      <c r="K25" s="13" t="s">
        <v>62</v>
      </c>
      <c r="L25" s="13" t="s">
        <v>7</v>
      </c>
      <c r="M25" s="13" t="s">
        <v>11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E2025</v>
      </c>
      <c r="C26" s="31">
        <f t="shared" si="3"/>
        <v>77</v>
      </c>
      <c r="D26" s="32" t="s">
        <v>767</v>
      </c>
      <c r="E26" s="33">
        <v>3</v>
      </c>
      <c r="F26" s="36">
        <v>65</v>
      </c>
      <c r="G26" s="36">
        <v>55</v>
      </c>
      <c r="H26" s="38" t="str">
        <f t="shared" si="8"/>
        <v>SCOUTING</v>
      </c>
      <c r="I26" s="34">
        <v>368</v>
      </c>
      <c r="J26" s="13" t="s">
        <v>4</v>
      </c>
      <c r="K26" s="13" t="s">
        <v>63</v>
      </c>
      <c r="L26" s="13" t="s">
        <v>6</v>
      </c>
      <c r="M26" s="13" t="s">
        <v>10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E2025</v>
      </c>
      <c r="C27" s="31">
        <f t="shared" si="3"/>
        <v>77</v>
      </c>
      <c r="D27" s="32" t="s">
        <v>768</v>
      </c>
      <c r="E27" s="33">
        <v>3</v>
      </c>
      <c r="F27" s="36">
        <v>68</v>
      </c>
      <c r="G27" s="36">
        <v>58</v>
      </c>
      <c r="H27" s="38" t="str">
        <f t="shared" si="8"/>
        <v>SCOUTING</v>
      </c>
      <c r="I27" s="34">
        <v>407</v>
      </c>
      <c r="J27" s="13" t="s">
        <v>4</v>
      </c>
      <c r="K27" s="13" t="s">
        <v>62</v>
      </c>
      <c r="L27" s="13" t="s">
        <v>7</v>
      </c>
      <c r="M27" s="13" t="s">
        <v>11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E2025</v>
      </c>
      <c r="C28" s="31">
        <f t="shared" si="3"/>
        <v>77</v>
      </c>
      <c r="D28" s="32" t="s">
        <v>769</v>
      </c>
      <c r="E28" s="33">
        <v>4</v>
      </c>
      <c r="F28" s="36">
        <v>85</v>
      </c>
      <c r="G28" s="36">
        <v>64</v>
      </c>
      <c r="H28" s="38" t="str">
        <f t="shared" si="8"/>
        <v>SCOUTING</v>
      </c>
      <c r="I28" s="34">
        <v>471</v>
      </c>
      <c r="J28" s="13" t="s">
        <v>4</v>
      </c>
      <c r="K28" s="13" t="s">
        <v>62</v>
      </c>
      <c r="L28" s="13" t="s">
        <v>6</v>
      </c>
      <c r="M28" s="13" t="s">
        <v>168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E2025</v>
      </c>
      <c r="C29" s="31">
        <f t="shared" si="3"/>
        <v>77</v>
      </c>
      <c r="D29" s="32" t="s">
        <v>770</v>
      </c>
      <c r="E29" s="33">
        <v>4</v>
      </c>
      <c r="F29" s="36">
        <v>87</v>
      </c>
      <c r="G29" s="36">
        <v>71</v>
      </c>
      <c r="H29" s="38" t="str">
        <f t="shared" si="8"/>
        <v>SCOUTING</v>
      </c>
      <c r="I29" s="34">
        <v>493</v>
      </c>
      <c r="J29" s="13" t="s">
        <v>4</v>
      </c>
      <c r="K29" s="13" t="s">
        <v>63</v>
      </c>
      <c r="L29" s="13" t="s">
        <v>5</v>
      </c>
      <c r="M29" s="13" t="s">
        <v>11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5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REPORT_E2025077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"E2025077"</v>
      </c>
      <c r="F3" s="45" t="str">
        <f t="shared" ref="F3:F16" si="0">""""&amp;B3&amp;"""" &amp; " : " &amp;C3&amp;","</f>
        <v>"name" : "E2025077",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"E077"</v>
      </c>
      <c r="F4" s="45" t="str">
        <f t="shared" si="0"/>
        <v>"cod" : "E077",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077</v>
      </c>
      <c r="F6" s="45" t="str">
        <f t="shared" si="0"/>
        <v>"number" : 077,</v>
      </c>
    </row>
    <row r="7" spans="2:6" x14ac:dyDescent="0.25">
      <c r="B7" s="43" t="s">
        <v>116</v>
      </c>
      <c r="C7" s="43" t="str">
        <f ca="1">""""&amp;TEXT('SCOUT &amp; LOGISTICS'!B3,"dd/mm/aaaa")&amp;""""</f>
        <v>"31/10/Friday"</v>
      </c>
      <c r="F7" s="45" t="str">
        <f t="shared" ca="1" si="0"/>
        <v>"date" : "31/10/Friday",</v>
      </c>
    </row>
    <row r="8" spans="2:6" x14ac:dyDescent="0.25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5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"CATHERINE RICARD"</v>
      </c>
      <c r="F10" s="45" t="str">
        <f t="shared" si="0"/>
        <v>"Data_entry" : "CATHERINE RICARD",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"VANESSA CAUCHIE"</v>
      </c>
      <c r="F11" s="45" t="str">
        <f t="shared" si="0"/>
        <v>"Caller_1" : "VANESSA CAUCHIE",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"CLAUDINE CARADONNA"</v>
      </c>
      <c r="F12" s="45" t="str">
        <f t="shared" si="0"/>
        <v>"Caller_2" : "CLAUDINE CARADONNA",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"ISABELLA GUITTI"</v>
      </c>
      <c r="F13" s="45" t="str">
        <f t="shared" si="0"/>
        <v>"Timerkeeper" : "ISABELLA GUITTI",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"CORINNE LOGERAIS"</v>
      </c>
      <c r="F14" s="45" t="str">
        <f t="shared" si="0"/>
        <v>"Shotclock" : "CORINNE LOGERAIS",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"THOMAS ROUSSEL"</v>
      </c>
      <c r="F15" s="45" t="str">
        <f t="shared" si="0"/>
        <v>"IRS" : "THOMAS ROUSSEL",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539</v>
      </c>
      <c r="F25" s="45" t="str">
        <f t="shared" ref="F25:F48" si="1">""""&amp;C25&amp;"""" &amp; " : " &amp;D25&amp;","</f>
        <v>"total_actions" : 539,</v>
      </c>
    </row>
    <row r="26" spans="2:6" x14ac:dyDescent="0.25">
      <c r="C26" s="43" t="s">
        <v>132</v>
      </c>
      <c r="D26" s="43">
        <f>'SCOUT &amp; LOGISTICS'!F3</f>
        <v>13</v>
      </c>
      <c r="F26" s="45" t="str">
        <f t="shared" si="1"/>
        <v>"total_correcions" : 13,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10</v>
      </c>
      <c r="F29" s="45" t="str">
        <f t="shared" si="1"/>
        <v>"no_team" : 10,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5</v>
      </c>
      <c r="F32" s="45" t="str">
        <f t="shared" si="1"/>
        <v>"q2" : 5,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13</v>
      </c>
      <c r="F37" s="45" t="str">
        <f t="shared" si="1"/>
        <v>"scoresheet_corrections" : 13,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4</v>
      </c>
      <c r="F46" s="45" t="str">
        <f t="shared" si="1"/>
        <v>"part_of_a_sequence" : 4,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"You done a good job, despite making some mistakes, there weren't any important mistake to affect the game. The correctios and comunication was very good and fast."</v>
      </c>
      <c r="F51" s="45" t="str">
        <f>""""&amp;B51&amp;"""" &amp; " : " &amp;C51&amp;","</f>
        <v>"comments" : "You done a good job, despite making some mistakes, there weren't any important mistake to affect the game. The correctios and comunication was very good and fast.",</v>
      </c>
    </row>
    <row r="52" spans="2:6" x14ac:dyDescent="0.25">
      <c r="B52" s="43" t="s">
        <v>153</v>
      </c>
      <c r="C52" s="43" t="str">
        <f>TEXT('SCOUT &amp; LOGISTICS'!F1,"0,0")</f>
        <v>08_077_MCO_PAN_E2025</v>
      </c>
      <c r="F52" s="45" t="str">
        <f>""""&amp;B52&amp;"""" &amp; " : " &amp;C52</f>
        <v>"result" : 08_077_MCO_PAN_E2025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E077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31/10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As Monaco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Panathinaikos Aktor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CATHERINE RICARD</v>
      </c>
      <c r="C8" s="201"/>
      <c r="D8" s="201"/>
      <c r="E8" s="201"/>
      <c r="F8" s="201"/>
      <c r="G8" s="201" t="str">
        <f>IF('SCOUT &amp; LOGISTICS'!D7="","",'SCOUT &amp; LOGISTICS'!D7)</f>
        <v>VANESSA CAUCHIE</v>
      </c>
      <c r="H8" s="201"/>
      <c r="I8" s="201"/>
      <c r="J8" s="201"/>
      <c r="K8" s="201"/>
      <c r="L8" s="201" t="str">
        <f>IF('SCOUT &amp; LOGISTICS'!D8="","",'SCOUT &amp; LOGISTICS'!D8)</f>
        <v>CLAUDINE CARADONNA</v>
      </c>
      <c r="M8" s="201"/>
      <c r="N8" s="201"/>
      <c r="O8" s="201"/>
      <c r="P8" s="201"/>
      <c r="Q8" s="201" t="str">
        <f>IF('SCOUT &amp; LOGISTICS'!D9="","",'SCOUT &amp; LOGISTICS'!D9)</f>
        <v>ISABELLA GUITTI</v>
      </c>
      <c r="R8" s="201"/>
      <c r="S8" s="201"/>
      <c r="T8" s="201"/>
      <c r="U8" s="201"/>
      <c r="V8" s="201" t="str">
        <f>IF('SCOUT &amp; LOGISTICS'!D10="","",'SCOUT &amp; LOGISTICS'!D10)</f>
        <v>CORINNE LOGERAIS</v>
      </c>
      <c r="W8" s="201"/>
      <c r="X8" s="201"/>
      <c r="Y8" s="201"/>
      <c r="Z8" s="201"/>
      <c r="AA8" s="201" t="str">
        <f>IF('SCOUT &amp; LOGISTICS'!D11="","",'SCOUT &amp; LOGISTICS'!D11)</f>
        <v>THOMAS ROUSSEL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539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2.4118738404452691E-2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3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3</v>
      </c>
      <c r="C22" s="199"/>
      <c r="D22" s="199"/>
      <c r="E22" s="199"/>
      <c r="F22" s="199"/>
      <c r="G22" s="199"/>
      <c r="H22" s="199">
        <f>'SCOUT &amp; LOGISTICS'!AG18</f>
        <v>5</v>
      </c>
      <c r="I22" s="199"/>
      <c r="J22" s="199"/>
      <c r="K22" s="199"/>
      <c r="L22" s="199"/>
      <c r="M22" s="199"/>
      <c r="N22" s="199">
        <f>'SCOUT &amp; LOGISTICS'!AG19</f>
        <v>3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13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8</v>
      </c>
      <c r="H27" s="199"/>
      <c r="I27" s="199"/>
      <c r="J27" s="199"/>
      <c r="K27" s="199"/>
      <c r="L27" s="199">
        <f>'SCOUT &amp; LOGISTICS'!AC23</f>
        <v>4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You done a good job, despite making some mistakes, there weren't any important mistake to affect the game. The correctios and comunication was very good and fast.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20.911873840445267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0049F21-F93A-4FFF-A4C7-A064CD6DF20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2025-10-31T21:10:53Z</cp:lastPrinted>
  <dcterms:created xsi:type="dcterms:W3CDTF">2023-09-19T19:50:35Z</dcterms:created>
  <dcterms:modified xsi:type="dcterms:W3CDTF">2025-10-31T21:10:56Z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