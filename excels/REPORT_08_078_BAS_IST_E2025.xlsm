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3" documentId="8_{ACC63C6E-197B-4AED-9522-FD8CB6B0B4DC}" xr6:coauthVersionLast="47" xr6:coauthVersionMax="47" xr10:uidLastSave="{D5B41898-C5B6-4087-A883-9524B93AB6B5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<sst xmlns="http://schemas.openxmlformats.org/spreadsheetml/2006/main" count="3260" uniqueCount="761">
  <si>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</si>
  <si>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</si>
  <si>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</si>
  <si>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</si>
  <si>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</si>
  <si>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</si>
  <si>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</si>
  <si>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</si>
  <si>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</si>
  <si>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</si>
  <si>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</si>
  <si>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</si>
  <si>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</si>
  <si>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</si>
  <si>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</si>
  <si>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</si>
  <si>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</si>
  <si>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</si>
  <si>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</si>
  <si>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</si>
  <si>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</si>
  <si>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</si>
  <si>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</si>
  <si>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</si>
  <si>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</si>
  <si>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</si>
  <si>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</si>
  <si>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</si>
  <si>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</si>
  <si>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</si>
  <si>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</si>
  <si>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</si>
  <si>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</si>
  <si>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</si>
  <si>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</si>
  <si>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</si>
  <si>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</si>
  <si>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</si>
  <si>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</si>
  <si>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</si>
  <si>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</si>
  <si>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</si>
  <si>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</si>
  <si>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</si>
  <si>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</si>
  <si>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</si>
  <si>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</si>
  <si>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</si>
  <si>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</si>
  <si>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</si>
  <si>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</si>
  <si>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</si>
  <si>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</si>
  <si>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</si>
  <si>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</si>
  <si>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</si>
  <si>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</si>
  <si>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</si>
  <si>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</si>
  <si>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</si>
  <si>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</si>
  <si>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</si>
  <si>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</si>
  <si>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</si>
  <si>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</si>
  <si>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</si>
  <si>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</si>
  <si>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</si>
  <si>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</si>
  <si>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</si>
  <si>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</si>
  <si>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</si>
  <si>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</si>
  <si>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</si>
  <si>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</si>
  <si>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</si>
  <si>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</si>
  <si>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</si>
  <si>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</si>
  <si>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</si>
  <si>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</si>
  <si>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</si>
  <si>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</si>
  <si>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</si>
  <si>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</si>
  <si>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</si>
  <si>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</si>
  <si>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</si>
  <si>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</si>
  <si>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</si>
  <si>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</si>
  <si>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</si>
  <si>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</si>
  <si>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</si>
  <si>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</si>
  <si>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</si>
  <si>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</si>
  <si>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</si>
  <si>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</si>
  <si>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</si>
  <si>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</si>
  <si>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</si>
  <si>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</si>
  <si>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</si>
  <si>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</si>
  <si>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</si>
  <si>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</si>
  <si>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</si>
  <si>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</si>
  <si>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</si>
  <si>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</si>
  <si>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</si>
  <si>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</si>
  <si>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</si>
  <si>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</si>
  <si>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</si>
  <si>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</si>
  <si>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</si>
  <si>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</si>
  <si>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</si>
  <si>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</si>
  <si>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</si>
  <si>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</si>
  <si>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</si>
  <si>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</si>
  <si>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</si>
  <si>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</si>
  <si>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</si>
  <si>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</si>
  <si>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</si>
  <si>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</si>
  <si>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</si>
  <si>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</si>
  <si>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</si>
  <si>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</si>
  <si>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</si>
  <si>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</si>
  <si>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</si>
  <si>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</si>
  <si>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</si>
  <si>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</si>
  <si>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</si>
  <si>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</si>
  <si>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</si>
  <si>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</si>
  <si>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</si>
  <si>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</si>
  <si>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</si>
  <si>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</si>
  <si>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</si>
  <si>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</si>
  <si>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</si>
  <si>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</si>
  <si>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</si>
  <si>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</si>
  <si>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</si>
  <si>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</si>
  <si>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</si>
  <si>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</si>
  <si>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</si>
  <si>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</si>
  <si>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</si>
  <si>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</si>
  <si>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</si>
  <si>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</si>
  <si>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</si>
  <si>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</si>
  <si>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</si>
  <si>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</si>
  <si>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</si>
  <si>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</si>
  <si>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</si>
  <si>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</si>
  <si>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</si>
  <si>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</si>
  <si>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</si>
  <si>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</si>
  <si>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</si>
  <si>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</si>
  <si>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</si>
  <si>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</si>
  <si>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</si>
  <si>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</si>
  <si>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</si>
  <si>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</si>
  <si>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</si>
  <si>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</si>
  <si>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</si>
  <si>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</si>
  <si>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</si>
  <si>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</si>
  <si>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</si>
  <si>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</si>
  <si>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</si>
  <si>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</si>
  <si>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</si>
  <si>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</si>
  <si>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</si>
  <si>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</si>
  <si>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</si>
  <si>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</si>
  <si>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</si>
  <si>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</si>
  <si>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</si>
  <si>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</si>
  <si>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</si>
  <si>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</si>
  <si>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</si>
  <si>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</si>
  <si>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</si>
  <si>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</si>
  <si>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</si>
  <si>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</si>
  <si>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</si>
  <si>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</si>
  <si>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</si>
  <si>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</si>
  <si>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</si>
  <si>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</si>
  <si>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</si>
  <si>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</si>
  <si>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</si>
  <si>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</si>
  <si>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</si>
  <si>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</si>
  <si>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</si>
  <si>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</si>
  <si>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</si>
  <si>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</si>
  <si>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</si>
  <si>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</si>
  <si>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</si>
  <si>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</si>
  <si>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</si>
  <si>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</si>
  <si>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</si>
  <si>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</si>
  <si>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</si>
  <si>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</si>
  <si>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</si>
  <si>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</si>
  <si>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</si>
  <si>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</si>
  <si>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</si>
  <si>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</si>
  <si>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</si>
  <si>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</si>
  <si>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</si>
  <si>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</si>
  <si>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</si>
  <si>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</si>
  <si>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</si>
  <si>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</si>
  <si>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</si>
  <si>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</si>
  <si>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</si>
  <si>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</si>
  <si>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</si>
  <si>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</si>
  <si>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</si>
  <si>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</si>
  <si>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</si>
  <si>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</si>
  <si>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</si>
  <si>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</si>
  <si>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</si>
  <si>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</si>
  <si>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</si>
  <si>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</si>
  <si>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</si>
  <si>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</si>
  <si>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</si>
  <si>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</si>
  <si>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</si>
  <si>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</si>
  <si>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</si>
  <si>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</si>
  <si>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</si>
  <si>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</si>
  <si>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</si>
  <si>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</si>
  <si>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</si>
  <si>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</si>
  <si>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</si>
  <si>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</si>
  <si>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</si>
  <si>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</si>
  <si>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</si>
  <si>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</si>
  <si>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</si>
  <si>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</si>
  <si>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</si>
  <si>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</si>
  <si>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</si>
  <si>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</si>
  <si>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</si>
  <si>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</si>
  <si>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</si>
  <si>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</si>
  <si>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</si>
  <si>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</si>
  <si>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</si>
  <si>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</si>
  <si>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</si>
  <si>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</si>
  <si>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</si>
  <si>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</si>
  <si>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</si>
  <si>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</si>
  <si>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</si>
  <si>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</si>
  <si>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</si>
  <si>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</si>
  <si>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</si>
  <si>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</si>
  <si>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</si>
  <si>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</si>
  <si>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</si>
  <si>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</si>
  <si>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</si>
  <si>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</si>
  <si>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</si>
  <si>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</si>
  <si>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</si>
  <si>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</si>
  <si>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</si>
  <si>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</si>
  <si>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</si>
  <si>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</si>
  <si>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</si>
  <si>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</si>
  <si>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</si>
  <si>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</si>
  <si>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</si>
  <si>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</si>
  <si>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</si>
  <si>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</si>
  <si>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</si>
  <si>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</si>
  <si>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</si>
  <si>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</si>
  <si>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</si>
  <si>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</si>
  <si>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</si>
  <si>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</si>
  <si>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</si>
  <si>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</si>
  <si>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</si>
  <si>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</si>
  <si>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</si>
  <si>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</si>
  <si>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</si>
  <si>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</si>
  <si>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</si>
  <si>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</si>
  <si>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</si>
  <si>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</si>
  <si>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</si>
  <si>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</si>
  <si>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</si>
  <si>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</si>
  <si>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</si>
  <si>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</si>
  <si>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</si>
  <si>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</si>
  <si>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</si>
  <si>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</si>
  <si>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</si>
  <si>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</si>
  <si>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</si>
  <si>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</si>
  <si>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</si>
  <si>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</si>
  <si>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</si>
  <si>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</si>
  <si>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</si>
  <si>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</si>
  <si>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</si>
  <si>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</si>
  <si>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</si>
  <si>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</si>
  <si>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</si>
  <si>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</si>
  <si>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</si>
  <si>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</si>
  <si>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</si>
  <si>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</si>
  <si>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</si>
  <si>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</si>
  <si>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</si>
  <si>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</si>
  <si>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</si>
  <si>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</si>
  <si>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</si>
  <si>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</si>
  <si>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</si>
  <si>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</si>
  <si>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</si>
  <si>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</si>
  <si>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</si>
  <si>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</si>
  <si>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</si>
  <si>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</si>
  <si>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</si>
  <si>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</si>
  <si>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</si>
  <si>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</si>
  <si>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</si>
  <si>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</si>
  <si>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</si>
  <si>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</si>
  <si>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</si>
  <si>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</si>
  <si>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</si>
  <si>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</si>
  <si>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</si>
  <si>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</si>
  <si>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</si>
  <si>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</si>
  <si>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</si>
  <si>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</si>
  <si>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</si>
  <si>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</si>
  <si>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</si>
  <si>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</si>
  <si>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</si>
  <si>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</si>
  <si>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</si>
  <si>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</si>
  <si>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</si>
  <si>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</si>
  <si>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</si>
  <si>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</si>
  <si>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</si>
  <si>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</si>
  <si>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</si>
  <si>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</si>
  <si>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</si>
  <si>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</si>
  <si>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</si>
  <si>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</si>
  <si>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</si>
  <si>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</si>
  <si>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</si>
  <si>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</si>
  <si>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</si>
  <si>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</si>
  <si>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</si>
  <si>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</si>
  <si>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</si>
  <si>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</si>
  <si>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</si>
  <si>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</si>
  <si>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</si>
  <si>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</si>
  <si>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</si>
  <si>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</si>
  <si>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</si>
  <si>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</si>
  <si>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</si>
  <si>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</si>
  <si>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</si>
  <si>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</si>
  <si>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</si>
  <si>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</si>
  <si>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</si>
  <si>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</si>
  <si>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</si>
  <si>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</si>
  <si>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</si>
  <si>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</si>
  <si>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</si>
  <si>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</si>
  <si>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</si>
  <si>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</si>
  <si>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</si>
  <si>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</si>
  <si>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</si>
  <si>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</si>
  <si>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</si>
  <si>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</si>
  <si>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</si>
  <si>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</si>
  <si>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</si>
  <si>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</si>
  <si>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</si>
  <si>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</si>
  <si>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</si>
  <si>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</si>
  <si>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</si>
  <si>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</si>
  <si>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</si>
  <si>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</si>
  <si>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</si>
  <si>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</si>
  <si>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</si>
  <si>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</si>
  <si>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</si>
  <si>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</si>
  <si>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</si>
  <si>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</si>
  <si>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</si>
  <si>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</si>
  <si>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</si>
  <si>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</si>
  <si>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</si>
  <si>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</si>
  <si>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</si>
  <si>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</si>
  <si>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</si>
  <si>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</si>
  <si>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</si>
  <si>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</si>
  <si>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</si>
  <si>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</si>
  <si>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</si>
  <si>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</si>
  <si>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</si>
  <si>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</si>
  <si>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</si>
  <si>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</si>
  <si>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</si>
  <si>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</si>
  <si>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</si>
  <si>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</si>
  <si>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</si>
  <si>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</si>
  <si>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</si>
  <si>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</si>
  <si>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</si>
  <si>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</si>
  <si>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</si>
  <si>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</si>
  <si>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</si>
  <si>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</si>
  <si>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</si>
  <si>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</si>
  <si>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</si>
  <si>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</si>
  <si>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</si>
  <si>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</si>
  <si>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</si>
  <si>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</si>
  <si>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</si>
  <si>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</si>
  <si>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</si>
  <si>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</si>
  <si>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</si>
  <si>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</si>
  <si>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</si>
  <si>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</si>
  <si>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</si>
  <si>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</si>
  <si>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</si>
  <si>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</si>
  <si>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</si>
  <si>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</si>
  <si>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</si>
  <si>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</si>
  <si>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</si>
  <si>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</si>
  <si>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</si>
  <si>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</si>
  <si>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</si>
  <si>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</si>
  <si>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</si>
  <si>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</si>
  <si>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</si>
  <si>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</si>
  <si>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</si>
  <si>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</si>
  <si>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</si>
  <si>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</si>
  <si>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</si>
  <si>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</si>
  <si>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</si>
  <si>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</si>
  <si>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</si>
  <si>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</si>
  <si>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</si>
  <si>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</si>
  <si>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</si>
  <si>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</si>
  <si>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</si>
  <si>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</si>
  <si>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</si>
  <si>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</si>
  <si>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</si>
  <si>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</si>
  <si>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</si>
  <si>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</si>
  <si>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</si>
  <si>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</si>
  <si>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</si>
  <si>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</si>
  <si>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</si>
  <si>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</si>
  <si>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</si>
  <si>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</si>
  <si>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</si>
  <si>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</si>
  <si>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</si>
  <si>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</si>
  <si>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</si>
  <si>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</si>
  <si>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</si>
  <si>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</si>
  <si>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</si>
  <si>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</si>
  <si>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</si>
  <si>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</si>
  <si>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</si>
  <si>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</si>
  <si>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</si>
  <si>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</si>
  <si>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</si>
  <si>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</si>
  <si>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</si>
  <si>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</si>
  <si>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</si>
  <si>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</si>
  <si>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</si>
  <si>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</si>
  <si>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</si>
  <si>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</si>
  <si>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</si>
  <si>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</si>
  <si>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</si>
  <si>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</si>
  <si>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</si>
  <si>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</si>
  <si>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</si>
  <si>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</si>
  <si>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</si>
  <si>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</si>
  <si>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</si>
  <si>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</si>
  <si>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</si>
  <si>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</si>
  <si>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</si>
  <si>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</si>
  <si>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</si>
  <si>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</si>
  <si>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</si>
  <si>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</si>
  <si>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</si>
  <si>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</si>
  <si>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</si>
  <si>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</si>
  <si>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</si>
  <si>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</si>
  <si>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</si>
  <si>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</si>
  <si>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</si>
  <si>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</si>
  <si>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</si>
  <si>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</si>
  <si>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</si>
  <si>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</si>
  <si>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</si>
  <si>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</si>
  <si>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</si>
  <si>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</si>
  <si>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</si>
  <si>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</si>
  <si>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</si>
  <si>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</si>
  <si>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</si>
  <si>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</si>
  <si>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</si>
  <si>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</si>
  <si>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</si>
  <si>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</si>
  <si>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</si>
  <si>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</si>
  <si>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</si>
  <si>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</si>
  <si>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</si>
  <si>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</si>
  <si>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</si>
  <si>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</si>
  <si>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</si>
  <si>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</si>
  <si>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</si>
  <si>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</si>
  <si>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</si>
  <si>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</si>
  <si>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</si>
  <si>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</si>
  <si>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</si>
  <si>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</si>
  <si>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</si>
  <si>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</si>
  <si>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</si>
  <si>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</si>
  <si>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</si>
  <si>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</si>
  <si>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</si>
  <si>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</si>
  <si>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</si>
  <si>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</si>
  <si>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</si>
  <si>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</si>
  <si>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</si>
  <si>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</si>
  <si>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</si>
  <si>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</si>
  <si>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</si>
  <si>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</si>
  <si>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</si>
  <si>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</si>
  <si>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</si>
  <si>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</si>
  <si>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</si>
  <si>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</si>
  <si>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</si>
  <si>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</si>
  <si>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</si>
  <si>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</si>
  <si>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</si>
  <si>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</si>
  <si>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</si>
  <si>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</si>
  <si>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</si>
  <si>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</si>
  <si>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</si>
  <si>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</si>
  <si>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</si>
  <si>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</si>
  <si>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</si>
  <si>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</si>
  <si>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</si>
  <si>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</si>
  <si>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</si>
  <si>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</si>
  <si>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</si>
  <si>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</si>
  <si>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</si>
  <si>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</si>
  <si>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</si>
  <si>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</si>
  <si>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</si>
  <si>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</si>
  <si>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</si>
  <si>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</si>
  <si>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</si>
  <si>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</si>
  <si>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</si>
  <si>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</si>
  <si>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</si>
  <si>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ELOI VERGÉ</t>
  </si>
  <si>
    <t>ANDONI COLMENERO</t>
  </si>
  <si>
    <t>RAQUEL GARCIA-SAMPEDRO</t>
  </si>
  <si>
    <t>LUIS MOULIAA</t>
  </si>
  <si>
    <t>FERNANDO ESTARRONA</t>
  </si>
  <si>
    <t>RODRIGO MENDAZA</t>
  </si>
  <si>
    <t>IKER BASCONES</t>
  </si>
  <si>
    <t>03:58</t>
  </si>
  <si>
    <t>02:32</t>
  </si>
  <si>
    <t>05:10</t>
  </si>
  <si>
    <t>Very good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</si>
</sst>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08_078_BAS_IST_E2025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 cm="1">
        <f t="array" aca="1" ref="B3" ca="1">IF(ISERROR(N1VLOOKUP($B$2&amp;TEXT($C$2,"000"),GAMES!$A$3:$I$562,8,FALSE)),NOW(),VLOOKUP($B$2&amp;TEXT($C$2,"000"),GAMES!$A$3:$I$562,8,FALSE))</f>
        <v>45961.950634259258</v>
      </c>
      <c r="C3" s="157"/>
      <c r="D3" s="39">
        <v>610</v>
      </c>
      <c r="E3" s="29"/>
      <c r="F3" s="26">
        <f>SUBTOTAL(3,I17:I106)</f>
        <v>3</v>
      </c>
      <c r="G3" s="27">
        <f>IF(OR(D3="",D3=0),"",F3/D3)</f>
        <v>4.9180327868852463E-3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4.9180327868852463E-3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0.49180327868852464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3.9918032786885247</v>
      </c>
      <c r="N7" s="58"/>
      <c r="O7" s="2"/>
      <c r="P7" s="2"/>
      <c r="Q7" s="86">
        <f>SUM(R5,S5,AC16)</f>
        <v>3.9918032786885247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3.9918032786885247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78</v>
      </c>
      <c r="D17" s="32" t="s">
        <v>757</v>
      </c>
      <c r="E17" s="33">
        <v>1</v>
      </c>
      <c r="F17" s="36">
        <v>10</v>
      </c>
      <c r="G17" s="36">
        <v>6</v>
      </c>
      <c r="H17" s="38" t="str">
        <f>IF(I17="","",$I$14)</f>
        <v>SCOUTING</v>
      </c>
      <c r="I17" s="34">
        <v>73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78</v>
      </c>
      <c r="D18" s="32" t="s">
        <v>758</v>
      </c>
      <c r="E18" s="33">
        <v>2</v>
      </c>
      <c r="F18" s="36">
        <v>39</v>
      </c>
      <c r="G18" s="36">
        <v>28</v>
      </c>
      <c r="H18" s="38" t="str">
        <f t="shared" ref="H18:H81" si="8">IF(I18="","",$I$14)</f>
        <v>SCOUTING</v>
      </c>
      <c r="I18" s="34">
        <v>267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78</v>
      </c>
      <c r="D19" s="32" t="s">
        <v>759</v>
      </c>
      <c r="E19" s="33">
        <v>4</v>
      </c>
      <c r="F19" s="36">
        <v>72</v>
      </c>
      <c r="G19" s="36">
        <v>61</v>
      </c>
      <c r="H19" s="38" t="str">
        <f t="shared" si="8"/>
        <v>SCOUTING</v>
      </c>
      <c r="I19" s="34">
        <v>538</v>
      </c>
      <c r="J19" s="13" t="s">
        <v>4</v>
      </c>
      <c r="K19" s="13" t="s">
        <v>63</v>
      </c>
      <c r="L19" s="13" t="s">
        <v>7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"E2025078"</v>
      </c>
      <c r="F3" s="45" t="str">
        <f t="shared" ref="F3:F16" si="0">""""&amp;B3&amp;"""" &amp; " : " &amp;C3&amp;","</f>
        <v>"name" : "E2025078",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"E078"</v>
      </c>
      <c r="F4" s="45" t="str">
        <f t="shared" si="0"/>
        <v>"cod" : "E078",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078</v>
      </c>
      <c r="F6" s="45" t="str">
        <f t="shared" si="0"/>
        <v>"number" : 078,</v>
      </c>
    </row>
    <row r="7" spans="2:6" x14ac:dyDescent="0.25">
      <c r="B7" s="43" t="s">
        <v>116</v>
      </c>
      <c r="C7" s="43" t="str">
        <f ca="1">""""&amp;TEXT('SCOUT &amp; LOGISTICS'!B3,"dd/mm/aaaa")&amp;""""</f>
        <v>"31/10/2025"</v>
      </c>
      <c r="F7" s="45" t="str">
        <f t="shared" ca="1" si="0"/>
        <v>"date" : "31/10/2025",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"FERNANDO ESTARRONA"</v>
      </c>
      <c r="F13" s="45" t="str">
        <f t="shared" si="0"/>
        <v>"Timerkeeper" : "FERNANDO ESTARRONA",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"RODRIGO MENDAZA"</v>
      </c>
      <c r="F14" s="45" t="str">
        <f t="shared" si="0"/>
        <v>"Shotclock" : "RODRIGO MENDAZA",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610</v>
      </c>
      <c r="F25" s="45" t="str">
        <f t="shared" ref="F25:F48" si="1">""""&amp;C25&amp;"""" &amp; " : " &amp;D25&amp;","</f>
        <v>"total_actions" : 610,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as always! Keep it up!"</v>
      </c>
      <c r="F51" s="45" t="str">
        <f>""""&amp;B51&amp;"""" &amp; " : " &amp;C51&amp;","</f>
        <v>"comments" : "Very good job as always! Keep it up!",</v>
      </c>
    </row>
    <row r="52" spans="2:6" x14ac:dyDescent="0.25">
      <c r="B52" s="43" t="s">
        <v>153</v>
      </c>
      <c r="C52" s="43" t="str">
        <f>TEXT('SCOUT &amp; LOGISTICS'!F1,"0,0")</f>
        <v>08_078_BAS_IST_E2025</v>
      </c>
      <c r="F52" s="45" t="str">
        <f>""""&amp;B52&amp;"""" &amp; " : " &amp;C52</f>
        <v>"result" : 08_078_BAS_IST_E2025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E078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31/10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FERNANDO ESTARRONA</v>
      </c>
      <c r="R8" s="206"/>
      <c r="S8" s="206"/>
      <c r="T8" s="206"/>
      <c r="U8" s="206"/>
      <c r="V8" s="206" t="str">
        <f>IF('SCOUT &amp; LOGISTICS'!D10="","",'SCOUT &amp; LOGISTICS'!D10)</f>
        <v>RODRIGO MENDAZA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610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4.9180327868852463E-3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 as always!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3.9918032786885247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39CA7A-DAC5-493B-A894-29920A56447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2025-10-31T21:48:54Z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