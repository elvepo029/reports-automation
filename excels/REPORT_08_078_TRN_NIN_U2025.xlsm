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38" documentId="8_{D9124116-5234-44DA-9CA0-DCB6B6CB063F}" xr6:coauthVersionLast="47" xr6:coauthVersionMax="47" xr10:uidLastSave="{441DD4E6-2CEE-4537-A428-B0088B77C5D3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<sst xmlns="http://schemas.openxmlformats.org/spreadsheetml/2006/main" count="3314" uniqueCount="772">
  <si>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</si>
  <si>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</si>
  <si>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</si>
  <si>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</si>
  <si>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</si>
  <si>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</si>
  <si>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</si>
  <si>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</si>
  <si>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</si>
  <si>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</si>
  <si>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</si>
  <si>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</si>
  <si>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</si>
  <si>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</si>
  <si>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</si>
  <si>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</si>
  <si>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</si>
  <si>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</si>
  <si>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</si>
  <si>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</si>
  <si>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</si>
  <si>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</si>
  <si>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</si>
  <si>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</si>
  <si>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</si>
  <si>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</si>
  <si>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</si>
  <si>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</si>
  <si>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</si>
  <si>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</si>
  <si>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</si>
  <si>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</si>
  <si>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</si>
  <si>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</si>
  <si>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</si>
  <si>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</si>
  <si>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</si>
  <si>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</si>
  <si>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</si>
  <si>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</si>
  <si>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</si>
  <si>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</si>
  <si>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</si>
  <si>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</si>
  <si>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</si>
  <si>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</si>
  <si>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</si>
  <si>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</si>
  <si>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</si>
  <si>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</si>
  <si>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</si>
  <si>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</si>
  <si>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</si>
  <si>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</si>
  <si>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</si>
  <si>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</si>
  <si>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</si>
  <si>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</si>
  <si>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</si>
  <si>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</si>
  <si>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</si>
  <si>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</si>
  <si>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</si>
  <si>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</si>
  <si>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</si>
  <si>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</si>
  <si>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</si>
  <si>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</si>
  <si>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</si>
  <si>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</si>
  <si>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</si>
  <si>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</si>
  <si>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</si>
  <si>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</si>
  <si>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</si>
  <si>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</si>
  <si>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</si>
  <si>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</si>
  <si>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</si>
  <si>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</si>
  <si>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</si>
  <si>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</si>
  <si>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</si>
  <si>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</si>
  <si>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</si>
  <si>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</si>
  <si>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</si>
  <si>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</si>
  <si>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</si>
  <si>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</si>
  <si>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</si>
  <si>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</si>
  <si>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</si>
  <si>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</si>
  <si>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</si>
  <si>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</si>
  <si>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</si>
  <si>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</si>
  <si>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</si>
  <si>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</si>
  <si>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</si>
  <si>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</si>
  <si>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</si>
  <si>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</si>
  <si>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</si>
  <si>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</si>
  <si>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</si>
  <si>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</si>
  <si>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</si>
  <si>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</si>
  <si>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</si>
  <si>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</si>
  <si>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</si>
  <si>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</si>
  <si>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</si>
  <si>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</si>
  <si>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</si>
  <si>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</si>
  <si>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</si>
  <si>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</si>
  <si>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</si>
  <si>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</si>
  <si>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</si>
  <si>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</si>
  <si>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</si>
  <si>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</si>
  <si>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</si>
  <si>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</si>
  <si>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</si>
  <si>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</si>
  <si>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</si>
  <si>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</si>
  <si>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</si>
  <si>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</si>
  <si>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</si>
  <si>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</si>
  <si>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</si>
  <si>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</si>
  <si>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</si>
  <si>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</si>
  <si>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</si>
  <si>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</si>
  <si>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</si>
  <si>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</si>
  <si>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</si>
  <si>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</si>
  <si>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</si>
  <si>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</si>
  <si>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</si>
  <si>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</si>
  <si>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</si>
  <si>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</si>
  <si>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</si>
  <si>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</si>
  <si>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</si>
  <si>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</si>
  <si>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</si>
  <si>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</si>
  <si>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</si>
  <si>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</si>
  <si>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</si>
  <si>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</si>
  <si>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</si>
  <si>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</si>
  <si>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</si>
  <si>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</si>
  <si>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</si>
  <si>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</si>
  <si>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</si>
  <si>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</si>
  <si>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</si>
  <si>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</si>
  <si>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</si>
  <si>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</si>
  <si>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</si>
  <si>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</si>
  <si>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</si>
  <si>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</si>
  <si>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</si>
  <si>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</si>
  <si>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</si>
  <si>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</si>
  <si>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</si>
  <si>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</si>
  <si>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</si>
  <si>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</si>
  <si>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</si>
  <si>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</si>
  <si>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</si>
  <si>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</si>
  <si>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</si>
  <si>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</si>
  <si>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</si>
  <si>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</si>
  <si>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</si>
  <si>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</si>
  <si>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</si>
  <si>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</si>
  <si>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</si>
  <si>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</si>
  <si>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</si>
  <si>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</si>
  <si>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</si>
  <si>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</si>
  <si>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</si>
  <si>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</si>
  <si>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</si>
  <si>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</si>
  <si>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</si>
  <si>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</si>
  <si>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</si>
  <si>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</si>
  <si>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</si>
  <si>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</si>
  <si>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</si>
  <si>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</si>
  <si>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</si>
  <si>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</si>
  <si>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</si>
  <si>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</si>
  <si>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</si>
  <si>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</si>
  <si>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</si>
  <si>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</si>
  <si>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</si>
  <si>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</si>
  <si>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</si>
  <si>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</si>
  <si>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</si>
  <si>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</si>
  <si>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</si>
  <si>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</si>
  <si>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</si>
  <si>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</si>
  <si>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</si>
  <si>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</si>
  <si>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</si>
  <si>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</si>
  <si>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</si>
  <si>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</si>
  <si>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</si>
  <si>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</si>
  <si>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</si>
  <si>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</si>
  <si>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</si>
  <si>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</si>
  <si>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</si>
  <si>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</si>
  <si>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</si>
  <si>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</si>
  <si>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</si>
  <si>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</si>
  <si>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</si>
  <si>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</si>
  <si>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</si>
  <si>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</si>
  <si>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</si>
  <si>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</si>
  <si>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</si>
  <si>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</si>
  <si>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</si>
  <si>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</si>
  <si>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</si>
  <si>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</si>
  <si>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</si>
  <si>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</si>
  <si>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</si>
  <si>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</si>
  <si>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</si>
  <si>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</si>
  <si>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</si>
  <si>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</si>
  <si>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</si>
  <si>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</si>
  <si>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</si>
  <si>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</si>
  <si>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</si>
  <si>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</si>
  <si>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</si>
  <si>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</si>
  <si>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</si>
  <si>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</si>
  <si>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</si>
  <si>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</si>
  <si>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</si>
  <si>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</si>
  <si>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</si>
  <si>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</si>
  <si>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</si>
  <si>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</si>
  <si>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</si>
  <si>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</si>
  <si>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</si>
  <si>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</si>
  <si>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</si>
  <si>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</si>
  <si>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</si>
  <si>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</si>
  <si>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</si>
  <si>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</si>
  <si>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</si>
  <si>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</si>
  <si>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</si>
  <si>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</si>
  <si>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</si>
  <si>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</si>
  <si>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</si>
  <si>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</si>
  <si>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</si>
  <si>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</si>
  <si>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</si>
  <si>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</si>
  <si>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</si>
  <si>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</si>
  <si>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</si>
  <si>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</si>
  <si>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</si>
  <si>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</si>
  <si>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</si>
  <si>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</si>
  <si>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</si>
  <si>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</si>
  <si>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</si>
  <si>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</si>
  <si>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</si>
  <si>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</si>
  <si>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</si>
  <si>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</si>
  <si>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</si>
  <si>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</si>
  <si>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</si>
  <si>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</si>
  <si>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</si>
  <si>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</si>
  <si>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</si>
  <si>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</si>
  <si>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</si>
  <si>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</si>
  <si>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</si>
  <si>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</si>
  <si>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</si>
  <si>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</si>
  <si>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</si>
  <si>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</si>
  <si>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</si>
  <si>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</si>
  <si>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</si>
  <si>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</si>
  <si>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</si>
  <si>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</si>
  <si>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</si>
  <si>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</si>
  <si>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</si>
  <si>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</si>
  <si>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</si>
  <si>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</si>
  <si>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</si>
  <si>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</si>
  <si>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</si>
  <si>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</si>
  <si>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</si>
  <si>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</si>
  <si>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</si>
  <si>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</si>
  <si>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</si>
  <si>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</si>
  <si>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</si>
  <si>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</si>
  <si>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</si>
  <si>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</si>
  <si>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</si>
  <si>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</si>
  <si>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</si>
  <si>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</si>
  <si>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</si>
  <si>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</si>
  <si>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</si>
  <si>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</si>
  <si>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</si>
  <si>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</si>
  <si>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</si>
  <si>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</si>
  <si>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</si>
  <si>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</si>
  <si>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</si>
  <si>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</si>
  <si>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</si>
  <si>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</si>
  <si>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</si>
  <si>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</si>
  <si>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</si>
  <si>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</si>
  <si>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</si>
  <si>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</si>
  <si>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</si>
  <si>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</si>
  <si>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</si>
  <si>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</si>
  <si>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</si>
  <si>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</si>
  <si>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</si>
  <si>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</si>
  <si>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</si>
  <si>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</si>
  <si>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</si>
  <si>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</si>
  <si>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</si>
  <si>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</si>
  <si>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</si>
  <si>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</si>
  <si>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</si>
  <si>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</si>
  <si>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</si>
  <si>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</si>
  <si>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</si>
  <si>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</si>
  <si>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</si>
  <si>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</si>
  <si>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</si>
  <si>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</si>
  <si>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</si>
  <si>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</si>
  <si>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</si>
  <si>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</si>
  <si>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</si>
  <si>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</si>
  <si>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</si>
  <si>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</si>
  <si>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</si>
  <si>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</si>
  <si>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</si>
  <si>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</si>
  <si>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</si>
  <si>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</si>
  <si>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</si>
  <si>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</si>
  <si>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</si>
  <si>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</si>
  <si>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</si>
  <si>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</si>
  <si>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</si>
  <si>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</si>
  <si>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</si>
  <si>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</si>
  <si>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</si>
  <si>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</si>
  <si>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</si>
  <si>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</si>
  <si>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</si>
  <si>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</si>
  <si>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</si>
  <si>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</si>
  <si>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</si>
  <si>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</si>
  <si>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</si>
  <si>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</si>
  <si>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</si>
  <si>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</si>
  <si>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</si>
  <si>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</si>
  <si>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</si>
  <si>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</si>
  <si>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</si>
  <si>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</si>
  <si>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</si>
  <si>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</si>
  <si>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</si>
  <si>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</si>
  <si>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</si>
  <si>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</si>
  <si>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</si>
  <si>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</si>
  <si>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</si>
  <si>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</si>
  <si>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</si>
  <si>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</si>
  <si>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</si>
  <si>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</si>
  <si>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</si>
  <si>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</si>
  <si>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</si>
  <si>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</si>
  <si>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</si>
  <si>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</si>
  <si>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</si>
  <si>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</si>
  <si>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</si>
  <si>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</si>
  <si>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</si>
  <si>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</si>
  <si>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</si>
  <si>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</si>
  <si>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</si>
  <si>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</si>
  <si>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</si>
  <si>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</si>
  <si>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</si>
  <si>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</si>
  <si>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</si>
  <si>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</si>
  <si>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</si>
  <si>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</si>
  <si>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</si>
  <si>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</si>
  <si>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</si>
  <si>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</si>
  <si>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</si>
  <si>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</si>
  <si>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</si>
  <si>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</si>
  <si>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</si>
  <si>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</si>
  <si>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</si>
  <si>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</si>
  <si>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</si>
  <si>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</si>
  <si>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</si>
  <si>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</si>
  <si>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</si>
  <si>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</si>
  <si>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</si>
  <si>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</si>
  <si>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</si>
  <si>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</si>
  <si>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</si>
  <si>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</si>
  <si>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</si>
  <si>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</si>
  <si>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</si>
  <si>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</si>
  <si>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</si>
  <si>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</si>
  <si>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</si>
  <si>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</si>
  <si>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</si>
  <si>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</si>
  <si>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</si>
  <si>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</si>
  <si>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</si>
  <si>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</si>
  <si>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</si>
  <si>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</si>
  <si>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</si>
  <si>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</si>
  <si>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</si>
  <si>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</si>
  <si>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</si>
  <si>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</si>
  <si>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</si>
  <si>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</si>
  <si>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</si>
  <si>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</si>
  <si>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</si>
  <si>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</si>
  <si>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</si>
  <si>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</si>
  <si>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</si>
  <si>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</si>
  <si>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</si>
  <si>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</si>
  <si>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</si>
  <si>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</si>
  <si>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</si>
  <si>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</si>
  <si>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</si>
  <si>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</si>
  <si>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</si>
  <si>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</si>
  <si>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</si>
  <si>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</si>
  <si>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</si>
  <si>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</si>
  <si>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</si>
  <si>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</si>
  <si>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</si>
  <si>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</si>
  <si>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</si>
  <si>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</si>
  <si>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</si>
  <si>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</si>
  <si>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</si>
  <si>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</si>
  <si>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</si>
  <si>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</si>
  <si>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</si>
  <si>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</si>
  <si>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</si>
  <si>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</si>
  <si>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</si>
  <si>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</si>
  <si>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</si>
  <si>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</si>
  <si>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</si>
  <si>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</si>
  <si>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</si>
  <si>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</si>
  <si>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</si>
  <si>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</si>
  <si>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</si>
  <si>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</si>
  <si>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</si>
  <si>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</si>
  <si>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</si>
  <si>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</si>
  <si>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</si>
  <si>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</si>
  <si>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</si>
  <si>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</si>
  <si>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</si>
  <si>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</si>
  <si>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</si>
  <si>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</si>
  <si>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</si>
  <si>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</si>
  <si>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</si>
  <si>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</si>
  <si>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</si>
  <si>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</si>
  <si>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</si>
  <si>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</si>
  <si>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</si>
  <si>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</si>
  <si>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</si>
  <si>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</si>
  <si>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</si>
  <si>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</si>
  <si>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</si>
  <si>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</si>
  <si>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</si>
  <si>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</si>
  <si>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</si>
  <si>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</si>
  <si>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</si>
  <si>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</si>
  <si>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</si>
  <si>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</si>
  <si>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</si>
  <si>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</si>
  <si>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</si>
  <si>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</si>
  <si>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</si>
  <si>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</si>
  <si>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</si>
  <si>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</si>
  <si>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</si>
  <si>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</si>
  <si>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</si>
  <si>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</si>
  <si>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</si>
  <si>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</si>
  <si>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</si>
  <si>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</si>
  <si>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</si>
  <si>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</si>
  <si>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</si>
  <si>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</si>
  <si>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</si>
  <si>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</si>
  <si>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</si>
  <si>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</si>
  <si>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</si>
  <si>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</si>
  <si>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</si>
  <si>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</si>
  <si>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</si>
  <si>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</si>
  <si>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</si>
  <si>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</si>
  <si>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</si>
  <si>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</si>
  <si>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</si>
  <si>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</si>
  <si>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</si>
  <si>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</si>
  <si>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</si>
  <si>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</si>
  <si>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</si>
  <si>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</si>
  <si>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</si>
  <si>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</si>
  <si>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</si>
  <si>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</si>
  <si>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</si>
  <si>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</si>
  <si>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</si>
  <si>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</si>
  <si>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</si>
  <si>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</si>
  <si>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</si>
  <si>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</si>
  <si>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</si>
  <si>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</si>
  <si>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</si>
  <si>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</si>
  <si>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</si>
  <si>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</si>
  <si>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</si>
  <si>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</si>
  <si>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</si>
  <si>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</si>
  <si>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</si>
  <si>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</si>
  <si>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</si>
  <si>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</si>
  <si>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</si>
  <si>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</si>
  <si>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</si>
  <si>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</si>
  <si>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</si>
  <si>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</si>
  <si>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</si>
  <si>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</si>
  <si>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</si>
  <si>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</si>
  <si>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</si>
  <si>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</si>
  <si>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</si>
  <si>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</si>
  <si>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</si>
  <si>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</si>
  <si>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</si>
  <si>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</si>
  <si>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</si>
  <si>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</si>
  <si>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</si>
  <si>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</si>
  <si>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</si>
  <si>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</si>
  <si>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</si>
  <si>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</si>
  <si>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</si>
  <si>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</si>
  <si>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</si>
  <si>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</si>
  <si>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</si>
  <si>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</si>
  <si>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</si>
  <si>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</si>
  <si>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</si>
  <si>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</si>
  <si>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</si>
  <si>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</si>
  <si>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</si>
  <si>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</si>
  <si>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</si>
  <si>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</si>
  <si>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</si>
  <si>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</si>
  <si>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</si>
  <si>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SILVIA BOTTURA</t>
  </si>
  <si>
    <t>SASHA ZORDAN</t>
  </si>
  <si>
    <t>FRANCESCO OBEROSLER</t>
  </si>
  <si>
    <t>NOEMI DEIMICHEI</t>
  </si>
  <si>
    <t>FJORENCO HYSI</t>
  </si>
  <si>
    <t>HECTOR GUILLEN</t>
  </si>
  <si>
    <t>C:\Users\hector.guillen\EUROLEAGUE\EB STATS - Documents\General\SEASON 2025-26\Reports\Eurocup</t>
  </si>
  <si>
    <t>C:\Users\hector.guillen\EUROLEAGUE\EB STATS - Documents\General\SEASON 2025-26\Reports\Eurocup\PDF</t>
  </si>
  <si>
    <t>8:10</t>
  </si>
  <si>
    <t>7:44</t>
  </si>
  <si>
    <t>4:17</t>
  </si>
  <si>
    <t>3:08</t>
  </si>
  <si>
    <t>0:31</t>
  </si>
  <si>
    <t>9:49</t>
  </si>
  <si>
    <t>7:35</t>
  </si>
  <si>
    <t>7:33</t>
  </si>
  <si>
    <t>3:36</t>
  </si>
  <si>
    <t>2:10</t>
  </si>
  <si>
    <t>0:51</t>
  </si>
  <si>
    <t>9:27</t>
  </si>
  <si>
    <t>8:26</t>
  </si>
  <si>
    <t>4:58</t>
  </si>
  <si>
    <t>Important to remember to look referees when they call fouls or with shots near the line.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</si>
</sst>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08_078_TRN_NIN_U2025</v>
      </c>
      <c r="G1" s="5"/>
      <c r="H1" s="5"/>
      <c r="I1" s="5"/>
      <c r="J1" s="8" t="s">
        <v>707</v>
      </c>
      <c r="K1" s="121" t="s">
        <v>755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78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45979.833333333336</v>
      </c>
      <c r="C3" s="157"/>
      <c r="D3" s="39">
        <v>652</v>
      </c>
      <c r="E3" s="29"/>
      <c r="F3" s="26">
        <f>SUBTOTAL(3,I17:I106)</f>
        <v>14</v>
      </c>
      <c r="G3" s="27">
        <f>IF(OR(D3="",D3=0),"",F3/D3)</f>
        <v>2.1472392638036811E-2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Dolomiti Energia Trento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TRN</v>
      </c>
      <c r="I4" s="5"/>
      <c r="J4" s="119" t="s">
        <v>714</v>
      </c>
      <c r="K4" s="54" t="s">
        <v>742</v>
      </c>
      <c r="L4" s="5"/>
      <c r="M4" s="167" t="s">
        <v>771</v>
      </c>
      <c r="N4" s="168"/>
      <c r="O4" s="2"/>
      <c r="P4" s="2"/>
      <c r="Q4" s="84" t="s">
        <v>175</v>
      </c>
      <c r="R4" s="94">
        <f>(IF(G3="",0,G3))</f>
        <v>2.1472392638036811E-2</v>
      </c>
      <c r="S4" s="61">
        <f>SUM(I13:M13)</f>
        <v>0</v>
      </c>
      <c r="T4" s="78"/>
      <c r="U4" s="61">
        <f>AC18</f>
        <v>10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1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NINERS Chemnitz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NIN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2.147239263803681</v>
      </c>
      <c r="S5" s="70">
        <f t="shared" ref="S5" si="0">S4*S3</f>
        <v>0</v>
      </c>
      <c r="T5" s="92"/>
      <c r="U5" s="70">
        <f t="shared" ref="U5:AG5" si="1">U4*U3</f>
        <v>5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15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25.14723926380368</v>
      </c>
      <c r="N7" s="58"/>
      <c r="O7" s="2"/>
      <c r="P7" s="2"/>
      <c r="Q7" s="86">
        <f>SUM(R5,S5,AC16)</f>
        <v>25.14723926380368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25.14723926380368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78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14</v>
      </c>
      <c r="J15" s="24">
        <f>SUBTOTAL(3,J17:J106)</f>
        <v>14</v>
      </c>
      <c r="K15" s="24">
        <f>SUBTOTAL(3,K17:K106)</f>
        <v>14</v>
      </c>
      <c r="L15" s="24">
        <f>SUBTOTAL(3,L17:L106)</f>
        <v>14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14</v>
      </c>
      <c r="Z16" s="90" t="s">
        <v>110</v>
      </c>
      <c r="AA16" s="75">
        <f>SUM(AA17:AA24)</f>
        <v>14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23</v>
      </c>
      <c r="AD16" s="75">
        <f>SUM(AD17:AD24)</f>
        <v>45</v>
      </c>
      <c r="AE16" s="76" t="s">
        <v>42</v>
      </c>
      <c r="AF16" s="75">
        <f>SUM(AF17:AF24)</f>
        <v>10</v>
      </c>
      <c r="AG16" s="75">
        <f>SUM(AG17:AG21)</f>
        <v>14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78</v>
      </c>
      <c r="D17" s="32" t="s">
        <v>757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26</v>
      </c>
      <c r="J17" s="13" t="s">
        <v>4</v>
      </c>
      <c r="K17" s="13" t="s">
        <v>63</v>
      </c>
      <c r="L17" s="13" t="s">
        <v>5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13</v>
      </c>
      <c r="Z17" s="105" t="s">
        <v>63</v>
      </c>
      <c r="AA17" s="62">
        <f>COUNTIF($K$17:$K$106,Z17)</f>
        <v>10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6</v>
      </c>
      <c r="AG17" s="62">
        <f>COUNTIF($E$17:$E$106,$AK17)</f>
        <v>5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78</v>
      </c>
      <c r="D18" s="32" t="s">
        <v>758</v>
      </c>
      <c r="E18" s="33">
        <v>1</v>
      </c>
      <c r="F18" s="36">
        <v>0</v>
      </c>
      <c r="G18" s="36">
        <v>2</v>
      </c>
      <c r="H18" s="38" t="str">
        <f t="shared" ref="H18:H81" si="8">IF(I18="","",$I$14)</f>
        <v>SCOUTING</v>
      </c>
      <c r="I18" s="34">
        <v>32</v>
      </c>
      <c r="J18" s="13" t="s">
        <v>4</v>
      </c>
      <c r="K18" s="13" t="s">
        <v>63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10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78</v>
      </c>
      <c r="D19" s="32" t="s">
        <v>759</v>
      </c>
      <c r="E19" s="33">
        <v>1</v>
      </c>
      <c r="F19" s="36">
        <v>9</v>
      </c>
      <c r="G19" s="36">
        <v>9</v>
      </c>
      <c r="H19" s="38" t="str">
        <f t="shared" si="8"/>
        <v>SCOUTING</v>
      </c>
      <c r="I19" s="34">
        <v>80</v>
      </c>
      <c r="J19" s="13" t="s">
        <v>3</v>
      </c>
      <c r="K19" s="13" t="s">
        <v>63</v>
      </c>
      <c r="L19" s="13" t="s">
        <v>76</v>
      </c>
      <c r="M19" s="13" t="s">
        <v>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1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5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78</v>
      </c>
      <c r="D20" s="32" t="s">
        <v>760</v>
      </c>
      <c r="E20" s="33">
        <v>1</v>
      </c>
      <c r="F20" s="36">
        <v>12</v>
      </c>
      <c r="G20" s="36">
        <v>12</v>
      </c>
      <c r="H20" s="38" t="str">
        <f t="shared" si="8"/>
        <v>SCOUTING</v>
      </c>
      <c r="I20" s="34">
        <v>95</v>
      </c>
      <c r="J20" s="13" t="s">
        <v>4</v>
      </c>
      <c r="K20" s="13" t="s">
        <v>63</v>
      </c>
      <c r="L20" s="13" t="s">
        <v>5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78</v>
      </c>
      <c r="D21" s="32" t="s">
        <v>761</v>
      </c>
      <c r="E21" s="33">
        <v>1</v>
      </c>
      <c r="F21" s="36">
        <v>20</v>
      </c>
      <c r="G21" s="36">
        <v>16</v>
      </c>
      <c r="H21" s="38" t="str">
        <f t="shared" si="8"/>
        <v>SCOUTING</v>
      </c>
      <c r="I21" s="34">
        <v>136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78</v>
      </c>
      <c r="D22" s="32" t="s">
        <v>762</v>
      </c>
      <c r="E22" s="33">
        <v>2</v>
      </c>
      <c r="F22" s="36">
        <v>20</v>
      </c>
      <c r="G22" s="36">
        <v>20</v>
      </c>
      <c r="H22" s="38" t="str">
        <f t="shared" si="8"/>
        <v>SCOUTING</v>
      </c>
      <c r="I22" s="34">
        <v>149</v>
      </c>
      <c r="J22" s="13" t="s">
        <v>4</v>
      </c>
      <c r="K22" s="13" t="s">
        <v>63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78</v>
      </c>
      <c r="D23" s="32" t="s">
        <v>763</v>
      </c>
      <c r="E23" s="33">
        <v>3</v>
      </c>
      <c r="F23" s="36">
        <v>41</v>
      </c>
      <c r="G23" s="36">
        <v>61</v>
      </c>
      <c r="H23" s="38" t="str">
        <f t="shared" si="8"/>
        <v>SCOUTING</v>
      </c>
      <c r="I23" s="34">
        <v>339</v>
      </c>
      <c r="J23" s="13" t="s">
        <v>4</v>
      </c>
      <c r="K23" s="13" t="s">
        <v>62</v>
      </c>
      <c r="L23" s="13" t="s">
        <v>6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78</v>
      </c>
      <c r="D24" s="32" t="s">
        <v>764</v>
      </c>
      <c r="E24" s="33">
        <v>3</v>
      </c>
      <c r="F24" s="36">
        <v>41</v>
      </c>
      <c r="G24" s="36">
        <v>61</v>
      </c>
      <c r="H24" s="38" t="str">
        <f t="shared" si="8"/>
        <v>SCOUTING</v>
      </c>
      <c r="I24" s="34">
        <v>340</v>
      </c>
      <c r="J24" s="13" t="s">
        <v>4</v>
      </c>
      <c r="K24" s="13" t="s">
        <v>63</v>
      </c>
      <c r="L24" s="13" t="s">
        <v>5</v>
      </c>
      <c r="M24" s="13" t="s">
        <v>10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78</v>
      </c>
      <c r="D25" s="32" t="s">
        <v>765</v>
      </c>
      <c r="E25" s="33">
        <v>3</v>
      </c>
      <c r="F25" s="36">
        <v>50</v>
      </c>
      <c r="G25" s="36">
        <v>67</v>
      </c>
      <c r="H25" s="38" t="str">
        <f t="shared" si="8"/>
        <v>SCOUTING</v>
      </c>
      <c r="I25" s="34">
        <v>403</v>
      </c>
      <c r="J25" s="13" t="s">
        <v>4</v>
      </c>
      <c r="K25" s="13" t="s">
        <v>62</v>
      </c>
      <c r="L25" s="13" t="s">
        <v>5</v>
      </c>
      <c r="M25" s="13" t="s">
        <v>10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78</v>
      </c>
      <c r="D26" s="32" t="s">
        <v>766</v>
      </c>
      <c r="E26" s="33">
        <v>3</v>
      </c>
      <c r="F26" s="36">
        <v>55</v>
      </c>
      <c r="G26" s="36">
        <v>71</v>
      </c>
      <c r="H26" s="38" t="str">
        <f t="shared" si="8"/>
        <v>SCOUTING</v>
      </c>
      <c r="I26" s="34">
        <v>428</v>
      </c>
      <c r="J26" s="13" t="s">
        <v>4</v>
      </c>
      <c r="K26" s="13" t="s">
        <v>62</v>
      </c>
      <c r="L26" s="13" t="s">
        <v>5</v>
      </c>
      <c r="M26" s="13" t="s">
        <v>10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78</v>
      </c>
      <c r="D27" s="32" t="s">
        <v>767</v>
      </c>
      <c r="E27" s="33">
        <v>3</v>
      </c>
      <c r="F27" s="36">
        <v>58</v>
      </c>
      <c r="G27" s="36">
        <v>75</v>
      </c>
      <c r="H27" s="38" t="str">
        <f t="shared" si="8"/>
        <v>SCOUTING</v>
      </c>
      <c r="I27" s="34">
        <v>457</v>
      </c>
      <c r="J27" s="13" t="s">
        <v>4</v>
      </c>
      <c r="K27" s="13" t="s">
        <v>63</v>
      </c>
      <c r="L27" s="13" t="s">
        <v>5</v>
      </c>
      <c r="M27" s="13" t="s">
        <v>11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U2025</v>
      </c>
      <c r="C28" s="31">
        <f t="shared" si="3"/>
        <v>78</v>
      </c>
      <c r="D28" s="32" t="s">
        <v>768</v>
      </c>
      <c r="E28" s="33">
        <v>4</v>
      </c>
      <c r="F28" s="36">
        <v>65</v>
      </c>
      <c r="G28" s="36">
        <v>76</v>
      </c>
      <c r="H28" s="38" t="str">
        <f t="shared" si="8"/>
        <v>SCOUTING</v>
      </c>
      <c r="I28" s="34">
        <v>479</v>
      </c>
      <c r="J28" s="13" t="s">
        <v>4</v>
      </c>
      <c r="K28" s="13" t="s">
        <v>63</v>
      </c>
      <c r="L28" s="13" t="s">
        <v>6</v>
      </c>
      <c r="M28" s="13" t="s">
        <v>26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U2025</v>
      </c>
      <c r="C29" s="31">
        <f t="shared" si="3"/>
        <v>78</v>
      </c>
      <c r="D29" s="32" t="s">
        <v>769</v>
      </c>
      <c r="E29" s="33">
        <v>4</v>
      </c>
      <c r="F29" s="36">
        <v>65</v>
      </c>
      <c r="G29" s="36">
        <v>82</v>
      </c>
      <c r="H29" s="38" t="str">
        <f t="shared" si="8"/>
        <v>SCOUTING</v>
      </c>
      <c r="I29" s="34">
        <v>511</v>
      </c>
      <c r="J29" s="13" t="s">
        <v>4</v>
      </c>
      <c r="K29" s="13" t="s">
        <v>63</v>
      </c>
      <c r="L29" s="13" t="s">
        <v>5</v>
      </c>
      <c r="M29" s="13" t="s">
        <v>11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U2025</v>
      </c>
      <c r="C30" s="31">
        <f t="shared" si="3"/>
        <v>78</v>
      </c>
      <c r="D30" s="32" t="s">
        <v>770</v>
      </c>
      <c r="E30" s="33">
        <v>4</v>
      </c>
      <c r="F30" s="36">
        <v>76</v>
      </c>
      <c r="G30" s="36">
        <v>91</v>
      </c>
      <c r="H30" s="38" t="str">
        <f t="shared" si="8"/>
        <v>SCOUTING</v>
      </c>
      <c r="I30" s="34">
        <v>562</v>
      </c>
      <c r="J30" s="13" t="s">
        <v>4</v>
      </c>
      <c r="K30" s="13" t="s">
        <v>62</v>
      </c>
      <c r="L30" s="13" t="s">
        <v>6</v>
      </c>
      <c r="M30" s="13" t="s">
        <v>11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3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REPORT_U2025078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"U2025078"</v>
      </c>
      <c r="F3" s="45" t="str">
        <f t="shared" ref="F3:F16" si="0">""""&amp;B3&amp;"""" &amp; " : " &amp;C3&amp;","</f>
        <v>"name" : "U2025078",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"U078"</v>
      </c>
      <c r="F4" s="45" t="str">
        <f t="shared" si="0"/>
        <v>"cod" : "U078",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078</v>
      </c>
      <c r="F6" s="45" t="str">
        <f t="shared" si="0"/>
        <v>"number" : 078,</v>
      </c>
    </row>
    <row r="7" spans="2:6" x14ac:dyDescent="0.25">
      <c r="B7" s="43" t="s">
        <v>116</v>
      </c>
      <c r="C7" s="43" t="str">
        <f ca="1">""""&amp;TEXT('SCOUT &amp; LOGISTICS'!B3,"dd/mm/aaaa")&amp;""""</f>
        <v>"18/11/Tuesday"</v>
      </c>
      <c r="F7" s="45" t="str">
        <f t="shared" ca="1" si="0"/>
        <v>"date" : "18/11/Tuesday",</v>
      </c>
    </row>
    <row r="8" spans="2:6" x14ac:dyDescent="0.25">
      <c r="B8" s="43" t="s">
        <v>125</v>
      </c>
      <c r="C8" s="43" t="str">
        <f>""""&amp;'SCOUT &amp; LOGISTICS'!D4 &amp;""""</f>
        <v>"Dolomiti Energia Trento"</v>
      </c>
      <c r="F8" s="45" t="str">
        <f t="shared" si="0"/>
        <v>"home_team" : "Dolomiti Energia Trento",</v>
      </c>
    </row>
    <row r="9" spans="2:6" x14ac:dyDescent="0.25">
      <c r="B9" s="43" t="s">
        <v>126</v>
      </c>
      <c r="C9" s="43" t="str">
        <f>""""&amp;'SCOUT &amp; LOGISTICS'!D5&amp;""""</f>
        <v>"NINERS Chemnitz"</v>
      </c>
      <c r="F9" s="45" t="str">
        <f t="shared" si="0"/>
        <v>"away_team" : "NINERS Chemnitz",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"SILVIA BOTTURA"</v>
      </c>
      <c r="F10" s="45" t="str">
        <f t="shared" si="0"/>
        <v>"Data_entry" : "SILVIA BOTTURA",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"SASHA ZORDAN"</v>
      </c>
      <c r="F11" s="45" t="str">
        <f t="shared" si="0"/>
        <v>"Caller_1" : "SASHA ZORDAN",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"FRANCESCO OBEROSLER"</v>
      </c>
      <c r="F12" s="45" t="str">
        <f t="shared" si="0"/>
        <v>"Caller_2" : "FRANCESCO OBEROSLER",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"NOEMI DEIMICHEI"</v>
      </c>
      <c r="F13" s="45" t="str">
        <f t="shared" si="0"/>
        <v>"Timerkeeper" : "NOEMI DEIMICHEI",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"FJORENCO HYSI"</v>
      </c>
      <c r="F14" s="45" t="str">
        <f t="shared" si="0"/>
        <v>"Shotclock" : "FJORENCO HYSI",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652</v>
      </c>
      <c r="F25" s="45" t="str">
        <f t="shared" ref="F25:F48" si="1">""""&amp;C25&amp;"""" &amp; " : " &amp;D25&amp;","</f>
        <v>"total_actions" : 652,</v>
      </c>
    </row>
    <row r="26" spans="2:6" x14ac:dyDescent="0.25">
      <c r="C26" s="43" t="s">
        <v>132</v>
      </c>
      <c r="D26" s="43">
        <f>'SCOUT &amp; LOGISTICS'!F3</f>
        <v>14</v>
      </c>
      <c r="F26" s="45" t="str">
        <f t="shared" si="1"/>
        <v>"total_correcions" : 14,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10</v>
      </c>
      <c r="F28" s="45" t="str">
        <f t="shared" si="1"/>
        <v>"home_team" : 10,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5</v>
      </c>
      <c r="F31" s="45" t="str">
        <f t="shared" si="1"/>
        <v>"q1" : 5,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5</v>
      </c>
      <c r="F33" s="45" t="str">
        <f t="shared" si="1"/>
        <v>"q3" : 5,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14</v>
      </c>
      <c r="F37" s="45" t="str">
        <f t="shared" si="1"/>
        <v>"scoresheet_corrections" : 14,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10</v>
      </c>
      <c r="F39" s="45" t="str">
        <f t="shared" si="1"/>
        <v>"missidentity" : 10,</v>
      </c>
    </row>
    <row r="40" spans="3:6" x14ac:dyDescent="0.25">
      <c r="C40" s="43" t="s">
        <v>143</v>
      </c>
      <c r="D40" s="43">
        <f>'SCOUT &amp; LOGISTICS'!AC19</f>
        <v>1</v>
      </c>
      <c r="F40" s="45" t="str">
        <f t="shared" si="1"/>
        <v>"missing" : 1,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"Important to remember to look referees when they call fouls or with shots near the line."</v>
      </c>
      <c r="F51" s="45" t="str">
        <f>""""&amp;B51&amp;"""" &amp; " : " &amp;C51&amp;","</f>
        <v>"comments" : "Important to remember to look referees when they call fouls or with shots near the line.",</v>
      </c>
    </row>
    <row r="52" spans="2:6" x14ac:dyDescent="0.25">
      <c r="B52" s="43" t="s">
        <v>153</v>
      </c>
      <c r="C52" s="43" t="str">
        <f>TEXT('SCOUT &amp; LOGISTICS'!F1,"0,0")</f>
        <v>08_078_TRN_NIN_U2025</v>
      </c>
      <c r="F52" s="45" t="str">
        <f>""""&amp;B52&amp;"""" &amp; " : " &amp;C52</f>
        <v>"result" : 08_078_TRN_NIN_U2025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U078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18/11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Dolomiti Energia Trento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Niners Chemnitz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SILVIA BOTTURA</v>
      </c>
      <c r="C8" s="206"/>
      <c r="D8" s="206"/>
      <c r="E8" s="206"/>
      <c r="F8" s="206"/>
      <c r="G8" s="206" t="str">
        <f>IF('SCOUT &amp; LOGISTICS'!D7="","",'SCOUT &amp; LOGISTICS'!D7)</f>
        <v>SASHA ZORDAN</v>
      </c>
      <c r="H8" s="206"/>
      <c r="I8" s="206"/>
      <c r="J8" s="206"/>
      <c r="K8" s="206"/>
      <c r="L8" s="206" t="str">
        <f>IF('SCOUT &amp; LOGISTICS'!D8="","",'SCOUT &amp; LOGISTICS'!D8)</f>
        <v>FRANCESCO OBEROSLER</v>
      </c>
      <c r="M8" s="206"/>
      <c r="N8" s="206"/>
      <c r="O8" s="206"/>
      <c r="P8" s="206"/>
      <c r="Q8" s="206" t="str">
        <f>IF('SCOUT &amp; LOGISTICS'!D9="","",'SCOUT &amp; LOGISTICS'!D9)</f>
        <v>NOEMI DEIMICHEI</v>
      </c>
      <c r="R8" s="206"/>
      <c r="S8" s="206"/>
      <c r="T8" s="206"/>
      <c r="U8" s="206"/>
      <c r="V8" s="206" t="str">
        <f>IF('SCOUT &amp; LOGISTICS'!D10="","",'SCOUT &amp; LOGISTICS'!D10)</f>
        <v>FJORENCO HYSI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652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2.1472392638036811E-2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5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5</v>
      </c>
      <c r="O22" s="197"/>
      <c r="P22" s="197"/>
      <c r="Q22" s="197"/>
      <c r="R22" s="197"/>
      <c r="S22" s="197"/>
      <c r="T22" s="197">
        <f>'SCOUT &amp; LOGISTICS'!AG20</f>
        <v>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10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1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Important to remember to look referees when they call fouls or with shots near the line.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25.14723926380368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436FD38-88F8-4661-92E3-F0670807062E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2025-11-19T20:36:02Z</cp:lastPrinted>
  <dcterms:created xsi:type="dcterms:W3CDTF">2023-09-19T19:50:35Z</dcterms:created>
  <dcterms:modified xsi:type="dcterms:W3CDTF">2025-11-19T20:36:06Z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