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5" documentId="8_{09EDA630-DFFE-4D0F-BAC2-06A1D04DDD38}" xr6:coauthVersionLast="47" xr6:coauthVersionMax="47" xr10:uidLastSave="{DC9294C1-1259-495B-A3D1-71BF905DAB3F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<sst xmlns="http://schemas.openxmlformats.org/spreadsheetml/2006/main" count="3255" uniqueCount="761">
  <si>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</si>
  <si>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</si>
  <si>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</si>
  <si>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</si>
  <si>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</si>
  <si>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</si>
  <si>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</si>
  <si>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</si>
  <si>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</si>
  <si>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</si>
  <si>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</si>
  <si>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</si>
  <si>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</si>
  <si>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</si>
  <si>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</si>
  <si>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</si>
  <si>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</si>
  <si>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</si>
  <si>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</si>
  <si>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</si>
  <si>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</si>
  <si>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</si>
  <si>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</si>
  <si>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</si>
  <si>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</si>
  <si>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</si>
  <si>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</si>
  <si>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</si>
  <si>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</si>
  <si>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</si>
  <si>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</si>
  <si>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</si>
  <si>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</si>
  <si>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</si>
  <si>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</si>
  <si>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</si>
  <si>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</si>
  <si>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</si>
  <si>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</si>
  <si>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</si>
  <si>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</si>
  <si>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</si>
  <si>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</si>
  <si>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</si>
  <si>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</si>
  <si>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</si>
  <si>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</si>
  <si>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</si>
  <si>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</si>
  <si>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</si>
  <si>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</si>
  <si>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</si>
  <si>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</si>
  <si>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</si>
  <si>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</si>
  <si>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</si>
  <si>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</si>
  <si>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</si>
  <si>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</si>
  <si>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</si>
  <si>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</si>
  <si>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</si>
  <si>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</si>
  <si>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</si>
  <si>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</si>
  <si>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</si>
  <si>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</si>
  <si>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</si>
  <si>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</si>
  <si>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</si>
  <si>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</si>
  <si>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</si>
  <si>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</si>
  <si>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</si>
  <si>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</si>
  <si>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</si>
  <si>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</si>
  <si>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</si>
  <si>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</si>
  <si>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</si>
  <si>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</si>
  <si>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</si>
  <si>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</si>
  <si>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</si>
  <si>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</si>
  <si>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</si>
  <si>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</si>
  <si>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</si>
  <si>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</si>
  <si>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</si>
  <si>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</si>
  <si>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</si>
  <si>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</si>
  <si>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</si>
  <si>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</si>
  <si>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</si>
  <si>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</si>
  <si>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</si>
  <si>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</si>
  <si>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</si>
  <si>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</si>
  <si>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</si>
  <si>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</si>
  <si>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</si>
  <si>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</si>
  <si>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</si>
  <si>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</si>
  <si>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</si>
  <si>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</si>
  <si>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</si>
  <si>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</si>
  <si>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</si>
  <si>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</si>
  <si>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</si>
  <si>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</si>
  <si>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</si>
  <si>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</si>
  <si>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</si>
  <si>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</si>
  <si>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</si>
  <si>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</si>
  <si>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</si>
  <si>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</si>
  <si>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</si>
  <si>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</si>
  <si>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</si>
  <si>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</si>
  <si>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</si>
  <si>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</si>
  <si>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</si>
  <si>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</si>
  <si>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</si>
  <si>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</si>
  <si>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</si>
  <si>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</si>
  <si>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</si>
  <si>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</si>
  <si>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</si>
  <si>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</si>
  <si>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</si>
  <si>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</si>
  <si>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</si>
  <si>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</si>
  <si>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</si>
  <si>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</si>
  <si>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</si>
  <si>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</si>
  <si>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</si>
  <si>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</si>
  <si>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</si>
  <si>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</si>
  <si>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</si>
  <si>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</si>
  <si>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</si>
  <si>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</si>
  <si>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</si>
  <si>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</si>
  <si>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</si>
  <si>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</si>
  <si>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</si>
  <si>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</si>
  <si>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</si>
  <si>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</si>
  <si>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</si>
  <si>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</si>
  <si>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</si>
  <si>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</si>
  <si>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</si>
  <si>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</si>
  <si>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</si>
  <si>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</si>
  <si>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</si>
  <si>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</si>
  <si>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</si>
  <si>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</si>
  <si>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</si>
  <si>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</si>
  <si>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</si>
  <si>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</si>
  <si>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</si>
  <si>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</si>
  <si>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</si>
  <si>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</si>
  <si>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</si>
  <si>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</si>
  <si>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</si>
  <si>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</si>
  <si>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</si>
  <si>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</si>
  <si>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</si>
  <si>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</si>
  <si>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</si>
  <si>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</si>
  <si>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</si>
  <si>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</si>
  <si>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</si>
  <si>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</si>
  <si>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</si>
  <si>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</si>
  <si>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</si>
  <si>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</si>
  <si>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</si>
  <si>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</si>
  <si>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</si>
  <si>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</si>
  <si>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</si>
  <si>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</si>
  <si>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</si>
  <si>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</si>
  <si>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</si>
  <si>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</si>
  <si>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</si>
  <si>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</si>
  <si>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</si>
  <si>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</si>
  <si>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</si>
  <si>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</si>
  <si>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</si>
  <si>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</si>
  <si>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</si>
  <si>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</si>
  <si>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</si>
  <si>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</si>
  <si>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</si>
  <si>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</si>
  <si>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</si>
  <si>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</si>
  <si>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</si>
  <si>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</si>
  <si>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</si>
  <si>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</si>
  <si>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</si>
  <si>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</si>
  <si>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</si>
  <si>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</si>
  <si>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</si>
  <si>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</si>
  <si>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</si>
  <si>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</si>
  <si>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</si>
  <si>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</si>
  <si>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</si>
  <si>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</si>
  <si>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</si>
  <si>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</si>
  <si>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</si>
  <si>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</si>
  <si>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</si>
  <si>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</si>
  <si>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</si>
  <si>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</si>
  <si>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</si>
  <si>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</si>
  <si>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</si>
  <si>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</si>
  <si>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</si>
  <si>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</si>
  <si>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</si>
  <si>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</si>
  <si>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</si>
  <si>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</si>
  <si>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</si>
  <si>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</si>
  <si>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</si>
  <si>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</si>
  <si>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</si>
  <si>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</si>
  <si>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</si>
  <si>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</si>
  <si>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</si>
  <si>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</si>
  <si>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</si>
  <si>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</si>
  <si>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</si>
  <si>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</si>
  <si>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</si>
  <si>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</si>
  <si>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</si>
  <si>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</si>
  <si>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</si>
  <si>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</si>
  <si>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</si>
  <si>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</si>
  <si>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</si>
  <si>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</si>
  <si>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</si>
  <si>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</si>
  <si>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</si>
  <si>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</si>
  <si>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</si>
  <si>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</si>
  <si>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</si>
  <si>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</si>
  <si>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</si>
  <si>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</si>
  <si>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</si>
  <si>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</si>
  <si>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</si>
  <si>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</si>
  <si>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</si>
  <si>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</si>
  <si>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</si>
  <si>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</si>
  <si>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</si>
  <si>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</si>
  <si>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</si>
  <si>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</si>
  <si>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</si>
  <si>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</si>
  <si>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</si>
  <si>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</si>
  <si>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</si>
  <si>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</si>
  <si>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</si>
  <si>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</si>
  <si>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</si>
  <si>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</si>
  <si>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</si>
  <si>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</si>
  <si>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</si>
  <si>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</si>
  <si>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</si>
  <si>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</si>
  <si>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</si>
  <si>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</si>
  <si>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</si>
  <si>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</si>
  <si>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</si>
  <si>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</si>
  <si>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</si>
  <si>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</si>
  <si>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</si>
  <si>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</si>
  <si>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</si>
  <si>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</si>
  <si>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</si>
  <si>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</si>
  <si>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</si>
  <si>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</si>
  <si>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</si>
  <si>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</si>
  <si>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</si>
  <si>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</si>
  <si>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</si>
  <si>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</si>
  <si>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</si>
  <si>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</si>
  <si>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</si>
  <si>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</si>
  <si>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</si>
  <si>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</si>
  <si>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</si>
  <si>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</si>
  <si>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</si>
  <si>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</si>
  <si>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</si>
  <si>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</si>
  <si>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</si>
  <si>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</si>
  <si>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</si>
  <si>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</si>
  <si>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</si>
  <si>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</si>
  <si>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</si>
  <si>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</si>
  <si>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</si>
  <si>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</si>
  <si>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</si>
  <si>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</si>
  <si>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</si>
  <si>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</si>
  <si>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</si>
  <si>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</si>
  <si>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</si>
  <si>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</si>
  <si>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</si>
  <si>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</si>
  <si>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</si>
  <si>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</si>
  <si>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</si>
  <si>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</si>
  <si>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</si>
  <si>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</si>
  <si>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</si>
  <si>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</si>
  <si>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</si>
  <si>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</si>
  <si>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</si>
  <si>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</si>
  <si>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</si>
  <si>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</si>
  <si>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</si>
  <si>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</si>
  <si>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</si>
  <si>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</si>
  <si>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</si>
  <si>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</si>
  <si>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</si>
  <si>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</si>
  <si>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</si>
  <si>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</si>
  <si>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</si>
  <si>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</si>
  <si>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</si>
  <si>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</si>
  <si>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</si>
  <si>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</si>
  <si>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</si>
  <si>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</si>
  <si>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</si>
  <si>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</si>
  <si>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</si>
  <si>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</si>
  <si>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</si>
  <si>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</si>
  <si>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</si>
  <si>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</si>
  <si>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</si>
  <si>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</si>
  <si>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</si>
  <si>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</si>
  <si>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</si>
  <si>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</si>
  <si>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</si>
  <si>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</si>
  <si>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</si>
  <si>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</si>
  <si>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</si>
  <si>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</si>
  <si>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</si>
  <si>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</si>
  <si>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</si>
  <si>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</si>
  <si>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</si>
  <si>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</si>
  <si>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</si>
  <si>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</si>
  <si>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</si>
  <si>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</si>
  <si>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</si>
  <si>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</si>
  <si>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</si>
  <si>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</si>
  <si>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</si>
  <si>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</si>
  <si>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</si>
  <si>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</si>
  <si>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</si>
  <si>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</si>
  <si>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</si>
  <si>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</si>
  <si>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</si>
  <si>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</si>
  <si>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</si>
  <si>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</si>
  <si>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</si>
  <si>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</si>
  <si>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</si>
  <si>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</si>
  <si>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</si>
  <si>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</si>
  <si>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</si>
  <si>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</si>
  <si>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</si>
  <si>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</si>
  <si>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</si>
  <si>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</si>
  <si>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</si>
  <si>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</si>
  <si>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</si>
  <si>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</si>
  <si>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</si>
  <si>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</si>
  <si>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</si>
  <si>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</si>
  <si>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</si>
  <si>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</si>
  <si>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</si>
  <si>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</si>
  <si>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</si>
  <si>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</si>
  <si>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</si>
  <si>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</si>
  <si>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</si>
  <si>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</si>
  <si>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</si>
  <si>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</si>
  <si>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</si>
  <si>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</si>
  <si>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</si>
  <si>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</si>
  <si>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</si>
  <si>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</si>
  <si>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</si>
  <si>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</si>
  <si>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</si>
  <si>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</si>
  <si>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</si>
  <si>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</si>
  <si>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</si>
  <si>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</si>
  <si>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</si>
  <si>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</si>
  <si>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</si>
  <si>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</si>
  <si>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</si>
  <si>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</si>
  <si>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</si>
  <si>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</si>
  <si>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</si>
  <si>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</si>
  <si>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</si>
  <si>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</si>
  <si>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</si>
  <si>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</si>
  <si>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</si>
  <si>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</si>
  <si>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</si>
  <si>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</si>
  <si>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</si>
  <si>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</si>
  <si>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</si>
  <si>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</si>
  <si>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</si>
  <si>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</si>
  <si>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</si>
  <si>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</si>
  <si>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</si>
  <si>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</si>
  <si>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</si>
  <si>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</si>
  <si>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</si>
  <si>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</si>
  <si>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</si>
  <si>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</si>
  <si>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</si>
  <si>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</si>
  <si>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</si>
  <si>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</si>
  <si>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</si>
  <si>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</si>
  <si>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</si>
  <si>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</si>
  <si>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</si>
  <si>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</si>
  <si>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</si>
  <si>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</si>
  <si>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</si>
  <si>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</si>
  <si>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</si>
  <si>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</si>
  <si>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</si>
  <si>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</si>
  <si>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</si>
  <si>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</si>
  <si>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</si>
  <si>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</si>
  <si>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</si>
  <si>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</si>
  <si>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</si>
  <si>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</si>
  <si>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</si>
  <si>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</si>
  <si>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</si>
  <si>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</si>
  <si>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</si>
  <si>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</si>
  <si>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</si>
  <si>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</si>
  <si>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</si>
  <si>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</si>
  <si>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</si>
  <si>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</si>
  <si>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</si>
  <si>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</si>
  <si>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</si>
  <si>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</si>
  <si>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</si>
  <si>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</si>
  <si>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</si>
  <si>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</si>
  <si>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</si>
  <si>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</si>
  <si>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</si>
  <si>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</si>
  <si>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</si>
  <si>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</si>
  <si>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</si>
  <si>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</si>
  <si>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</si>
  <si>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</si>
  <si>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</si>
  <si>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</si>
  <si>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</si>
  <si>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</si>
  <si>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</si>
  <si>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</si>
  <si>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</si>
  <si>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</si>
  <si>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</si>
  <si>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</si>
  <si>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</si>
  <si>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</si>
  <si>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</si>
  <si>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</si>
  <si>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</si>
  <si>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</si>
  <si>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</si>
  <si>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</si>
  <si>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</si>
  <si>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</si>
  <si>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</si>
  <si>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</si>
  <si>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</si>
  <si>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</si>
  <si>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</si>
  <si>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</si>
  <si>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</si>
  <si>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</si>
  <si>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</si>
  <si>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</si>
  <si>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</si>
  <si>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</si>
  <si>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</si>
  <si>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</si>
  <si>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</si>
  <si>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</si>
  <si>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</si>
  <si>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</si>
  <si>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</si>
  <si>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</si>
  <si>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</si>
  <si>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</si>
  <si>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</si>
  <si>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</si>
  <si>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</si>
  <si>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</si>
  <si>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</si>
  <si>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</si>
  <si>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</si>
  <si>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</si>
  <si>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</si>
  <si>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</si>
  <si>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</si>
  <si>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</si>
  <si>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</si>
  <si>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</si>
  <si>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</si>
  <si>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</si>
  <si>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</si>
  <si>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</si>
  <si>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</si>
  <si>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</si>
  <si>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</si>
  <si>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</si>
  <si>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</si>
  <si>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</si>
  <si>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</si>
  <si>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</si>
  <si>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</si>
  <si>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</si>
  <si>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</si>
  <si>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</si>
  <si>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</si>
  <si>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</si>
  <si>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</si>
  <si>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</si>
  <si>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</si>
  <si>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</si>
  <si>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</si>
  <si>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</si>
  <si>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</si>
  <si>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</si>
  <si>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</si>
  <si>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</si>
  <si>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</si>
  <si>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</si>
  <si>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</si>
  <si>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</si>
  <si>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</si>
  <si>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</si>
  <si>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</si>
  <si>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</si>
  <si>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</si>
  <si>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</si>
  <si>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</si>
  <si>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</si>
  <si>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</si>
  <si>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</si>
  <si>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</si>
  <si>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</si>
  <si>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</si>
  <si>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</si>
  <si>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</si>
  <si>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</si>
  <si>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</si>
  <si>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</si>
  <si>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</si>
  <si>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</si>
  <si>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</si>
  <si>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</si>
  <si>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</si>
  <si>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</si>
  <si>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</si>
  <si>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</si>
  <si>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</si>
  <si>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</si>
  <si>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</si>
  <si>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</si>
  <si>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</si>
  <si>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</si>
  <si>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</si>
  <si>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</si>
  <si>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</si>
  <si>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</si>
  <si>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</si>
  <si>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</si>
  <si>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</si>
  <si>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</si>
  <si>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</si>
  <si>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</si>
  <si>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</si>
  <si>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</si>
  <si>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</si>
  <si>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</si>
  <si>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</si>
  <si>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</si>
  <si>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</si>
  <si>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</si>
  <si>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</si>
  <si>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</si>
  <si>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</si>
  <si>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</si>
  <si>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</si>
  <si>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</si>
  <si>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</si>
  <si>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</si>
  <si>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</si>
  <si>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</si>
  <si>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</si>
  <si>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</si>
  <si>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</si>
  <si>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</si>
  <si>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</si>
  <si>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</si>
  <si>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</si>
  <si>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</si>
  <si>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</si>
  <si>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</si>
  <si>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</si>
  <si>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KONSTANTINOS KRANIOTIS</t>
  </si>
  <si>
    <t>MARIA ALEXANDRA CHRISTOLIAKOU</t>
  </si>
  <si>
    <t>ATHINA KAROUMPALOU</t>
  </si>
  <si>
    <t>SPYRIDOULA KOURTI</t>
  </si>
  <si>
    <t>VASILEIOS KARAGKIOULES</t>
  </si>
  <si>
    <t>THEODOROS DELIGIANNIS</t>
  </si>
  <si>
    <t>XAVI MATEU</t>
  </si>
  <si>
    <t>00:46</t>
  </si>
  <si>
    <t>04:06</t>
  </si>
  <si>
    <t xml:space="preserve">Very good job! When refs change a shoot valoration after IRS, you have to delete the action and add it again. You can do it at the end of the quarter. 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</si>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</sst>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08_079_OLY_HTA_E2025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79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45961.885416666664</v>
      </c>
      <c r="C3" s="157"/>
      <c r="D3" s="39">
        <v>512</v>
      </c>
      <c r="E3" s="29"/>
      <c r="F3" s="26">
        <f>SUBTOTAL(3,I17:I106)</f>
        <v>2</v>
      </c>
      <c r="G3" s="27">
        <f>IF(OR(D3="",D3=0),"",F3/D3)</f>
        <v>3.90625E-3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Olympiacos Piraeus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743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3.90625E-3</v>
      </c>
      <c r="S4" s="61">
        <f>SUM(I13:M13)</f>
        <v>0</v>
      </c>
      <c r="T4" s="78"/>
      <c r="U4" s="61">
        <f>AC18</f>
        <v>1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0.390625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1.890625</v>
      </c>
      <c r="N7" s="58"/>
      <c r="O7" s="2"/>
      <c r="P7" s="2"/>
      <c r="Q7" s="86">
        <f>SUM(R5,S5,AC16)</f>
        <v>1.890625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1.890625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79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79</v>
      </c>
      <c r="D17" s="32" t="s">
        <v>757</v>
      </c>
      <c r="E17" s="33">
        <v>1</v>
      </c>
      <c r="F17" s="36">
        <v>18</v>
      </c>
      <c r="G17" s="36">
        <v>17</v>
      </c>
      <c r="H17" s="38" t="str">
        <f>IF(I17="","",$I$14)</f>
        <v>SCOUTING</v>
      </c>
      <c r="I17" s="34">
        <v>106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79</v>
      </c>
      <c r="D18" s="32" t="s">
        <v>758</v>
      </c>
      <c r="E18" s="33">
        <v>2</v>
      </c>
      <c r="F18" s="36">
        <v>22</v>
      </c>
      <c r="G18" s="36">
        <v>32</v>
      </c>
      <c r="H18" s="38" t="str">
        <f t="shared" ref="H18:H81" si="8">IF(I18="","",$I$14)</f>
        <v>SCOUTING</v>
      </c>
      <c r="I18" s="34">
        <v>215</v>
      </c>
      <c r="J18" s="13" t="s">
        <v>4</v>
      </c>
      <c r="K18" s="13" t="s">
        <v>63</v>
      </c>
      <c r="L18" s="13" t="s">
        <v>5</v>
      </c>
      <c r="M18" s="13" t="s">
        <v>168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REPORT_E2025079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"E2025079"</v>
      </c>
      <c r="F3" s="45" t="str">
        <f t="shared" ref="F3:F16" si="0">""""&amp;B3&amp;"""" &amp; " : " &amp;C3&amp;","</f>
        <v>"name" : "E2025079",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"E079"</v>
      </c>
      <c r="F4" s="45" t="str">
        <f t="shared" si="0"/>
        <v>"cod" : "E079",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079</v>
      </c>
      <c r="F6" s="45" t="str">
        <f t="shared" si="0"/>
        <v>"number" : 079,</v>
      </c>
    </row>
    <row r="7" spans="2:6" x14ac:dyDescent="0.25">
      <c r="B7" s="43" t="s">
        <v>116</v>
      </c>
      <c r="C7" s="43" t="str">
        <f ca="1">""""&amp;TEXT('SCOUT &amp; LOGISTICS'!B3,"dd/mm/aaaa")&amp;""""</f>
        <v>"31/10/Friday"</v>
      </c>
      <c r="F7" s="45" t="str">
        <f t="shared" ca="1" si="0"/>
        <v>"date" : "31/10/Friday",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ALEXANDRA CHRISTOLIAKOU"</v>
      </c>
      <c r="F11" s="45" t="str">
        <f t="shared" si="0"/>
        <v>"Caller_1" : "MARIA ALEXANDRA CHRISTOLIAKOU",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"SPYRIDOULA KOURTI"</v>
      </c>
      <c r="F13" s="45" t="str">
        <f t="shared" si="0"/>
        <v>"Timerkeeper" : "SPYRIDOULA KOURTI",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"VASILEIOS KARAGKIOULES"</v>
      </c>
      <c r="F14" s="45" t="str">
        <f t="shared" si="0"/>
        <v>"Shotclock" : "VASILEIOS KARAGKIOULES",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"THEODOROS DELIGIANNIS"</v>
      </c>
      <c r="F15" s="45" t="str">
        <f t="shared" si="0"/>
        <v>"IRS" : "THEODOROS DELIGIANNIS",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512</v>
      </c>
      <c r="F25" s="45" t="str">
        <f t="shared" ref="F25:F48" si="1">""""&amp;C25&amp;"""" &amp; " : " &amp;D25&amp;","</f>
        <v>"total_actions" : 512,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When refs change a shoot valoration after IRS, you have to delete the action and add it again. You can do it at the end of the quarter. "</v>
      </c>
      <c r="F51" s="45" t="str">
        <f>""""&amp;B51&amp;"""" &amp; " : " &amp;C51&amp;","</f>
        <v>"comments" : "Very good job! When refs change a shoot valoration after IRS, you have to delete the action and add it again. You can do it at the end of the quarter. ",</v>
      </c>
    </row>
    <row r="52" spans="2:6" x14ac:dyDescent="0.25">
      <c r="B52" s="43" t="s">
        <v>153</v>
      </c>
      <c r="C52" s="43" t="str">
        <f>TEXT('SCOUT &amp; LOGISTICS'!F1,"0,0")</f>
        <v>08_079_OLY_HTA_E2025</v>
      </c>
      <c r="F52" s="45" t="str">
        <f>""""&amp;B52&amp;"""" &amp; " : " &amp;C52</f>
        <v>"result" : 08_079_OLY_HTA_E2025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E079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31/10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Olympiacos Piraeus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KONSTANTINOS KRANIOTIS</v>
      </c>
      <c r="C8" s="206"/>
      <c r="D8" s="206"/>
      <c r="E8" s="206"/>
      <c r="F8" s="206"/>
      <c r="G8" s="206" t="str">
        <f>IF('SCOUT &amp; LOGISTICS'!D7="","",'SCOUT &amp; LOGISTICS'!D7)</f>
        <v>MARIA ALEXANDRA CHRISTOLIAKOU</v>
      </c>
      <c r="H8" s="206"/>
      <c r="I8" s="206"/>
      <c r="J8" s="206"/>
      <c r="K8" s="206"/>
      <c r="L8" s="206" t="str">
        <f>IF('SCOUT &amp; LOGISTICS'!D8="","",'SCOUT &amp; LOGISTICS'!D8)</f>
        <v>ATHINA KAROUMPALOU</v>
      </c>
      <c r="M8" s="206"/>
      <c r="N8" s="206"/>
      <c r="O8" s="206"/>
      <c r="P8" s="206"/>
      <c r="Q8" s="206" t="str">
        <f>IF('SCOUT &amp; LOGISTICS'!D9="","",'SCOUT &amp; LOGISTICS'!D9)</f>
        <v>SPYRIDOULA KOURTI</v>
      </c>
      <c r="R8" s="206"/>
      <c r="S8" s="206"/>
      <c r="T8" s="206"/>
      <c r="U8" s="206"/>
      <c r="V8" s="206" t="str">
        <f>IF('SCOUT &amp; LOGISTICS'!D10="","",'SCOUT &amp; LOGISTICS'!D10)</f>
        <v>VASILEIOS KARAGKIOULES</v>
      </c>
      <c r="W8" s="206"/>
      <c r="X8" s="206"/>
      <c r="Y8" s="206"/>
      <c r="Z8" s="206"/>
      <c r="AA8" s="206" t="str">
        <f>IF('SCOUT &amp; LOGISTICS'!D11="","",'SCOUT &amp; LOGISTICS'!D11)</f>
        <v>THEODOROS DELIGIANNIS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3.90625E-3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job! When refs change a shoot valoration after IRS, you have to delete the action and add it again. You can do it at the end of the quarter.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1.890625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A2D15A-8A5F-4C8B-B77A-E66DAD616A3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2025-11-04T15:07:50Z</cp:lastPrinted>
  <dcterms:created xsi:type="dcterms:W3CDTF">2023-09-19T19:50:35Z</dcterms:created>
  <dcterms:modified xsi:type="dcterms:W3CDTF">2025-11-04T15:07:55Z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