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49" documentId="8_{75DB9C64-64FA-4252-90FC-B3D606AAFC81}" xr6:coauthVersionLast="47" xr6:coauthVersionMax="47" xr10:uidLastSave="{1BA3C6B0-8884-4512-9E8C-31FA725BE4F6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<sst xmlns="http://schemas.openxmlformats.org/spreadsheetml/2006/main" count="3259" uniqueCount="760">
  <si>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</si>
  <si>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</si>
  <si>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</si>
  <si>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</si>
  <si>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</si>
  <si>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</si>
  <si>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</si>
  <si>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</si>
  <si>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</si>
  <si>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</si>
  <si>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</si>
  <si>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</si>
  <si>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</si>
  <si>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</si>
  <si>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</si>
  <si>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</si>
  <si>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</si>
  <si>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</si>
  <si>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</si>
  <si>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</si>
  <si>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</si>
  <si>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</si>
  <si>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</si>
  <si>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</si>
  <si>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</si>
  <si>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</si>
  <si>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</si>
  <si>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</si>
  <si>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</si>
  <si>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</si>
  <si>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</si>
  <si>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</si>
  <si>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</si>
  <si>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</si>
  <si>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</si>
  <si>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</si>
  <si>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</si>
  <si>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</si>
  <si>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</si>
  <si>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</si>
  <si>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</si>
  <si>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</si>
  <si>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</si>
  <si>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</si>
  <si>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</si>
  <si>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</si>
  <si>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</si>
  <si>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</si>
  <si>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</si>
  <si>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</si>
  <si>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</si>
  <si>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</si>
  <si>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</si>
  <si>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</si>
  <si>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</si>
  <si>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</si>
  <si>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</si>
  <si>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</si>
  <si>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</si>
  <si>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</si>
  <si>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</si>
  <si>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</si>
  <si>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</si>
  <si>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</si>
  <si>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</si>
  <si>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</si>
  <si>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</si>
  <si>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</si>
  <si>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</si>
  <si>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</si>
  <si>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</si>
  <si>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</si>
  <si>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</si>
  <si>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</si>
  <si>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</si>
  <si>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</si>
  <si>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</si>
  <si>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</si>
  <si>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</si>
  <si>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</si>
  <si>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</si>
  <si>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</si>
  <si>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</si>
  <si>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</si>
  <si>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</si>
  <si>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</si>
  <si>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</si>
  <si>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</si>
  <si>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</si>
  <si>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</si>
  <si>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</si>
  <si>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</si>
  <si>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</si>
  <si>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</si>
  <si>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</si>
  <si>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</si>
  <si>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</si>
  <si>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</si>
  <si>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</si>
  <si>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</si>
  <si>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</si>
  <si>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</si>
  <si>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</si>
  <si>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</si>
  <si>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</si>
  <si>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</si>
  <si>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</si>
  <si>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</si>
  <si>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</si>
  <si>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</si>
  <si>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</si>
  <si>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</si>
  <si>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</si>
  <si>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</si>
  <si>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</si>
  <si>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</si>
  <si>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</si>
  <si>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</si>
  <si>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</si>
  <si>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</si>
  <si>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</si>
  <si>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</si>
  <si>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</si>
  <si>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</si>
  <si>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</si>
  <si>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</si>
  <si>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</si>
  <si>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</si>
  <si>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</si>
  <si>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</si>
  <si>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</si>
  <si>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</si>
  <si>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</si>
  <si>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</si>
  <si>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</si>
  <si>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</si>
  <si>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</si>
  <si>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</si>
  <si>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</si>
  <si>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</si>
  <si>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</si>
  <si>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</si>
  <si>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</si>
  <si>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</si>
  <si>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</si>
  <si>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</si>
  <si>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</si>
  <si>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</si>
  <si>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</si>
  <si>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</si>
  <si>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</si>
  <si>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</si>
  <si>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</si>
  <si>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</si>
  <si>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</si>
  <si>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</si>
  <si>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</si>
  <si>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</si>
  <si>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</si>
  <si>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</si>
  <si>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</si>
  <si>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</si>
  <si>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</si>
  <si>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</si>
  <si>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</si>
  <si>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</si>
  <si>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</si>
  <si>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</si>
  <si>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</si>
  <si>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</si>
  <si>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</si>
  <si>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</si>
  <si>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</si>
  <si>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</si>
  <si>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</si>
  <si>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</si>
  <si>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</si>
  <si>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</si>
  <si>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</si>
  <si>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</si>
  <si>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</si>
  <si>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</si>
  <si>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</si>
  <si>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</si>
  <si>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</si>
  <si>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</si>
  <si>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</si>
  <si>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</si>
  <si>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</si>
  <si>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</si>
  <si>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</si>
  <si>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</si>
  <si>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</si>
  <si>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</si>
  <si>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</si>
  <si>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</si>
  <si>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</si>
  <si>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</si>
  <si>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</si>
  <si>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</si>
  <si>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</si>
  <si>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</si>
  <si>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</si>
  <si>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</si>
  <si>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</si>
  <si>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</si>
  <si>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</si>
  <si>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</si>
  <si>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</si>
  <si>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</si>
  <si>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</si>
  <si>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</si>
  <si>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</si>
  <si>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</si>
  <si>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</si>
  <si>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</si>
  <si>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</si>
  <si>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</si>
  <si>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</si>
  <si>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</si>
  <si>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</si>
  <si>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</si>
  <si>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</si>
  <si>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</si>
  <si>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</si>
  <si>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</si>
  <si>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</si>
  <si>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</si>
  <si>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</si>
  <si>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</si>
  <si>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</si>
  <si>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</si>
  <si>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</si>
  <si>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</si>
  <si>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</si>
  <si>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</si>
  <si>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</si>
  <si>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</si>
  <si>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</si>
  <si>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</si>
  <si>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</si>
  <si>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</si>
  <si>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</si>
  <si>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</si>
  <si>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</si>
  <si>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</si>
  <si>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</si>
  <si>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</si>
  <si>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</si>
  <si>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</si>
  <si>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</si>
  <si>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</si>
  <si>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</si>
  <si>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</si>
  <si>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</si>
  <si>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</si>
  <si>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</si>
  <si>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</si>
  <si>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</si>
  <si>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</si>
  <si>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</si>
  <si>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</si>
  <si>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</si>
  <si>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</si>
  <si>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</si>
  <si>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</si>
  <si>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</si>
  <si>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</si>
  <si>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</si>
  <si>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</si>
  <si>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</si>
  <si>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</si>
  <si>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</si>
  <si>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</si>
  <si>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</si>
  <si>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</si>
  <si>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</si>
  <si>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</si>
  <si>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</si>
  <si>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</si>
  <si>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</si>
  <si>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</si>
  <si>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</si>
  <si>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</si>
  <si>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</si>
  <si>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</si>
  <si>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</si>
  <si>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</si>
  <si>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</si>
  <si>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</si>
  <si>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</si>
  <si>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</si>
  <si>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</si>
  <si>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</si>
  <si>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</si>
  <si>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</si>
  <si>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</si>
  <si>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</si>
  <si>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</si>
  <si>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</si>
  <si>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</si>
  <si>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</si>
  <si>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</si>
  <si>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</si>
  <si>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</si>
  <si>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</si>
  <si>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</si>
  <si>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</si>
  <si>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</si>
  <si>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</si>
  <si>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</si>
  <si>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</si>
  <si>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</si>
  <si>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</si>
  <si>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</si>
  <si>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</si>
  <si>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</si>
  <si>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</si>
  <si>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</si>
  <si>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</si>
  <si>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</si>
  <si>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</si>
  <si>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</si>
  <si>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</si>
  <si>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</si>
  <si>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</si>
  <si>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</si>
  <si>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</si>
  <si>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</si>
  <si>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</si>
  <si>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</si>
  <si>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</si>
  <si>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</si>
  <si>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</si>
  <si>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</si>
  <si>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</si>
  <si>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</si>
  <si>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</si>
  <si>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</si>
  <si>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</si>
  <si>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</si>
  <si>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</si>
  <si>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</si>
  <si>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</si>
  <si>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</si>
  <si>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</si>
  <si>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</si>
  <si>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</si>
  <si>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</si>
  <si>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</si>
  <si>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</si>
  <si>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</si>
  <si>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</si>
  <si>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</si>
  <si>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</si>
  <si>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</si>
  <si>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</si>
  <si>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</si>
  <si>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</si>
  <si>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</si>
  <si>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</si>
  <si>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</si>
  <si>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</si>
  <si>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</si>
  <si>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</si>
  <si>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</si>
  <si>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</si>
  <si>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</si>
  <si>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</si>
  <si>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</si>
  <si>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</si>
  <si>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</si>
  <si>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</si>
  <si>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</si>
  <si>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</si>
  <si>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</si>
  <si>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</si>
  <si>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</si>
  <si>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</si>
  <si>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</si>
  <si>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</si>
  <si>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</si>
  <si>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</si>
  <si>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</si>
  <si>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</si>
  <si>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</si>
  <si>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</si>
  <si>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</si>
  <si>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</si>
  <si>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</si>
  <si>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</si>
  <si>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</si>
  <si>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</si>
  <si>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</si>
  <si>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</si>
  <si>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</si>
  <si>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</si>
  <si>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</si>
  <si>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</si>
  <si>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</si>
  <si>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</si>
  <si>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</si>
  <si>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</si>
  <si>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</si>
  <si>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</si>
  <si>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</si>
  <si>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</si>
  <si>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</si>
  <si>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</si>
  <si>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</si>
  <si>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</si>
  <si>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</si>
  <si>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</si>
  <si>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</si>
  <si>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</si>
  <si>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</si>
  <si>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</si>
  <si>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</si>
  <si>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</si>
  <si>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</si>
  <si>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</si>
  <si>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</si>
  <si>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</si>
  <si>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</si>
  <si>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</si>
  <si>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</si>
  <si>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</si>
  <si>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</si>
  <si>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</si>
  <si>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</si>
  <si>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</si>
  <si>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</si>
  <si>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</si>
  <si>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</si>
  <si>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</si>
  <si>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</si>
  <si>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</si>
  <si>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</si>
  <si>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</si>
  <si>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</si>
  <si>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</si>
  <si>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</si>
  <si>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</si>
  <si>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</si>
  <si>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</si>
  <si>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</si>
  <si>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</si>
  <si>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</si>
  <si>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</si>
  <si>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</si>
  <si>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</si>
  <si>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</si>
  <si>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</si>
  <si>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</si>
  <si>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</si>
  <si>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</si>
  <si>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</si>
  <si>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</si>
  <si>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</si>
  <si>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</si>
  <si>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</si>
  <si>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</si>
  <si>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</si>
  <si>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</si>
  <si>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</si>
  <si>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</si>
  <si>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</si>
  <si>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</si>
  <si>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</si>
  <si>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</si>
  <si>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</si>
  <si>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</si>
  <si>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</si>
  <si>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</si>
  <si>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</si>
  <si>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</si>
  <si>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</si>
  <si>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</si>
  <si>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</si>
  <si>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</si>
  <si>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</si>
  <si>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</si>
  <si>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</si>
  <si>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</si>
  <si>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</si>
  <si>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</si>
  <si>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</si>
  <si>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</si>
  <si>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</si>
  <si>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</si>
  <si>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</si>
  <si>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</si>
  <si>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</si>
  <si>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</si>
  <si>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</si>
  <si>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</si>
  <si>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</si>
  <si>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</si>
  <si>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</si>
  <si>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</si>
  <si>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</si>
  <si>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</si>
  <si>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</si>
  <si>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</si>
  <si>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</si>
  <si>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</si>
  <si>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</si>
  <si>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</si>
  <si>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</si>
  <si>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</si>
  <si>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</si>
  <si>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</si>
  <si>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</si>
  <si>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</si>
  <si>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</si>
  <si>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</si>
  <si>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</si>
  <si>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</si>
  <si>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</si>
  <si>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</si>
  <si>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</si>
  <si>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</si>
  <si>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</si>
  <si>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</si>
  <si>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</si>
  <si>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</si>
  <si>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</si>
  <si>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</si>
  <si>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</si>
  <si>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</si>
  <si>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</si>
  <si>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</si>
  <si>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</si>
  <si>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</si>
  <si>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</si>
  <si>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</si>
  <si>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</si>
  <si>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</si>
  <si>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</si>
  <si>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</si>
  <si>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</si>
  <si>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</si>
  <si>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</si>
  <si>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</si>
  <si>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</si>
  <si>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</si>
  <si>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</si>
  <si>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</si>
  <si>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</si>
  <si>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</si>
  <si>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</si>
  <si>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</si>
  <si>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</si>
  <si>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</si>
  <si>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</si>
  <si>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</si>
  <si>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</si>
  <si>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</si>
  <si>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</si>
  <si>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</si>
  <si>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</si>
  <si>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</si>
  <si>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</si>
  <si>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</si>
  <si>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</si>
  <si>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</si>
  <si>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</si>
  <si>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</si>
  <si>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</si>
  <si>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</si>
  <si>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</si>
  <si>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</si>
  <si>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</si>
  <si>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</si>
  <si>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</si>
  <si>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</si>
  <si>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</si>
  <si>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</si>
  <si>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</si>
  <si>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</si>
  <si>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</si>
  <si>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</si>
  <si>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</si>
  <si>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</si>
  <si>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</si>
  <si>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</si>
  <si>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</si>
  <si>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</si>
  <si>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</si>
  <si>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</si>
  <si>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</si>
  <si>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</si>
  <si>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</si>
  <si>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</si>
  <si>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</si>
  <si>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</si>
  <si>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</si>
  <si>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</si>
  <si>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</si>
  <si>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</si>
  <si>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</si>
  <si>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</si>
  <si>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</si>
  <si>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</si>
  <si>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</si>
  <si>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</si>
  <si>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</si>
  <si>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</si>
  <si>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</si>
  <si>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</si>
  <si>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</si>
  <si>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</si>
  <si>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</si>
  <si>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</si>
  <si>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</si>
  <si>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</si>
  <si>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</si>
  <si>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</si>
  <si>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</si>
  <si>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</si>
  <si>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</si>
  <si>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</si>
  <si>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</si>
  <si>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</si>
  <si>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</si>
  <si>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</si>
  <si>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</si>
  <si>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</si>
  <si>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</si>
  <si>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</si>
  <si>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</si>
  <si>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</si>
  <si>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</si>
  <si>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</si>
  <si>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</si>
  <si>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</si>
  <si>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</si>
  <si>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</si>
  <si>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</si>
  <si>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</si>
  <si>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</si>
  <si>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</si>
  <si>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</si>
  <si>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</si>
  <si>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</si>
  <si>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</si>
  <si>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</si>
  <si>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</si>
  <si>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</si>
  <si>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</si>
  <si>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</si>
  <si>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</si>
  <si>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</si>
  <si>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</si>
  <si>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</si>
  <si>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</si>
  <si>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</si>
  <si>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</si>
  <si>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</si>
  <si>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</si>
  <si>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</si>
  <si>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</si>
  <si>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</si>
  <si>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</si>
  <si>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</si>
  <si>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</si>
  <si>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</si>
  <si>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</si>
  <si>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</si>
  <si>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</si>
  <si>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</si>
  <si>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</si>
  <si>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</si>
  <si>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</si>
  <si>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</si>
  <si>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</si>
  <si>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</si>
  <si>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</si>
  <si>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</si>
  <si>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</si>
  <si>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</si>
  <si>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</si>
  <si>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</si>
  <si>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</si>
  <si>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</si>
  <si>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</si>
  <si>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</si>
  <si>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</si>
  <si>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</si>
  <si>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</si>
  <si>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</si>
  <si>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</si>
  <si>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</si>
  <si>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</si>
  <si>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</si>
  <si>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</si>
  <si>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</si>
  <si>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</si>
  <si>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</si>
  <si>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</si>
  <si>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</si>
  <si>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</si>
  <si>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</si>
  <si>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</si>
  <si>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</si>
  <si>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</si>
  <si>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</si>
  <si>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</si>
  <si>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</si>
  <si>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</si>
  <si>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</si>
  <si>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</si>
  <si>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</si>
  <si>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</si>
  <si>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</si>
  <si>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</si>
  <si>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</si>
  <si>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</si>
  <si>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</si>
  <si>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</si>
  <si>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</si>
  <si>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</si>
  <si>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</si>
  <si>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</si>
  <si>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</si>
  <si>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</si>
  <si>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</si>
  <si>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</si>
  <si>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</si>
  <si>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</si>
  <si>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</si>
  <si>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</si>
  <si>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</si>
  <si>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</si>
  <si>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</si>
  <si>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</si>
  <si>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</si>
  <si>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</si>
  <si>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</si>
  <si>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</si>
  <si>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</si>
  <si>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</si>
  <si>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</si>
  <si>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</si>
  <si>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</si>
  <si>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</si>
  <si>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</si>
  <si>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</si>
  <si>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</si>
  <si>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</si>
  <si>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MERIC AKAR</t>
  </si>
  <si>
    <t>FATIH ASLAN</t>
  </si>
  <si>
    <t>FATIH SEN</t>
  </si>
  <si>
    <t>ISMAIL FULSER</t>
  </si>
  <si>
    <t>04:07</t>
  </si>
  <si>
    <t>01:37</t>
  </si>
  <si>
    <t>03:03</t>
  </si>
  <si>
    <t>Excellent job. To say something, when a player is disqualified, confirm us on Discord.</t>
  </si>
  <si>
    <t>XAVI MATEU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</si>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</sst>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08_079_TTK_BES_U2025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79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45980.791666666664</v>
      </c>
      <c r="C3" s="157"/>
      <c r="D3" s="39">
        <v>640</v>
      </c>
      <c r="E3" s="29"/>
      <c r="F3" s="26">
        <f>SUBTOTAL(3,I17:I106)</f>
        <v>3</v>
      </c>
      <c r="G3" s="27">
        <f>IF(OR(D3="",D3=0),"",F3/D3)</f>
        <v>4.6874999999999998E-3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Turk Telekom Ankara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TTK</v>
      </c>
      <c r="I4" s="5"/>
      <c r="J4" s="119" t="s">
        <v>714</v>
      </c>
      <c r="K4" s="54" t="s">
        <v>743</v>
      </c>
      <c r="L4" s="5"/>
      <c r="M4" s="167" t="s">
        <v>757</v>
      </c>
      <c r="N4" s="168"/>
      <c r="O4" s="2"/>
      <c r="P4" s="2"/>
      <c r="Q4" s="84" t="s">
        <v>175</v>
      </c>
      <c r="R4" s="94">
        <f>(IF(G3="",0,G3))</f>
        <v>4.6874999999999998E-3</v>
      </c>
      <c r="S4" s="61">
        <f>SUM(I13:M13)</f>
        <v>0</v>
      </c>
      <c r="T4" s="78"/>
      <c r="U4" s="61">
        <f>AC18</f>
        <v>1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Besiktas GAIN Istanbul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BES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0.46875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735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2.96875</v>
      </c>
      <c r="N7" s="58"/>
      <c r="O7" s="2"/>
      <c r="P7" s="2"/>
      <c r="Q7" s="86">
        <f>SUM(R5,S5,AC16)</f>
        <v>2.96875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2.96875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752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79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758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79</v>
      </c>
      <c r="D17" s="32" t="s">
        <v>754</v>
      </c>
      <c r="E17" s="33">
        <v>1</v>
      </c>
      <c r="F17" s="36">
        <v>10</v>
      </c>
      <c r="G17" s="36">
        <v>5</v>
      </c>
      <c r="H17" s="38" t="str">
        <f>IF(I17="","",$I$14)</f>
        <v>SCOUTING</v>
      </c>
      <c r="I17" s="34">
        <v>83</v>
      </c>
      <c r="J17" s="13" t="s">
        <v>4</v>
      </c>
      <c r="K17" s="13" t="s">
        <v>63</v>
      </c>
      <c r="L17" s="13" t="s">
        <v>6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3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79</v>
      </c>
      <c r="D18" s="32" t="s">
        <v>755</v>
      </c>
      <c r="E18" s="33">
        <v>1</v>
      </c>
      <c r="F18" s="36">
        <v>16</v>
      </c>
      <c r="G18" s="36">
        <v>24</v>
      </c>
      <c r="H18" s="38" t="str">
        <f t="shared" ref="H18:H81" si="8">IF(I18="","",$I$14)</f>
        <v>SCOUTING</v>
      </c>
      <c r="I18" s="34">
        <v>121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79</v>
      </c>
      <c r="D19" s="32" t="s">
        <v>756</v>
      </c>
      <c r="E19" s="33">
        <v>1</v>
      </c>
      <c r="F19" s="36">
        <v>54</v>
      </c>
      <c r="G19" s="36">
        <v>63</v>
      </c>
      <c r="H19" s="38" t="str">
        <f t="shared" si="8"/>
        <v>SCOUTING</v>
      </c>
      <c r="I19" s="34">
        <v>436</v>
      </c>
      <c r="J19" s="13" t="s">
        <v>4</v>
      </c>
      <c r="K19" s="13" t="s">
        <v>63</v>
      </c>
      <c r="L19" s="13" t="s">
        <v>6</v>
      </c>
      <c r="M19" s="13" t="s">
        <v>22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REPORT_U2025079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"U2025079"</v>
      </c>
      <c r="F3" s="45" t="str">
        <f t="shared" ref="F3:F16" si="0">""""&amp;B3&amp;"""" &amp; " : " &amp;C3&amp;","</f>
        <v>"name" : "U2025079",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"U079"</v>
      </c>
      <c r="F4" s="45" t="str">
        <f t="shared" si="0"/>
        <v>"cod" : "U079",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079</v>
      </c>
      <c r="F6" s="45" t="str">
        <f t="shared" si="0"/>
        <v>"number" : 079,</v>
      </c>
    </row>
    <row r="7" spans="2:6" x14ac:dyDescent="0.25">
      <c r="B7" s="43" t="s">
        <v>116</v>
      </c>
      <c r="C7" s="43" t="str">
        <f ca="1">""""&amp;TEXT('SCOUT &amp; LOGISTICS'!B3,"dd/mm/aaaa")&amp;""""</f>
        <v>"19/11/Wednesday"</v>
      </c>
      <c r="F7" s="45" t="str">
        <f t="shared" ca="1" si="0"/>
        <v>"date" : "19/11/Wednesday",</v>
      </c>
    </row>
    <row r="8" spans="2:6" x14ac:dyDescent="0.25">
      <c r="B8" s="43" t="s">
        <v>125</v>
      </c>
      <c r="C8" s="43" t="str">
        <f>""""&amp;'SCOUT &amp; LOGISTICS'!D4 &amp;""""</f>
        <v>"Turk Telekom Ankara"</v>
      </c>
      <c r="F8" s="45" t="str">
        <f t="shared" si="0"/>
        <v>"home_team" : "Turk Telekom Ankara",</v>
      </c>
    </row>
    <row r="9" spans="2:6" x14ac:dyDescent="0.25">
      <c r="B9" s="43" t="s">
        <v>126</v>
      </c>
      <c r="C9" s="43" t="str">
        <f>""""&amp;'SCOUT &amp; LOGISTICS'!D5&amp;""""</f>
        <v>"Besiktas GAIN Istanbul"</v>
      </c>
      <c r="F9" s="45" t="str">
        <f t="shared" si="0"/>
        <v>"away_team" : "Besiktas GAIN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"MERIC AKAR"</v>
      </c>
      <c r="F11" s="45" t="str">
        <f t="shared" si="0"/>
        <v>"Caller_1" : "MERIC AKAR",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"FATIH ASLAN"</v>
      </c>
      <c r="F12" s="45" t="str">
        <f t="shared" si="0"/>
        <v>"Caller_2" : "FATIH ASLAN",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"FATIH SEN"</v>
      </c>
      <c r="F13" s="45" t="str">
        <f t="shared" si="0"/>
        <v>"Timerkeeper" : "FATIH SEN",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"ISMAIL FULSER"</v>
      </c>
      <c r="F14" s="45" t="str">
        <f t="shared" si="0"/>
        <v>"Shotclock" : "ISMAIL FULSER",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640</v>
      </c>
      <c r="F25" s="45" t="str">
        <f t="shared" ref="F25:F48" si="1">""""&amp;C25&amp;"""" &amp; " : " &amp;D25&amp;","</f>
        <v>"total_actions" : 640,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3</v>
      </c>
      <c r="F31" s="45" t="str">
        <f t="shared" si="1"/>
        <v>"q1" : 3,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job. To say something, when a player is disqualified, confirm us on Discord."</v>
      </c>
      <c r="F51" s="45" t="str">
        <f>""""&amp;B51&amp;"""" &amp; " : " &amp;C51&amp;","</f>
        <v>"comments" : "Excellent job. To say something, when a player is disqualified, confirm us on Discord.",</v>
      </c>
    </row>
    <row r="52" spans="2:6" x14ac:dyDescent="0.25">
      <c r="B52" s="43" t="s">
        <v>153</v>
      </c>
      <c r="C52" s="43" t="str">
        <f>TEXT('SCOUT &amp; LOGISTICS'!F1,"0,0")</f>
        <v>08_079_TTK_BES_U2025</v>
      </c>
      <c r="F52" s="45" t="str">
        <f>""""&amp;B52&amp;"""" &amp; " : " &amp;C52</f>
        <v>"result" : 08_079_TTK_BES_U2025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U079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19/11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Turk Telekom Ankara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Besiktas Gain Istanbul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CAN KUTLUATA</v>
      </c>
      <c r="C8" s="206"/>
      <c r="D8" s="206"/>
      <c r="E8" s="206"/>
      <c r="F8" s="206"/>
      <c r="G8" s="206" t="str">
        <f>IF('SCOUT &amp; LOGISTICS'!D7="","",'SCOUT &amp; LOGISTICS'!D7)</f>
        <v>MERIC AKAR</v>
      </c>
      <c r="H8" s="206"/>
      <c r="I8" s="206"/>
      <c r="J8" s="206"/>
      <c r="K8" s="206"/>
      <c r="L8" s="206" t="str">
        <f>IF('SCOUT &amp; LOGISTICS'!D8="","",'SCOUT &amp; LOGISTICS'!D8)</f>
        <v>FATIH ASLAN</v>
      </c>
      <c r="M8" s="206"/>
      <c r="N8" s="206"/>
      <c r="O8" s="206"/>
      <c r="P8" s="206"/>
      <c r="Q8" s="206" t="str">
        <f>IF('SCOUT &amp; LOGISTICS'!D9="","",'SCOUT &amp; LOGISTICS'!D9)</f>
        <v>FATIH SEN</v>
      </c>
      <c r="R8" s="206"/>
      <c r="S8" s="206"/>
      <c r="T8" s="206"/>
      <c r="U8" s="206"/>
      <c r="V8" s="206" t="str">
        <f>IF('SCOUT &amp; LOGISTICS'!D10="","",'SCOUT &amp; LOGISTICS'!D10)</f>
        <v>ISMAIL FULSER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640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4.6874999999999998E-3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3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2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Excellent job. To say something, when a player is disqualified, confirm us on Discord.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2.96875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03A0015-999D-49C4-9F7C-5DA8C10E1127}"/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2025-11-20T15:44:01Z</cp:lastPrinted>
  <dcterms:created xsi:type="dcterms:W3CDTF">2023-09-19T19:50:35Z</dcterms:created>
  <dcterms:modified xsi:type="dcterms:W3CDTF">2025-11-20T15:44:03Z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