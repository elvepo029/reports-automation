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50DA4B5-B91A-454C-B6D1-C9E8D6915821}" xr6:coauthVersionLast="47" xr6:coauthVersionMax="47" xr10:uidLastSave="{00000000-0000-0000-0000-000000000000}"/>
  <bookViews>
    <workbookView xWindow="-4665" yWindow="-15105" windowWidth="27105" windowHeight="1510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<sst xmlns="http://schemas.openxmlformats.org/spreadsheetml/2006/main" count="3254" uniqueCount="759">
  <si>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</si>
  <si>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</si>
  <si>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</si>
  <si>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</si>
  <si>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</si>
  <si>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</si>
  <si>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</si>
  <si>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</si>
  <si>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</si>
  <si>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</si>
  <si>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</si>
  <si>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</si>
  <si>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</si>
  <si>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</si>
  <si>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</si>
  <si>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</si>
  <si>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</si>
  <si>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</si>
  <si>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</si>
  <si>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</si>
  <si>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</si>
  <si>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</si>
  <si>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</si>
  <si>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</si>
  <si>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</si>
  <si>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</si>
  <si>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</si>
  <si>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</si>
  <si>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</si>
  <si>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</si>
  <si>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</si>
  <si>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</si>
  <si>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</si>
  <si>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</si>
  <si>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</si>
  <si>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</si>
  <si>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</si>
  <si>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</si>
  <si>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</si>
  <si>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</si>
  <si>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</si>
  <si>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</si>
  <si>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</si>
  <si>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</si>
  <si>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</si>
  <si>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</si>
  <si>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</si>
  <si>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</si>
  <si>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</si>
  <si>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</si>
  <si>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</si>
  <si>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</si>
  <si>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</si>
  <si>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</si>
  <si>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</si>
  <si>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</si>
  <si>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</si>
  <si>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</si>
  <si>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</si>
  <si>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</si>
  <si>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</si>
  <si>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</si>
  <si>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</si>
  <si>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</si>
  <si>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</si>
  <si>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</si>
  <si>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</si>
  <si>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</si>
  <si>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</si>
  <si>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</si>
  <si>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</si>
  <si>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</si>
  <si>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</si>
  <si>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</si>
  <si>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</si>
  <si>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</si>
  <si>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</si>
  <si>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</si>
  <si>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</si>
  <si>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</si>
  <si>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</si>
  <si>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</si>
  <si>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</si>
  <si>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</si>
  <si>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</si>
  <si>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</si>
  <si>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</si>
  <si>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</si>
  <si>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</si>
  <si>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</si>
  <si>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</si>
  <si>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</si>
  <si>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</si>
  <si>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</si>
  <si>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</si>
  <si>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</si>
  <si>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</si>
  <si>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</si>
  <si>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</si>
  <si>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</si>
  <si>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</si>
  <si>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</si>
  <si>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</si>
  <si>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</si>
  <si>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</si>
  <si>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</si>
  <si>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</si>
  <si>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</si>
  <si>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</si>
  <si>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</si>
  <si>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</si>
  <si>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</si>
  <si>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</si>
  <si>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</si>
  <si>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</si>
  <si>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</si>
  <si>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</si>
  <si>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</si>
  <si>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</si>
  <si>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</si>
  <si>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</si>
  <si>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</si>
  <si>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</si>
  <si>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</si>
  <si>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</si>
  <si>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</si>
  <si>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</si>
  <si>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</si>
  <si>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</si>
  <si>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</si>
  <si>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</si>
  <si>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</si>
  <si>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</si>
  <si>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</si>
  <si>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</si>
  <si>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</si>
  <si>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</si>
  <si>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</si>
  <si>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</si>
  <si>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</si>
  <si>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</si>
  <si>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</si>
  <si>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</si>
  <si>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</si>
  <si>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</si>
  <si>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</si>
  <si>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</si>
  <si>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</si>
  <si>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</si>
  <si>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</si>
  <si>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</si>
  <si>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</si>
  <si>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</si>
  <si>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</si>
  <si>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</si>
  <si>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</si>
  <si>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</si>
  <si>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</si>
  <si>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</si>
  <si>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</si>
  <si>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</si>
  <si>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</si>
  <si>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</si>
  <si>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</si>
  <si>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</si>
  <si>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</si>
  <si>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</si>
  <si>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</si>
  <si>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</si>
  <si>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</si>
  <si>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</si>
  <si>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</si>
  <si>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</si>
  <si>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</si>
  <si>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</si>
  <si>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</si>
  <si>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</si>
  <si>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</si>
  <si>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</si>
  <si>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</si>
  <si>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</si>
  <si>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</si>
  <si>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</si>
  <si>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</si>
  <si>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</si>
  <si>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</si>
  <si>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</si>
  <si>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</si>
  <si>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</si>
  <si>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</si>
  <si>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</si>
  <si>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</si>
  <si>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</si>
  <si>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</si>
  <si>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</si>
  <si>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</si>
  <si>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</si>
  <si>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</si>
  <si>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</si>
  <si>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</si>
  <si>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</si>
  <si>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</si>
  <si>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</si>
  <si>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</si>
  <si>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</si>
  <si>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</si>
  <si>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</si>
  <si>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</si>
  <si>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</si>
  <si>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</si>
  <si>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</si>
  <si>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</si>
  <si>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</si>
  <si>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</si>
  <si>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</si>
  <si>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</si>
  <si>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</si>
  <si>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</si>
  <si>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</si>
  <si>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</si>
  <si>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</si>
  <si>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</si>
  <si>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</si>
  <si>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</si>
  <si>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</si>
  <si>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</si>
  <si>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</si>
  <si>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</si>
  <si>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</si>
  <si>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</si>
  <si>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</si>
  <si>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</si>
  <si>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</si>
  <si>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</si>
  <si>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</si>
  <si>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</si>
  <si>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</si>
  <si>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</si>
  <si>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</si>
  <si>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</si>
  <si>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</si>
  <si>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</si>
  <si>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</si>
  <si>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</si>
  <si>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</si>
  <si>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</si>
  <si>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</si>
  <si>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</si>
  <si>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</si>
  <si>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</si>
  <si>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</si>
  <si>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</si>
  <si>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</si>
  <si>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</si>
  <si>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</si>
  <si>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</si>
  <si>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</si>
  <si>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</si>
  <si>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</si>
  <si>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</si>
  <si>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</si>
  <si>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</si>
  <si>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</si>
  <si>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</si>
  <si>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</si>
  <si>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</si>
  <si>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</si>
  <si>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</si>
  <si>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</si>
  <si>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</si>
  <si>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</si>
  <si>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</si>
  <si>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</si>
  <si>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</si>
  <si>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</si>
  <si>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</si>
  <si>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</si>
  <si>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</si>
  <si>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</si>
  <si>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</si>
  <si>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</si>
  <si>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</si>
  <si>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</si>
  <si>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</si>
  <si>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</si>
  <si>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</si>
  <si>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</si>
  <si>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</si>
  <si>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</si>
  <si>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</si>
  <si>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</si>
  <si>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</si>
  <si>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</si>
  <si>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</si>
  <si>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</si>
  <si>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</si>
  <si>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</si>
  <si>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</si>
  <si>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</si>
  <si>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</si>
  <si>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</si>
  <si>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</si>
  <si>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</si>
  <si>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</si>
  <si>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</si>
  <si>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</si>
  <si>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</si>
  <si>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</si>
  <si>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</si>
  <si>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</si>
  <si>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</si>
  <si>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</si>
  <si>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</si>
  <si>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</si>
  <si>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</si>
  <si>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</si>
  <si>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</si>
  <si>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</si>
  <si>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</si>
  <si>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</si>
  <si>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</si>
  <si>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</si>
  <si>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</si>
  <si>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</si>
  <si>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</si>
  <si>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</si>
  <si>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</si>
  <si>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</si>
  <si>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</si>
  <si>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</si>
  <si>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</si>
  <si>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</si>
  <si>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</si>
  <si>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</si>
  <si>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</si>
  <si>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</si>
  <si>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</si>
  <si>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</si>
  <si>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</si>
  <si>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</si>
  <si>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</si>
  <si>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</si>
  <si>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</si>
  <si>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</si>
  <si>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</si>
  <si>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</si>
  <si>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</si>
  <si>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</si>
  <si>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</si>
  <si>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</si>
  <si>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</si>
  <si>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</si>
  <si>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</si>
  <si>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</si>
  <si>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</si>
  <si>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</si>
  <si>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</si>
  <si>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</si>
  <si>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</si>
  <si>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</si>
  <si>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</si>
  <si>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</si>
  <si>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</si>
  <si>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</si>
  <si>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</si>
  <si>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</si>
  <si>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</si>
  <si>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</si>
  <si>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</si>
  <si>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</si>
  <si>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</si>
  <si>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</si>
  <si>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</si>
  <si>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</si>
  <si>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</si>
  <si>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</si>
  <si>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</si>
  <si>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</si>
  <si>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</si>
  <si>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</si>
  <si>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</si>
  <si>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</si>
  <si>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</si>
  <si>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</si>
  <si>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</si>
  <si>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</si>
  <si>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</si>
  <si>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</si>
  <si>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</si>
  <si>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</si>
  <si>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</si>
  <si>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</si>
  <si>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</si>
  <si>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</si>
  <si>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</si>
  <si>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</si>
  <si>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</si>
  <si>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</si>
  <si>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</si>
  <si>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</si>
  <si>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</si>
  <si>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</si>
  <si>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</si>
  <si>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</si>
  <si>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</si>
  <si>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</si>
  <si>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</si>
  <si>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</si>
  <si>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</si>
  <si>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</si>
  <si>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</si>
  <si>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</si>
  <si>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</si>
  <si>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</si>
  <si>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</si>
  <si>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</si>
  <si>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</si>
  <si>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</si>
  <si>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</si>
  <si>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</si>
  <si>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</si>
  <si>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</si>
  <si>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</si>
  <si>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</si>
  <si>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</si>
  <si>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</si>
  <si>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</si>
  <si>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</si>
  <si>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</si>
  <si>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</si>
  <si>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</si>
  <si>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</si>
  <si>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</si>
  <si>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</si>
  <si>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</si>
  <si>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</si>
  <si>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</si>
  <si>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</si>
  <si>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</si>
  <si>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</si>
  <si>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</si>
  <si>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</si>
  <si>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</si>
  <si>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</si>
  <si>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</si>
  <si>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</si>
  <si>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</si>
  <si>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</si>
  <si>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</si>
  <si>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</si>
  <si>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</si>
  <si>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</si>
  <si>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</si>
  <si>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</si>
  <si>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</si>
  <si>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</si>
  <si>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</si>
  <si>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</si>
  <si>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</si>
  <si>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</si>
  <si>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</si>
  <si>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</si>
  <si>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</si>
  <si>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</si>
  <si>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</si>
  <si>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</si>
  <si>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</si>
  <si>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</si>
  <si>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</si>
  <si>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</si>
  <si>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</si>
  <si>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</si>
  <si>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</si>
  <si>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</si>
  <si>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</si>
  <si>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</si>
  <si>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</si>
  <si>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</si>
  <si>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</si>
  <si>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</si>
  <si>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</si>
  <si>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</si>
  <si>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</si>
  <si>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</si>
  <si>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</si>
  <si>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</si>
  <si>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</si>
  <si>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</si>
  <si>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</si>
  <si>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</si>
  <si>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</si>
  <si>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</si>
  <si>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</si>
  <si>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</si>
  <si>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</si>
  <si>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</si>
  <si>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</si>
  <si>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</si>
  <si>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</si>
  <si>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</si>
  <si>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</si>
  <si>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</si>
  <si>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</si>
  <si>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</si>
  <si>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</si>
  <si>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</si>
  <si>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</si>
  <si>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</si>
  <si>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</si>
  <si>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</si>
  <si>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</si>
  <si>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</si>
  <si>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</si>
  <si>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</si>
  <si>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</si>
  <si>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</si>
  <si>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</si>
  <si>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</si>
  <si>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</si>
  <si>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</si>
  <si>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</si>
  <si>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</si>
  <si>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</si>
  <si>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</si>
  <si>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</si>
  <si>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</si>
  <si>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</si>
  <si>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</si>
  <si>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</si>
  <si>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</si>
  <si>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</si>
  <si>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</si>
  <si>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</si>
  <si>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</si>
  <si>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</si>
  <si>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</si>
  <si>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</si>
  <si>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</si>
  <si>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</si>
  <si>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</si>
  <si>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</si>
  <si>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</si>
  <si>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</si>
  <si>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</si>
  <si>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</si>
  <si>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</si>
  <si>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</si>
  <si>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</si>
  <si>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</si>
  <si>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</si>
  <si>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</si>
  <si>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</si>
  <si>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</si>
  <si>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</si>
  <si>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</si>
  <si>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</si>
  <si>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</si>
  <si>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</si>
  <si>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</si>
  <si>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</si>
  <si>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</si>
  <si>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</si>
  <si>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</si>
  <si>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</si>
  <si>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</si>
  <si>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</si>
  <si>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</si>
  <si>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</si>
  <si>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</si>
  <si>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</si>
  <si>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</si>
  <si>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</si>
  <si>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</si>
  <si>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</si>
  <si>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</si>
  <si>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</si>
  <si>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</si>
  <si>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</si>
  <si>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</si>
  <si>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</si>
  <si>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</si>
  <si>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</si>
  <si>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</si>
  <si>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</si>
  <si>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</si>
  <si>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</si>
  <si>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</si>
  <si>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</si>
  <si>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</si>
  <si>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</si>
  <si>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</si>
  <si>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</si>
  <si>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</si>
  <si>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</si>
  <si>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</si>
  <si>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</si>
  <si>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</si>
  <si>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</si>
  <si>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</si>
  <si>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</si>
  <si>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</si>
  <si>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</si>
  <si>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</si>
  <si>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</si>
  <si>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</si>
  <si>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</si>
  <si>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</si>
  <si>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</si>
  <si>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</si>
  <si>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</si>
  <si>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</si>
  <si>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</si>
  <si>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</si>
  <si>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</si>
  <si>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</si>
  <si>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</si>
  <si>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</si>
  <si>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</si>
  <si>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</si>
  <si>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</si>
  <si>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</si>
  <si>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</si>
  <si>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</si>
  <si>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</si>
  <si>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</si>
  <si>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</si>
  <si>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</si>
  <si>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</si>
  <si>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</si>
  <si>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</si>
  <si>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</si>
  <si>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</si>
  <si>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</si>
  <si>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</si>
  <si>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</si>
  <si>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</si>
  <si>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</si>
  <si>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</si>
  <si>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</si>
  <si>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</si>
  <si>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</si>
  <si>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</si>
  <si>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</si>
  <si>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</si>
  <si>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</si>
  <si>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</si>
  <si>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</si>
  <si>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</si>
  <si>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</si>
  <si>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</si>
  <si>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</si>
  <si>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</si>
  <si>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</si>
  <si>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</si>
  <si>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</si>
  <si>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</si>
  <si>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</si>
  <si>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</si>
  <si>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</si>
  <si>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</si>
  <si>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</si>
  <si>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</si>
  <si>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</si>
  <si>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</si>
  <si>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</si>
  <si>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</si>
  <si>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</si>
  <si>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</si>
  <si>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</si>
  <si>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</si>
  <si>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</si>
  <si>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</si>
  <si>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</si>
  <si>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</si>
  <si>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</si>
  <si>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</si>
  <si>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</si>
  <si>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</si>
  <si>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</si>
  <si>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</si>
  <si>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</si>
  <si>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</si>
  <si>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</si>
  <si>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</si>
  <si>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</si>
  <si>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</si>
  <si>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</si>
  <si>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</si>
  <si>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</si>
  <si>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</si>
  <si>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</si>
  <si>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</si>
  <si>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</si>
  <si>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</si>
  <si>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</si>
  <si>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</si>
  <si>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</si>
  <si>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</si>
  <si>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</si>
  <si>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</si>
  <si>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</si>
  <si>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</si>
  <si>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</si>
  <si>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</si>
  <si>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</si>
  <si>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</si>
  <si>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</si>
  <si>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</si>
  <si>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</si>
  <si>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</si>
  <si>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</si>
  <si>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</si>
  <si>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</si>
  <si>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</si>
  <si>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</si>
  <si>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</si>
  <si>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</si>
  <si>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</si>
  <si>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</si>
  <si>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</si>
  <si>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</si>
  <si>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</si>
  <si>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</si>
  <si>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</si>
  <si>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</si>
  <si>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</si>
  <si>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</si>
  <si>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</si>
  <si>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</si>
  <si>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</si>
  <si>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</si>
  <si>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</si>
  <si>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</si>
  <si>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</si>
  <si>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</si>
  <si>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</si>
  <si>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</si>
  <si>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</si>
  <si>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</si>
  <si>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</si>
  <si>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</si>
  <si>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</si>
  <si>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</si>
  <si>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</si>
  <si>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</si>
  <si>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</si>
  <si>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</si>
  <si>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</si>
  <si>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</si>
  <si>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</si>
  <si>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KRANIOTIS, KONSTANTINOS</t>
  </si>
  <si>
    <t>TRIANTAFYLLOU, IOANNIS</t>
  </si>
  <si>
    <t>ANTONOPOULOS, PANAGIOTIS</t>
  </si>
  <si>
    <t>KARAGKIOULES, VASILEIOS</t>
  </si>
  <si>
    <t>MINAS, SOLON</t>
  </si>
  <si>
    <t>MARIO ENJUANES</t>
  </si>
  <si>
    <t>06:49</t>
  </si>
  <si>
    <t>Very good job!</t>
  </si>
  <si>
    <t>07:41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</si>
</sst>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18" sqref="I1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08_080_NIO_LKB_U2025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45980.8125</v>
      </c>
      <c r="C3" s="178"/>
      <c r="D3" s="39">
        <v>551</v>
      </c>
      <c r="E3" s="29"/>
      <c r="F3" s="26">
        <f>SUBTOTAL(3,I17:I106)</f>
        <v>2</v>
      </c>
      <c r="G3" s="27">
        <f>IF(OR(D3="",D3=0),"",F3/D3)</f>
        <v>3.629764065335753E-3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Panionios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743</v>
      </c>
      <c r="L4" s="5"/>
      <c r="M4" s="185" t="s">
        <v>757</v>
      </c>
      <c r="N4" s="186"/>
      <c r="O4" s="2"/>
      <c r="P4" s="2"/>
      <c r="Q4" s="84" t="s">
        <v>175</v>
      </c>
      <c r="R4" s="94">
        <f>(IF(G3="",0,G3))</f>
        <v>3.629764065335753E-3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Lietkabelis Panevezys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LKB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0.36297640653357532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3.8629764065335754</v>
      </c>
      <c r="N7" s="58"/>
      <c r="O7" s="2"/>
      <c r="P7" s="2"/>
      <c r="Q7" s="86">
        <f>SUM(R5,S5,AC16)</f>
        <v>3.8629764065335754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3.8629764065335754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80</v>
      </c>
      <c r="D17" s="32" t="s">
        <v>756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37</v>
      </c>
      <c r="J17" s="13" t="s">
        <v>4</v>
      </c>
      <c r="K17" s="13" t="s">
        <v>62</v>
      </c>
      <c r="L17" s="13" t="s">
        <v>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80</v>
      </c>
      <c r="D18" s="32" t="s">
        <v>758</v>
      </c>
      <c r="E18" s="33">
        <v>1</v>
      </c>
      <c r="F18" s="36">
        <v>12</v>
      </c>
      <c r="G18" s="36">
        <v>19</v>
      </c>
      <c r="H18" s="38" t="str">
        <f t="shared" ref="H18:H81" si="8">IF(I18="","",$I$14)</f>
        <v>SCOUTING</v>
      </c>
      <c r="I18" s="34">
        <v>157</v>
      </c>
      <c r="J18" s="13" t="s">
        <v>4</v>
      </c>
      <c r="K18" s="13" t="s">
        <v>63</v>
      </c>
      <c r="L18" s="13" t="s">
        <v>6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REPORT_U2025080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"U2025080"</v>
      </c>
      <c r="F3" s="45" t="str">
        <f t="shared" ref="F3:F16" si="0">""""&amp;B3&amp;"""" &amp; " : " &amp;C3&amp;","</f>
        <v>"name" : "U2025080",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"U080"</v>
      </c>
      <c r="F4" s="45" t="str">
        <f t="shared" si="0"/>
        <v>"cod" : "U080",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080</v>
      </c>
      <c r="F6" s="45" t="str">
        <f t="shared" si="0"/>
        <v>"number" : 080,</v>
      </c>
    </row>
    <row r="7" spans="2:6" x14ac:dyDescent="0.2">
      <c r="B7" s="43" t="s">
        <v>116</v>
      </c>
      <c r="C7" s="43" t="str">
        <f ca="1">""""&amp;TEXT('SCOUT &amp; LOGISTICS'!B3,"dd/mm/aaaa")&amp;""""</f>
        <v>"19/11/Wednesday"</v>
      </c>
      <c r="F7" s="45" t="str">
        <f t="shared" ca="1" si="0"/>
        <v>"date" : "19/11/Wednesday",</v>
      </c>
    </row>
    <row r="8" spans="2:6" x14ac:dyDescent="0.2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">
      <c r="B9" s="43" t="s">
        <v>126</v>
      </c>
      <c r="C9" s="43" t="str">
        <f>""""&amp;'SCOUT &amp; LOGISTICS'!D5&amp;""""</f>
        <v>"Lietkabelis Panevezys"</v>
      </c>
      <c r="F9" s="45" t="str">
        <f t="shared" si="0"/>
        <v>"away_team" : "Lietkabelis Panevezys",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"KRANIOTIS, KONSTANTINOS"</v>
      </c>
      <c r="F10" s="45" t="str">
        <f t="shared" si="0"/>
        <v>"Data_entry" : "KRANIOTIS, KONSTANTINOS",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"TRIANTAFYLLOU, IOANNIS"</v>
      </c>
      <c r="F11" s="45" t="str">
        <f t="shared" si="0"/>
        <v>"Caller_1" : "TRIANTAFYLLOU, IOANNIS",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"ANTONOPOULOS, PANAGIOTIS"</v>
      </c>
      <c r="F12" s="45" t="str">
        <f t="shared" si="0"/>
        <v>"Caller_2" : "ANTONOPOULOS, PANAGIOTIS",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"KARAGKIOULES, VASILEIOS"</v>
      </c>
      <c r="F13" s="45" t="str">
        <f t="shared" si="0"/>
        <v>"Timerkeeper" : "KARAGKIOULES, VASILEIOS",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"MINAS, SOLON"</v>
      </c>
      <c r="F14" s="45" t="str">
        <f t="shared" si="0"/>
        <v>"Shotclock" : "MINAS, SOLON",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551</v>
      </c>
      <c r="F25" s="45" t="str">
        <f t="shared" ref="F25:F48" si="1">""""&amp;C25&amp;"""" &amp; " : " &amp;D25&amp;","</f>
        <v>"total_actions" : 551,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08_080_NIO_LKB_U2025</v>
      </c>
      <c r="F52" s="45" t="str">
        <f>""""&amp;B52&amp;"""" &amp; " : " &amp;C52</f>
        <v>"result" : 08_080_NIO_LKB_U2025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U080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Panionios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Lietkabelis Panevezys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KRANIOTIS, KONSTANTINOS</v>
      </c>
      <c r="C8" s="201"/>
      <c r="D8" s="201"/>
      <c r="E8" s="201"/>
      <c r="F8" s="201"/>
      <c r="G8" s="201" t="str">
        <f>IF('SCOUT &amp; LOGISTICS'!D7="","",'SCOUT &amp; LOGISTICS'!D7)</f>
        <v>TRIANTAFYLLOU, IOANNIS</v>
      </c>
      <c r="H8" s="201"/>
      <c r="I8" s="201"/>
      <c r="J8" s="201"/>
      <c r="K8" s="201"/>
      <c r="L8" s="201" t="str">
        <f>IF('SCOUT &amp; LOGISTICS'!D8="","",'SCOUT &amp; LOGISTICS'!D8)</f>
        <v>ANTONOPOULOS, PANAGIOTIS</v>
      </c>
      <c r="M8" s="201"/>
      <c r="N8" s="201"/>
      <c r="O8" s="201"/>
      <c r="P8" s="201"/>
      <c r="Q8" s="201" t="str">
        <f>IF('SCOUT &amp; LOGISTICS'!D9="","",'SCOUT &amp; LOGISTICS'!D9)</f>
        <v>KARAGKIOULES, VASILEIOS</v>
      </c>
      <c r="R8" s="201"/>
      <c r="S8" s="201"/>
      <c r="T8" s="201"/>
      <c r="U8" s="201"/>
      <c r="V8" s="201" t="str">
        <f>IF('SCOUT &amp; LOGISTICS'!D10="","",'SCOUT &amp; LOGISTICS'!D10)</f>
        <v>MINAS, SOLON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551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3.629764065335753E-3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3.8629764065335754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39B46AB-23AD-4F96-AFDE-59BC2EC9B38E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2025-11-18T20:12:13Z</cp:lastPrinted>
  <dcterms:created xsi:type="dcterms:W3CDTF">2023-09-19T19:50:35Z</dcterms:created>
  <dcterms:modified xsi:type="dcterms:W3CDTF">2025-11-19T20:00:52Z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