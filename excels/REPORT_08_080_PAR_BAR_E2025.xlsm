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2" documentId="8_{4C5488D0-BE5F-4C25-AFBC-DD682CD21211}" xr6:coauthVersionLast="47" xr6:coauthVersionMax="47" xr10:uidLastSave="{D47166C6-7CC8-4B22-B50B-C0F42F379656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<sst xmlns="http://schemas.openxmlformats.org/spreadsheetml/2006/main" count="3250" uniqueCount="758">
  <si>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</si>
  <si>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</si>
  <si>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</si>
  <si>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</si>
  <si>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</si>
  <si>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</si>
  <si>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</si>
  <si>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</si>
  <si>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</si>
  <si>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</si>
  <si>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</si>
  <si>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</si>
  <si>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</si>
  <si>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</si>
  <si>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</si>
  <si>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</si>
  <si>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</si>
  <si>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</si>
  <si>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</si>
  <si>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</si>
  <si>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</si>
  <si>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</si>
  <si>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</si>
  <si>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</si>
  <si>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</si>
  <si>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</si>
  <si>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</si>
  <si>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</si>
  <si>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</si>
  <si>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</si>
  <si>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</si>
  <si>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</si>
  <si>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</si>
  <si>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</si>
  <si>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</si>
  <si>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</si>
  <si>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</si>
  <si>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</si>
  <si>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</si>
  <si>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</si>
  <si>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</si>
  <si>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</si>
  <si>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</si>
  <si>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</si>
  <si>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</si>
  <si>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</si>
  <si>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</si>
  <si>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</si>
  <si>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</si>
  <si>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</si>
  <si>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</si>
  <si>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</si>
  <si>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</si>
  <si>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</si>
  <si>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</si>
  <si>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</si>
  <si>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</si>
  <si>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</si>
  <si>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</si>
  <si>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</si>
  <si>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</si>
  <si>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</si>
  <si>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</si>
  <si>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</si>
  <si>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</si>
  <si>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</si>
  <si>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</si>
  <si>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</si>
  <si>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</si>
  <si>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</si>
  <si>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</si>
  <si>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</si>
  <si>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</si>
  <si>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</si>
  <si>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</si>
  <si>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</si>
  <si>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</si>
  <si>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</si>
  <si>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</si>
  <si>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</si>
  <si>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</si>
  <si>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</si>
  <si>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</si>
  <si>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</si>
  <si>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</si>
  <si>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</si>
  <si>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</si>
  <si>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</si>
  <si>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</si>
  <si>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</si>
  <si>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</si>
  <si>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</si>
  <si>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</si>
  <si>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</si>
  <si>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</si>
  <si>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</si>
  <si>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</si>
  <si>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</si>
  <si>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</si>
  <si>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</si>
  <si>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</si>
  <si>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</si>
  <si>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</si>
  <si>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</si>
  <si>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</si>
  <si>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</si>
  <si>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</si>
  <si>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</si>
  <si>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</si>
  <si>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</si>
  <si>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</si>
  <si>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</si>
  <si>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</si>
  <si>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</si>
  <si>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</si>
  <si>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</si>
  <si>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</si>
  <si>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</si>
  <si>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</si>
  <si>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</si>
  <si>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</si>
  <si>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</si>
  <si>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</si>
  <si>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</si>
  <si>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</si>
  <si>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</si>
  <si>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</si>
  <si>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</si>
  <si>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</si>
  <si>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</si>
  <si>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</si>
  <si>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</si>
  <si>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</si>
  <si>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</si>
  <si>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</si>
  <si>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</si>
  <si>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</si>
  <si>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</si>
  <si>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</si>
  <si>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</si>
  <si>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</si>
  <si>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</si>
  <si>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</si>
  <si>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</si>
  <si>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</si>
  <si>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</si>
  <si>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</si>
  <si>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</si>
  <si>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</si>
  <si>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</si>
  <si>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</si>
  <si>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</si>
  <si>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</si>
  <si>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</si>
  <si>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</si>
  <si>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</si>
  <si>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</si>
  <si>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</si>
  <si>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</si>
  <si>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</si>
  <si>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</si>
  <si>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</si>
  <si>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</si>
  <si>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</si>
  <si>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</si>
  <si>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</si>
  <si>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</si>
  <si>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</si>
  <si>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</si>
  <si>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</si>
  <si>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</si>
  <si>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</si>
  <si>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</si>
  <si>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</si>
  <si>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</si>
  <si>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</si>
  <si>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</si>
  <si>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</si>
  <si>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</si>
  <si>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</si>
  <si>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</si>
  <si>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</si>
  <si>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</si>
  <si>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</si>
  <si>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</si>
  <si>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</si>
  <si>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</si>
  <si>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</si>
  <si>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</si>
  <si>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</si>
  <si>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</si>
  <si>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</si>
  <si>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</si>
  <si>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</si>
  <si>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</si>
  <si>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</si>
  <si>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</si>
  <si>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</si>
  <si>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</si>
  <si>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</si>
  <si>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</si>
  <si>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</si>
  <si>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</si>
  <si>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</si>
  <si>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</si>
  <si>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</si>
  <si>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</si>
  <si>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</si>
  <si>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</si>
  <si>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</si>
  <si>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</si>
  <si>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</si>
  <si>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</si>
  <si>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</si>
  <si>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</si>
  <si>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</si>
  <si>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</si>
  <si>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</si>
  <si>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</si>
  <si>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</si>
  <si>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</si>
  <si>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</si>
  <si>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</si>
  <si>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</si>
  <si>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</si>
  <si>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</si>
  <si>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</si>
  <si>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</si>
  <si>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</si>
  <si>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</si>
  <si>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</si>
  <si>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</si>
  <si>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</si>
  <si>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</si>
  <si>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</si>
  <si>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</si>
  <si>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</si>
  <si>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</si>
  <si>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</si>
  <si>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</si>
  <si>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</si>
  <si>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</si>
  <si>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</si>
  <si>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</si>
  <si>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</si>
  <si>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</si>
  <si>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</si>
  <si>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</si>
  <si>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</si>
  <si>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</si>
  <si>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</si>
  <si>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</si>
  <si>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</si>
  <si>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</si>
  <si>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</si>
  <si>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</si>
  <si>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</si>
  <si>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</si>
  <si>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</si>
  <si>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</si>
  <si>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</si>
  <si>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</si>
  <si>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</si>
  <si>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</si>
  <si>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</si>
  <si>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</si>
  <si>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</si>
  <si>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</si>
  <si>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</si>
  <si>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</si>
  <si>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</si>
  <si>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</si>
  <si>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</si>
  <si>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</si>
  <si>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</si>
  <si>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</si>
  <si>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</si>
  <si>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</si>
  <si>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</si>
  <si>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</si>
  <si>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</si>
  <si>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</si>
  <si>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</si>
  <si>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</si>
  <si>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</si>
  <si>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</si>
  <si>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</si>
  <si>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</si>
  <si>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</si>
  <si>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</si>
  <si>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</si>
  <si>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</si>
  <si>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</si>
  <si>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</si>
  <si>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</si>
  <si>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</si>
  <si>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</si>
  <si>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</si>
  <si>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</si>
  <si>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</si>
  <si>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</si>
  <si>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</si>
  <si>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</si>
  <si>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</si>
  <si>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</si>
  <si>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</si>
  <si>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</si>
  <si>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</si>
  <si>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</si>
  <si>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</si>
  <si>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</si>
  <si>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</si>
  <si>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</si>
  <si>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</si>
  <si>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</si>
  <si>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</si>
  <si>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</si>
  <si>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</si>
  <si>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</si>
  <si>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</si>
  <si>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</si>
  <si>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</si>
  <si>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</si>
  <si>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</si>
  <si>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</si>
  <si>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</si>
  <si>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</si>
  <si>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</si>
  <si>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</si>
  <si>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</si>
  <si>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</si>
  <si>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</si>
  <si>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</si>
  <si>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</si>
  <si>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</si>
  <si>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</si>
  <si>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</si>
  <si>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</si>
  <si>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</si>
  <si>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</si>
  <si>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</si>
  <si>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</si>
  <si>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</si>
  <si>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</si>
  <si>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</si>
  <si>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</si>
  <si>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</si>
  <si>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</si>
  <si>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</si>
  <si>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</si>
  <si>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</si>
  <si>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</si>
  <si>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</si>
  <si>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</si>
  <si>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</si>
  <si>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</si>
  <si>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</si>
  <si>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</si>
  <si>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</si>
  <si>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</si>
  <si>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</si>
  <si>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</si>
  <si>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</si>
  <si>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</si>
  <si>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</si>
  <si>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</si>
  <si>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</si>
  <si>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</si>
  <si>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</si>
  <si>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</si>
  <si>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</si>
  <si>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</si>
  <si>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</si>
  <si>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</si>
  <si>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</si>
  <si>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</si>
  <si>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</si>
  <si>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</si>
  <si>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</si>
  <si>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</si>
  <si>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</si>
  <si>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</si>
  <si>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</si>
  <si>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</si>
  <si>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</si>
  <si>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</si>
  <si>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</si>
  <si>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</si>
  <si>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</si>
  <si>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</si>
  <si>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</si>
  <si>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</si>
  <si>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</si>
  <si>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</si>
  <si>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</si>
  <si>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</si>
  <si>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</si>
  <si>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</si>
  <si>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</si>
  <si>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</si>
  <si>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</si>
  <si>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</si>
  <si>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</si>
  <si>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</si>
  <si>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</si>
  <si>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</si>
  <si>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</si>
  <si>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</si>
  <si>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</si>
  <si>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</si>
  <si>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</si>
  <si>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</si>
  <si>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</si>
  <si>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</si>
  <si>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</si>
  <si>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</si>
  <si>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</si>
  <si>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</si>
  <si>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</si>
  <si>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</si>
  <si>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</si>
  <si>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</si>
  <si>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</si>
  <si>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</si>
  <si>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</si>
  <si>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</si>
  <si>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</si>
  <si>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</si>
  <si>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</si>
  <si>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</si>
  <si>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</si>
  <si>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</si>
  <si>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</si>
  <si>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</si>
  <si>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</si>
  <si>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</si>
  <si>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</si>
  <si>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</si>
  <si>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</si>
  <si>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</si>
  <si>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</si>
  <si>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</si>
  <si>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</si>
  <si>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</si>
  <si>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</si>
  <si>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</si>
  <si>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</si>
  <si>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</si>
  <si>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</si>
  <si>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</si>
  <si>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</si>
  <si>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</si>
  <si>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</si>
  <si>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</si>
  <si>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</si>
  <si>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</si>
  <si>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</si>
  <si>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</si>
  <si>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</si>
  <si>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</si>
  <si>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</si>
  <si>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</si>
  <si>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</si>
  <si>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</si>
  <si>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</si>
  <si>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</si>
  <si>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</si>
  <si>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</si>
  <si>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</si>
  <si>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</si>
  <si>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</si>
  <si>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</si>
  <si>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</si>
  <si>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</si>
  <si>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</si>
  <si>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</si>
  <si>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</si>
  <si>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</si>
  <si>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</si>
  <si>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</si>
  <si>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</si>
  <si>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</si>
  <si>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</si>
  <si>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</si>
  <si>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</si>
  <si>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</si>
  <si>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</si>
  <si>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</si>
  <si>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</si>
  <si>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</si>
  <si>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</si>
  <si>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</si>
  <si>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</si>
  <si>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</si>
  <si>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</si>
  <si>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</si>
  <si>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</si>
  <si>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</si>
  <si>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</si>
  <si>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</si>
  <si>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</si>
  <si>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</si>
  <si>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</si>
  <si>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</si>
  <si>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</si>
  <si>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</si>
  <si>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</si>
  <si>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</si>
  <si>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</si>
  <si>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</si>
  <si>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</si>
  <si>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</si>
  <si>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</si>
  <si>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</si>
  <si>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</si>
  <si>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</si>
  <si>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</si>
  <si>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</si>
  <si>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</si>
  <si>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</si>
  <si>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</si>
  <si>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</si>
  <si>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</si>
  <si>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</si>
  <si>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</si>
  <si>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</si>
  <si>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</si>
  <si>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</si>
  <si>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</si>
  <si>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</si>
  <si>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</si>
  <si>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</si>
  <si>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</si>
  <si>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</si>
  <si>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</si>
  <si>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</si>
  <si>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</si>
  <si>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</si>
  <si>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</si>
  <si>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</si>
  <si>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</si>
  <si>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</si>
  <si>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</si>
  <si>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</si>
  <si>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</si>
  <si>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</si>
  <si>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</si>
  <si>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</si>
  <si>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</si>
  <si>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</si>
  <si>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</si>
  <si>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</si>
  <si>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</si>
  <si>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</si>
  <si>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</si>
  <si>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</si>
  <si>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</si>
  <si>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</si>
  <si>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</si>
  <si>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</si>
  <si>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</si>
  <si>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</si>
  <si>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</si>
  <si>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</si>
  <si>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</si>
  <si>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</si>
  <si>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</si>
  <si>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</si>
  <si>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</si>
  <si>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</si>
  <si>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</si>
  <si>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</si>
  <si>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</si>
  <si>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</si>
  <si>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</si>
  <si>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</si>
  <si>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</si>
  <si>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</si>
  <si>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</si>
  <si>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</si>
  <si>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</si>
  <si>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</si>
  <si>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</si>
  <si>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</si>
  <si>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</si>
  <si>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</si>
  <si>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</si>
  <si>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</si>
  <si>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</si>
  <si>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</si>
  <si>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</si>
  <si>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</si>
  <si>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</si>
  <si>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</si>
  <si>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</si>
  <si>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</si>
  <si>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</si>
  <si>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</si>
  <si>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</si>
  <si>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</si>
  <si>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</si>
  <si>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</si>
  <si>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</si>
  <si>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</si>
  <si>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</si>
  <si>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</si>
  <si>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</si>
  <si>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</si>
  <si>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</si>
  <si>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</si>
  <si>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</si>
  <si>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</si>
  <si>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</si>
  <si>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</si>
  <si>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</si>
  <si>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</si>
  <si>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</si>
  <si>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</si>
  <si>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</si>
  <si>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</si>
  <si>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</si>
  <si>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</si>
  <si>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</si>
  <si>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</si>
  <si>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</si>
  <si>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</si>
  <si>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</si>
  <si>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</si>
  <si>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</si>
  <si>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</si>
  <si>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</si>
  <si>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</si>
  <si>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</si>
  <si>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</si>
  <si>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</si>
  <si>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</si>
  <si>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</si>
  <si>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</si>
  <si>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</si>
  <si>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</si>
  <si>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</si>
  <si>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</si>
  <si>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</si>
  <si>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</si>
  <si>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</si>
  <si>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</si>
  <si>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</si>
  <si>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</si>
  <si>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</si>
  <si>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</si>
  <si>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</si>
  <si>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</si>
  <si>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</si>
  <si>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</si>
  <si>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</si>
  <si>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</si>
  <si>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</si>
  <si>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</si>
  <si>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</si>
  <si>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</si>
  <si>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</si>
  <si>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</si>
  <si>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</si>
  <si>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</si>
  <si>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</si>
  <si>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</si>
  <si>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</si>
  <si>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</si>
  <si>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</si>
  <si>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</si>
  <si>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</si>
  <si>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</si>
  <si>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</si>
  <si>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</si>
  <si>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</si>
  <si>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</si>
  <si>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</si>
  <si>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</si>
  <si>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</si>
  <si>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</si>
  <si>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</si>
  <si>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</si>
  <si>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</si>
  <si>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</si>
  <si>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</si>
  <si>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</si>
  <si>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</si>
  <si>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</si>
  <si>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</si>
  <si>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</si>
  <si>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</si>
  <si>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</si>
  <si>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</si>
  <si>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</si>
  <si>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</si>
  <si>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</si>
  <si>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</si>
  <si>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</si>
  <si>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</si>
  <si>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</si>
  <si>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</si>
  <si>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</si>
  <si>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</si>
  <si>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</si>
  <si>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</si>
  <si>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</si>
  <si>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</si>
  <si>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</si>
  <si>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</si>
  <si>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</si>
  <si>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</si>
  <si>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</si>
  <si>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</si>
  <si>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</si>
  <si>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</si>
  <si>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</si>
  <si>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</si>
  <si>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</si>
  <si>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</si>
  <si>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</si>
  <si>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</si>
  <si>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</si>
  <si>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</si>
  <si>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</si>
  <si>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</si>
  <si>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</si>
  <si>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</si>
  <si>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</si>
  <si>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</si>
  <si>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</si>
  <si>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</si>
  <si>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</si>
  <si>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</si>
  <si>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</si>
  <si>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</si>
  <si>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</si>
  <si>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</si>
  <si>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</si>
  <si>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</si>
  <si>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</si>
  <si>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</si>
  <si>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</si>
  <si>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</si>
  <si>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</si>
  <si>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</si>
  <si>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</si>
  <si>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</si>
  <si>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</si>
  <si>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</si>
  <si>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E</t>
  </si>
  <si>
    <t>C:\Users\hector.guillen\EUROLEAGUE\EB STATS - Documents\General\SEASON 2025-26\Reports\Euroleague</t>
  </si>
  <si>
    <t>C:\Users\hector.guillen\EUROLEAGUE\EB STATS - Documents\General\SEASON 2025-26\Reports\Euroleague\PDF</t>
  </si>
  <si>
    <t>SLOBODAN SAKOTIC</t>
  </si>
  <si>
    <t>SONJA STANKOVIC</t>
  </si>
  <si>
    <t>IVANA PRPA</t>
  </si>
  <si>
    <t>JOVANA KRIVOKUCA-MILANOVIC</t>
  </si>
  <si>
    <t>7:40</t>
  </si>
  <si>
    <t>Very good job!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</si>
</sst>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08_080_PAR_BAR_E2025</v>
      </c>
      <c r="G1" s="5"/>
      <c r="H1" s="5"/>
      <c r="I1" s="5"/>
      <c r="J1" s="8" t="s">
        <v>707</v>
      </c>
      <c r="K1" s="121" t="s">
        <v>750</v>
      </c>
      <c r="L1" s="121"/>
      <c r="M1" s="122" t="s">
        <v>239</v>
      </c>
      <c r="N1" s="121" t="s">
        <v>751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80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45961.854166666664</v>
      </c>
      <c r="C3" s="157"/>
      <c r="D3" s="39">
        <v>578</v>
      </c>
      <c r="E3" s="29"/>
      <c r="F3" s="26">
        <f>SUBTOTAL(3,I17:I106)</f>
        <v>1</v>
      </c>
      <c r="G3" s="27">
        <f>IF(OR(D3="",D3=0),"",F3/D3)</f>
        <v>1.7301038062283738E-3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Partizan Mozzart Bet Belgrade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PAR</v>
      </c>
      <c r="I4" s="5"/>
      <c r="J4" s="119" t="s">
        <v>714</v>
      </c>
      <c r="K4" s="54" t="s">
        <v>742</v>
      </c>
      <c r="L4" s="5"/>
      <c r="M4" s="167" t="s">
        <v>757</v>
      </c>
      <c r="N4" s="168"/>
      <c r="O4" s="2"/>
      <c r="P4" s="2"/>
      <c r="Q4" s="84" t="s">
        <v>175</v>
      </c>
      <c r="R4" s="94">
        <f>(IF(G3="",0,G3))</f>
        <v>1.7301038062283738E-3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FC Barcelona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BAR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0.17301038062283738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746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0.67301038062283736</v>
      </c>
      <c r="N7" s="58"/>
      <c r="O7" s="2"/>
      <c r="P7" s="2"/>
      <c r="Q7" s="86">
        <f>SUM(R5,S5,AC16)</f>
        <v>0.67301038062283736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745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0.67301038062283736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80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748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80</v>
      </c>
      <c r="D17" s="32" t="s">
        <v>756</v>
      </c>
      <c r="E17" s="33">
        <v>4</v>
      </c>
      <c r="F17" s="36">
        <v>60</v>
      </c>
      <c r="G17" s="36">
        <v>58</v>
      </c>
      <c r="H17" s="38" t="str">
        <f>IF(I17="","",$I$14)</f>
        <v>SCOUTING</v>
      </c>
      <c r="I17" s="34">
        <v>447</v>
      </c>
      <c r="J17" s="13" t="s">
        <v>4</v>
      </c>
      <c r="K17" s="13" t="s">
        <v>62</v>
      </c>
      <c r="L17" s="13" t="s">
        <v>5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REPORT_E2025080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"E2025080"</v>
      </c>
      <c r="F3" s="45" t="str">
        <f t="shared" ref="F3:F16" si="0">""""&amp;B3&amp;"""" &amp; " : " &amp;C3&amp;","</f>
        <v>"name" : "E2025080",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"E080"</v>
      </c>
      <c r="F4" s="45" t="str">
        <f t="shared" si="0"/>
        <v>"cod" : "E080",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080</v>
      </c>
      <c r="F6" s="45" t="str">
        <f t="shared" si="0"/>
        <v>"number" : 080,</v>
      </c>
    </row>
    <row r="7" spans="2:6" x14ac:dyDescent="0.25">
      <c r="B7" s="43" t="s">
        <v>116</v>
      </c>
      <c r="C7" s="43" t="str">
        <f ca="1">""""&amp;TEXT('SCOUT &amp; LOGISTICS'!B3,"dd/mm/aaaa")&amp;""""</f>
        <v>"31/10/Friday"</v>
      </c>
      <c r="F7" s="45" t="str">
        <f t="shared" ca="1" si="0"/>
        <v>"date" : "31/10/Friday",</v>
      </c>
    </row>
    <row r="8" spans="2:6" x14ac:dyDescent="0.25">
      <c r="B8" s="43" t="s">
        <v>125</v>
      </c>
      <c r="C8" s="43" t="str">
        <f>""""&amp;'SCOUT &amp; LOGISTICS'!D4 &amp;""""</f>
        <v>"Partizan Mozzart Bet Belgrade"</v>
      </c>
      <c r="F8" s="45" t="str">
        <f t="shared" si="0"/>
        <v>"home_team" : "Partizan Mozzart Bet Belgrade",</v>
      </c>
    </row>
    <row r="9" spans="2:6" x14ac:dyDescent="0.25">
      <c r="B9" s="43" t="s">
        <v>126</v>
      </c>
      <c r="C9" s="43" t="str">
        <f>""""&amp;'SCOUT &amp; LOGISTICS'!D5&amp;""""</f>
        <v>"FC Barcelona"</v>
      </c>
      <c r="F9" s="45" t="str">
        <f t="shared" si="0"/>
        <v>"away_team" : "FC Barcelona",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"PETAR VASILJEVIC"</v>
      </c>
      <c r="F10" s="45" t="str">
        <f t="shared" si="0"/>
        <v>"Data_entry" : "PETAR VASILJEVIC",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"SLOBODAN SAKOTIC"</v>
      </c>
      <c r="F11" s="45" t="str">
        <f t="shared" si="0"/>
        <v>"Caller_1" : "SLOBODAN SAKOTIC",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"IVANA VASILJEVIC"</v>
      </c>
      <c r="F12" s="45" t="str">
        <f t="shared" si="0"/>
        <v>"Caller_2" : "IVANA VASILJEVIC",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"SONJA STANKOVIC"</v>
      </c>
      <c r="F13" s="45" t="str">
        <f t="shared" si="0"/>
        <v>"Timerkeeper" : "SONJA STANKOVIC",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"IVANA PRPA"</v>
      </c>
      <c r="F14" s="45" t="str">
        <f t="shared" si="0"/>
        <v>"Shotclock" : "IVANA PRPA",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"JOVANA KRIVOKUCA-MILANOVIC"</v>
      </c>
      <c r="F15" s="45" t="str">
        <f t="shared" si="0"/>
        <v>"IRS" : "JOVANA KRIVOKUCA-MILANOVIC",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578</v>
      </c>
      <c r="F25" s="45" t="str">
        <f t="shared" ref="F25:F48" si="1">""""&amp;C25&amp;"""" &amp; " : " &amp;D25&amp;","</f>
        <v>"total_actions" : 578,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up!"</v>
      </c>
      <c r="F51" s="45" t="str">
        <f>""""&amp;B51&amp;"""" &amp; " : " &amp;C51&amp;","</f>
        <v>"comments" : "Very good job! Keep it up!",</v>
      </c>
    </row>
    <row r="52" spans="2:6" x14ac:dyDescent="0.25">
      <c r="B52" s="43" t="s">
        <v>153</v>
      </c>
      <c r="C52" s="43" t="str">
        <f>TEXT('SCOUT &amp; LOGISTICS'!F1,"0,0")</f>
        <v>08_080_PAR_BAR_E2025</v>
      </c>
      <c r="F52" s="45" t="str">
        <f>""""&amp;B52&amp;"""" &amp; " : " &amp;C52</f>
        <v>"result" : 08_080_PAR_BAR_E2025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E080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31/10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Partizan Mozzart Bet Belgrade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Fc Barcelona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PETAR VASILJEVIC</v>
      </c>
      <c r="C8" s="206"/>
      <c r="D8" s="206"/>
      <c r="E8" s="206"/>
      <c r="F8" s="206"/>
      <c r="G8" s="206" t="str">
        <f>IF('SCOUT &amp; LOGISTICS'!D7="","",'SCOUT &amp; LOGISTICS'!D7)</f>
        <v>SLOBODAN SAKOTIC</v>
      </c>
      <c r="H8" s="206"/>
      <c r="I8" s="206"/>
      <c r="J8" s="206"/>
      <c r="K8" s="206"/>
      <c r="L8" s="206" t="str">
        <f>IF('SCOUT &amp; LOGISTICS'!D8="","",'SCOUT &amp; LOGISTICS'!D8)</f>
        <v>IVANA VASILJEVIC</v>
      </c>
      <c r="M8" s="206"/>
      <c r="N8" s="206"/>
      <c r="O8" s="206"/>
      <c r="P8" s="206"/>
      <c r="Q8" s="206" t="str">
        <f>IF('SCOUT &amp; LOGISTICS'!D9="","",'SCOUT &amp; LOGISTICS'!D9)</f>
        <v>SONJA STANKOVIC</v>
      </c>
      <c r="R8" s="206"/>
      <c r="S8" s="206"/>
      <c r="T8" s="206"/>
      <c r="U8" s="206"/>
      <c r="V8" s="206" t="str">
        <f>IF('SCOUT &amp; LOGISTICS'!D10="","",'SCOUT &amp; LOGISTICS'!D10)</f>
        <v>IVANA PRPA</v>
      </c>
      <c r="W8" s="206"/>
      <c r="X8" s="206"/>
      <c r="Y8" s="206"/>
      <c r="Z8" s="206"/>
      <c r="AA8" s="206" t="str">
        <f>IF('SCOUT &amp; LOGISTICS'!D11="","",'SCOUT &amp; LOGISTICS'!D11)</f>
        <v>JOVANA KRIVOKUCA-MILANOVIC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578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1.7301038062283738E-3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0.67301038062283736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7E34B19-73FC-4BED-82BC-A84DEC98E516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2025-10-31T21:40:01Z</cp:lastPrinted>
  <dcterms:created xsi:type="dcterms:W3CDTF">2023-09-19T19:50:35Z</dcterms:created>
  <dcterms:modified xsi:type="dcterms:W3CDTF">2025-10-31T21:40:10Z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