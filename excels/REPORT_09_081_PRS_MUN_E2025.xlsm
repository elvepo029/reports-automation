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7" documentId="8_{41590203-591D-443B-B6FE-1AB8C88E006E}" xr6:coauthVersionLast="47" xr6:coauthVersionMax="47" xr10:uidLastSave="{62BBA03E-7123-4B63-B105-36D49E578730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<sst xmlns="http://schemas.openxmlformats.org/spreadsheetml/2006/main" count="3256" uniqueCount="761">
  <si>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</si>
  <si>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</si>
  <si>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</si>
  <si>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</si>
  <si>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</si>
  <si>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</si>
  <si>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</si>
  <si>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</si>
  <si>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</si>
  <si>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</si>
  <si>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</si>
  <si>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</si>
  <si>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</si>
  <si>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</si>
  <si>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</si>
  <si>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</si>
  <si>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</si>
  <si>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</si>
  <si>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</si>
  <si>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</si>
  <si>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</si>
  <si>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</si>
  <si>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</si>
  <si>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</si>
  <si>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</si>
  <si>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</si>
  <si>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</si>
  <si>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</si>
  <si>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</si>
  <si>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</si>
  <si>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</si>
  <si>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</si>
  <si>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</si>
  <si>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</si>
  <si>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</si>
  <si>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</si>
  <si>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</si>
  <si>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</si>
  <si>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</si>
  <si>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</si>
  <si>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</si>
  <si>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</si>
  <si>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</si>
  <si>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</si>
  <si>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</si>
  <si>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</si>
  <si>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</si>
  <si>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</si>
  <si>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</si>
  <si>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</si>
  <si>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</si>
  <si>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</si>
  <si>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</si>
  <si>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</si>
  <si>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</si>
  <si>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</si>
  <si>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</si>
  <si>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</si>
  <si>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</si>
  <si>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</si>
  <si>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</si>
  <si>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</si>
  <si>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</si>
  <si>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</si>
  <si>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</si>
  <si>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</si>
  <si>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</si>
  <si>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</si>
  <si>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</si>
  <si>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</si>
  <si>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</si>
  <si>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</si>
  <si>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</si>
  <si>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</si>
  <si>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</si>
  <si>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</si>
  <si>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</si>
  <si>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</si>
  <si>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</si>
  <si>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</si>
  <si>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</si>
  <si>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</si>
  <si>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</si>
  <si>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</si>
  <si>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</si>
  <si>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</si>
  <si>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</si>
  <si>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</si>
  <si>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</si>
  <si>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</si>
  <si>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</si>
  <si>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</si>
  <si>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</si>
  <si>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</si>
  <si>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</si>
  <si>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</si>
  <si>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</si>
  <si>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</si>
  <si>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</si>
  <si>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</si>
  <si>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</si>
  <si>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</si>
  <si>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</si>
  <si>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</si>
  <si>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</si>
  <si>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</si>
  <si>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</si>
  <si>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</si>
  <si>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</si>
  <si>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</si>
  <si>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</si>
  <si>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</si>
  <si>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</si>
  <si>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</si>
  <si>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</si>
  <si>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</si>
  <si>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</si>
  <si>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</si>
  <si>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</si>
  <si>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</si>
  <si>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</si>
  <si>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</si>
  <si>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</si>
  <si>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</si>
  <si>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</si>
  <si>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</si>
  <si>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</si>
  <si>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</si>
  <si>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</si>
  <si>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</si>
  <si>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</si>
  <si>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</si>
  <si>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</si>
  <si>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</si>
  <si>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</si>
  <si>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</si>
  <si>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</si>
  <si>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</si>
  <si>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</si>
  <si>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</si>
  <si>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</si>
  <si>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</si>
  <si>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</si>
  <si>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</si>
  <si>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</si>
  <si>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</si>
  <si>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</si>
  <si>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</si>
  <si>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</si>
  <si>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</si>
  <si>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</si>
  <si>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</si>
  <si>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</si>
  <si>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</si>
  <si>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</si>
  <si>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</si>
  <si>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</si>
  <si>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</si>
  <si>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</si>
  <si>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</si>
  <si>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</si>
  <si>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</si>
  <si>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</si>
  <si>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</si>
  <si>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</si>
  <si>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</si>
  <si>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</si>
  <si>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</si>
  <si>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</si>
  <si>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</si>
  <si>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</si>
  <si>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</si>
  <si>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</si>
  <si>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</si>
  <si>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</si>
  <si>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</si>
  <si>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</si>
  <si>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</si>
  <si>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</si>
  <si>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</si>
  <si>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</si>
  <si>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</si>
  <si>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</si>
  <si>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</si>
  <si>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</si>
  <si>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</si>
  <si>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</si>
  <si>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</si>
  <si>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</si>
  <si>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</si>
  <si>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</si>
  <si>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</si>
  <si>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</si>
  <si>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</si>
  <si>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</si>
  <si>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</si>
  <si>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</si>
  <si>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</si>
  <si>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</si>
  <si>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</si>
  <si>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</si>
  <si>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</si>
  <si>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</si>
  <si>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</si>
  <si>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</si>
  <si>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</si>
  <si>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</si>
  <si>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</si>
  <si>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</si>
  <si>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</si>
  <si>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</si>
  <si>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</si>
  <si>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</si>
  <si>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</si>
  <si>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</si>
  <si>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</si>
  <si>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</si>
  <si>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</si>
  <si>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</si>
  <si>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</si>
  <si>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</si>
  <si>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</si>
  <si>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</si>
  <si>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</si>
  <si>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</si>
  <si>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</si>
  <si>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</si>
  <si>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</si>
  <si>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</si>
  <si>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</si>
  <si>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</si>
  <si>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</si>
  <si>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</si>
  <si>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</si>
  <si>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</si>
  <si>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</si>
  <si>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</si>
  <si>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</si>
  <si>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</si>
  <si>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</si>
  <si>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</si>
  <si>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</si>
  <si>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</si>
  <si>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</si>
  <si>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</si>
  <si>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</si>
  <si>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</si>
  <si>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</si>
  <si>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</si>
  <si>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</si>
  <si>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</si>
  <si>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</si>
  <si>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</si>
  <si>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</si>
  <si>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</si>
  <si>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</si>
  <si>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</si>
  <si>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</si>
  <si>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</si>
  <si>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</si>
  <si>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</si>
  <si>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</si>
  <si>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</si>
  <si>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</si>
  <si>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</si>
  <si>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</si>
  <si>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</si>
  <si>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</si>
  <si>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</si>
  <si>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</si>
  <si>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</si>
  <si>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</si>
  <si>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</si>
  <si>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</si>
  <si>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</si>
  <si>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</si>
  <si>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</si>
  <si>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</si>
  <si>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</si>
  <si>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</si>
  <si>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</si>
  <si>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</si>
  <si>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</si>
  <si>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</si>
  <si>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</si>
  <si>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</si>
  <si>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</si>
  <si>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</si>
  <si>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</si>
  <si>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</si>
  <si>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</si>
  <si>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</si>
  <si>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</si>
  <si>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</si>
  <si>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</si>
  <si>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</si>
  <si>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</si>
  <si>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</si>
  <si>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</si>
  <si>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</si>
  <si>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</si>
  <si>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</si>
  <si>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</si>
  <si>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</si>
  <si>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</si>
  <si>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</si>
  <si>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</si>
  <si>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</si>
  <si>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</si>
  <si>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</si>
  <si>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</si>
  <si>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</si>
  <si>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</si>
  <si>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</si>
  <si>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</si>
  <si>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</si>
  <si>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</si>
  <si>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</si>
  <si>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</si>
  <si>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</si>
  <si>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</si>
  <si>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</si>
  <si>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</si>
  <si>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</si>
  <si>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</si>
  <si>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</si>
  <si>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</si>
  <si>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</si>
  <si>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</si>
  <si>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</si>
  <si>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</si>
  <si>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</si>
  <si>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</si>
  <si>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</si>
  <si>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</si>
  <si>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</si>
  <si>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</si>
  <si>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</si>
  <si>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</si>
  <si>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</si>
  <si>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</si>
  <si>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</si>
  <si>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</si>
  <si>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</si>
  <si>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</si>
  <si>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</si>
  <si>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</si>
  <si>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</si>
  <si>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</si>
  <si>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</si>
  <si>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</si>
  <si>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</si>
  <si>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</si>
  <si>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</si>
  <si>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</si>
  <si>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</si>
  <si>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</si>
  <si>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</si>
  <si>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</si>
  <si>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</si>
  <si>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</si>
  <si>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</si>
  <si>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</si>
  <si>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</si>
  <si>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</si>
  <si>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</si>
  <si>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</si>
  <si>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</si>
  <si>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</si>
  <si>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</si>
  <si>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</si>
  <si>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</si>
  <si>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</si>
  <si>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</si>
  <si>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</si>
  <si>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</si>
  <si>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</si>
  <si>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</si>
  <si>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</si>
  <si>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</si>
  <si>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</si>
  <si>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</si>
  <si>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</si>
  <si>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</si>
  <si>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</si>
  <si>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</si>
  <si>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</si>
  <si>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</si>
  <si>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</si>
  <si>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</si>
  <si>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</si>
  <si>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</si>
  <si>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</si>
  <si>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</si>
  <si>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</si>
  <si>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</si>
  <si>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</si>
  <si>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</si>
  <si>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</si>
  <si>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</si>
  <si>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</si>
  <si>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</si>
  <si>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</si>
  <si>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</si>
  <si>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</si>
  <si>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</si>
  <si>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</si>
  <si>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</si>
  <si>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</si>
  <si>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</si>
  <si>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</si>
  <si>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</si>
  <si>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</si>
  <si>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</si>
  <si>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</si>
  <si>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</si>
  <si>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</si>
  <si>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</si>
  <si>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</si>
  <si>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</si>
  <si>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</si>
  <si>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</si>
  <si>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</si>
  <si>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</si>
  <si>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</si>
  <si>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</si>
  <si>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</si>
  <si>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</si>
  <si>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</si>
  <si>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</si>
  <si>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</si>
  <si>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</si>
  <si>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</si>
  <si>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</si>
  <si>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</si>
  <si>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</si>
  <si>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</si>
  <si>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</si>
  <si>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</si>
  <si>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</si>
  <si>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</si>
  <si>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</si>
  <si>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</si>
  <si>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</si>
  <si>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</si>
  <si>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</si>
  <si>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</si>
  <si>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</si>
  <si>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</si>
  <si>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</si>
  <si>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</si>
  <si>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</si>
  <si>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</si>
  <si>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</si>
  <si>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</si>
  <si>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</si>
  <si>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</si>
  <si>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</si>
  <si>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</si>
  <si>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</si>
  <si>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</si>
  <si>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</si>
  <si>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</si>
  <si>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</si>
  <si>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</si>
  <si>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</si>
  <si>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</si>
  <si>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</si>
  <si>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</si>
  <si>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</si>
  <si>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</si>
  <si>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</si>
  <si>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</si>
  <si>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</si>
  <si>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</si>
  <si>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</si>
  <si>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</si>
  <si>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</si>
  <si>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</si>
  <si>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</si>
  <si>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</si>
  <si>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</si>
  <si>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</si>
  <si>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</si>
  <si>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</si>
  <si>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</si>
  <si>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</si>
  <si>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</si>
  <si>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</si>
  <si>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</si>
  <si>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</si>
  <si>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</si>
  <si>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</si>
  <si>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</si>
  <si>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</si>
  <si>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</si>
  <si>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</si>
  <si>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</si>
  <si>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</si>
  <si>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</si>
  <si>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</si>
  <si>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</si>
  <si>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</si>
  <si>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</si>
  <si>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</si>
  <si>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</si>
  <si>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</si>
  <si>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</si>
  <si>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</si>
  <si>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</si>
  <si>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</si>
  <si>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</si>
  <si>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</si>
  <si>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</si>
  <si>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</si>
  <si>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</si>
  <si>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</si>
  <si>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</si>
  <si>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</si>
  <si>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</si>
  <si>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</si>
  <si>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</si>
  <si>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</si>
  <si>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</si>
  <si>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</si>
  <si>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</si>
  <si>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</si>
  <si>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</si>
  <si>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</si>
  <si>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</si>
  <si>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</si>
  <si>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</si>
  <si>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</si>
  <si>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</si>
  <si>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</si>
  <si>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</si>
  <si>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</si>
  <si>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</si>
  <si>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</si>
  <si>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</si>
  <si>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</si>
  <si>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</si>
  <si>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</si>
  <si>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</si>
  <si>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</si>
  <si>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</si>
  <si>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</si>
  <si>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</si>
  <si>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</si>
  <si>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</si>
  <si>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</si>
  <si>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</si>
  <si>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</si>
  <si>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</si>
  <si>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</si>
  <si>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</si>
  <si>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</si>
  <si>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</si>
  <si>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</si>
  <si>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</si>
  <si>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</si>
  <si>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</si>
  <si>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</si>
  <si>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</si>
  <si>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</si>
  <si>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</si>
  <si>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</si>
  <si>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</si>
  <si>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</si>
  <si>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</si>
  <si>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</si>
  <si>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</si>
  <si>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</si>
  <si>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</si>
  <si>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</si>
  <si>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</si>
  <si>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</si>
  <si>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</si>
  <si>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</si>
  <si>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</si>
  <si>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</si>
  <si>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</si>
  <si>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</si>
  <si>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</si>
  <si>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</si>
  <si>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</si>
  <si>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</si>
  <si>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</si>
  <si>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</si>
  <si>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</si>
  <si>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</si>
  <si>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</si>
  <si>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</si>
  <si>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</si>
  <si>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</si>
  <si>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</si>
  <si>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</si>
  <si>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</si>
  <si>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</si>
  <si>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</si>
  <si>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</si>
  <si>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</si>
  <si>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</si>
  <si>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</si>
  <si>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</si>
  <si>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</si>
  <si>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</si>
  <si>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</si>
  <si>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</si>
  <si>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</si>
  <si>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</si>
  <si>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</si>
  <si>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</si>
  <si>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</si>
  <si>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</si>
  <si>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</si>
  <si>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</si>
  <si>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</si>
  <si>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</si>
  <si>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</si>
  <si>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</si>
  <si>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</si>
  <si>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</si>
  <si>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</si>
  <si>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</si>
  <si>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</si>
  <si>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</si>
  <si>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</si>
  <si>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</si>
  <si>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</si>
  <si>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</si>
  <si>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</si>
  <si>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</si>
  <si>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</si>
  <si>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</si>
  <si>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</si>
  <si>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</si>
  <si>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</si>
  <si>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</si>
  <si>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</si>
  <si>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</si>
  <si>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</si>
  <si>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</si>
  <si>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</si>
  <si>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</si>
  <si>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</si>
  <si>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</si>
  <si>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</si>
  <si>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</si>
  <si>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</si>
  <si>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</si>
  <si>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</si>
  <si>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</si>
  <si>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</si>
  <si>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</si>
  <si>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</si>
  <si>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</si>
  <si>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</si>
  <si>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</si>
  <si>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</si>
  <si>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</si>
  <si>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</si>
  <si>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</si>
  <si>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</si>
  <si>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</si>
  <si>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</si>
  <si>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</si>
  <si>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</si>
  <si>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</si>
  <si>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</si>
  <si>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</si>
  <si>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</si>
  <si>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</si>
  <si>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</si>
  <si>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</si>
  <si>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</si>
  <si>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</si>
  <si>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</si>
  <si>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</si>
  <si>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</si>
  <si>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</si>
  <si>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</si>
  <si>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</si>
  <si>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</si>
  <si>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</si>
  <si>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</si>
  <si>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</si>
  <si>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</si>
  <si>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</si>
  <si>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</si>
  <si>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</si>
  <si>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</si>
  <si>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</si>
  <si>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</si>
  <si>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</si>
  <si>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</si>
  <si>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</si>
  <si>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</si>
  <si>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</si>
  <si>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</si>
  <si>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</si>
  <si>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</si>
  <si>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</si>
  <si>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</si>
  <si>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</si>
  <si>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</si>
  <si>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</si>
  <si>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</si>
  <si>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</si>
  <si>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</si>
  <si>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</si>
  <si>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</si>
  <si>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</si>
  <si>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</si>
  <si>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</si>
  <si>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</si>
  <si>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</si>
  <si>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</si>
  <si>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</si>
  <si>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</si>
  <si>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</si>
  <si>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</si>
  <si>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</si>
  <si>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</si>
  <si>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</si>
  <si>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</si>
  <si>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</si>
  <si>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</si>
  <si>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</si>
  <si>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</si>
  <si>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</si>
  <si>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</si>
  <si>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</si>
  <si>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</si>
  <si>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</si>
  <si>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</si>
  <si>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</si>
  <si>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</si>
  <si>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</si>
  <si>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</si>
  <si>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</si>
  <si>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</si>
  <si>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</si>
  <si>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</si>
  <si>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</si>
  <si>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</si>
  <si>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</si>
  <si>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</si>
  <si>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</si>
  <si>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</si>
  <si>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MARC VENTURA</t>
  </si>
  <si>
    <t>DJAMEL SOUDANI</t>
  </si>
  <si>
    <t>BASTIEN BONNETON</t>
  </si>
  <si>
    <t>CYRIL LONGELIN</t>
  </si>
  <si>
    <t>MAGALI CARTIER</t>
  </si>
  <si>
    <t>AXEL QUENEY</t>
  </si>
  <si>
    <t>VERY GOOD PREPARATION AND COMMUNICATION</t>
  </si>
  <si>
    <t>1:37</t>
  </si>
  <si>
    <t>FIXED QUICKLY</t>
  </si>
  <si>
    <t>9:29</t>
  </si>
  <si>
    <t>GRETA JOB. VERY FEW CORRECTIONS (AND FAST) AND GOOD AT NOTICING POSSIBLE DISCREPANCES/MISTAKES.PAY ATTENTION TO SUBS, TRY TO NOT RESUME THE GAME IF YOU'RE NOT SURE ABOUT 10 PLAYERS ON COURT. GOOD GAME THO, CONGRATS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</si>
</sst>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22" sqref="L2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09_081_PRS_MUN_E2025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81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45967.864583333336</v>
      </c>
      <c r="C3" s="157"/>
      <c r="D3" s="39">
        <v>703</v>
      </c>
      <c r="E3" s="29"/>
      <c r="F3" s="26">
        <f>SUBTOTAL(3,I17:I106)</f>
        <v>2</v>
      </c>
      <c r="G3" s="27">
        <f>IF(OR(D3="",D3=0),"",F3/D3)</f>
        <v>2.8449502133712661E-3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2.8449502133712661E-3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0.28449502133712662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2.2844950213371265</v>
      </c>
      <c r="N7" s="58"/>
      <c r="O7" s="2"/>
      <c r="P7" s="2"/>
      <c r="Q7" s="86">
        <f>SUM(R5,S5,AC16)</f>
        <v>2.2844950213371265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2.2844950213371265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756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81</v>
      </c>
      <c r="D17" s="32" t="s">
        <v>757</v>
      </c>
      <c r="E17" s="33">
        <v>1</v>
      </c>
      <c r="F17" s="36">
        <v>15</v>
      </c>
      <c r="G17" s="36">
        <v>19</v>
      </c>
      <c r="H17" s="38" t="str">
        <f>IF(I17="","",$I$14)</f>
        <v>SCOUTING</v>
      </c>
      <c r="I17" s="34">
        <v>147</v>
      </c>
      <c r="J17" s="13" t="s">
        <v>4</v>
      </c>
      <c r="K17" s="13" t="s">
        <v>62</v>
      </c>
      <c r="L17" s="13" t="s">
        <v>47</v>
      </c>
      <c r="M17" s="13" t="s">
        <v>78</v>
      </c>
      <c r="N17" s="35" t="s">
        <v>758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81</v>
      </c>
      <c r="D18" s="32" t="s">
        <v>759</v>
      </c>
      <c r="E18" s="33">
        <v>3</v>
      </c>
      <c r="F18" s="36">
        <v>42</v>
      </c>
      <c r="G18" s="36">
        <v>53</v>
      </c>
      <c r="H18" s="38" t="str">
        <f t="shared" ref="H18:H81" si="8">IF(I18="","",$I$14)</f>
        <v>SCOUTING</v>
      </c>
      <c r="I18" s="34">
        <v>376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REPORT_E2025081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"E2025081"</v>
      </c>
      <c r="F3" s="45" t="str">
        <f t="shared" ref="F3:F16" si="0">""""&amp;B3&amp;"""" &amp; " : " &amp;C3&amp;","</f>
        <v>"name" : "E2025081",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"E081"</v>
      </c>
      <c r="F4" s="45" t="str">
        <f t="shared" si="0"/>
        <v>"cod" : "E081",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081</v>
      </c>
      <c r="F6" s="45" t="str">
        <f t="shared" si="0"/>
        <v>"number" : 081,</v>
      </c>
    </row>
    <row r="7" spans="2:6" x14ac:dyDescent="0.2">
      <c r="B7" s="43" t="s">
        <v>116</v>
      </c>
      <c r="C7" s="43" t="str">
        <f ca="1">""""&amp;TEXT('SCOUT &amp; LOGISTICS'!B3,"dd/mm/aaaa")&amp;""""</f>
        <v>"06/11/2025"</v>
      </c>
      <c r="F7" s="45" t="str">
        <f t="shared" ca="1" si="0"/>
        <v>"date" : "06/11/2025",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"BASTIEN BONNETON"</v>
      </c>
      <c r="F11" s="45" t="str">
        <f t="shared" si="0"/>
        <v>"Caller_1" : "BASTIEN BONNETON",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"CYRIL LONGELIN"</v>
      </c>
      <c r="F12" s="45" t="str">
        <f t="shared" si="0"/>
        <v>"Caller_2" : "CYRIL LONGELIN",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"MAGALI CARTIER"</v>
      </c>
      <c r="F13" s="45" t="str">
        <f t="shared" si="0"/>
        <v>"Timerkeeper" : "MAGALI CARTIER",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"AXEL QUENEY"</v>
      </c>
      <c r="F14" s="45" t="str">
        <f t="shared" si="0"/>
        <v>"Shotclock" : "AXEL QUENEY",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703</v>
      </c>
      <c r="F25" s="45" t="str">
        <f t="shared" ref="F25:F48" si="1">""""&amp;C25&amp;"""" &amp; " : " &amp;D25&amp;","</f>
        <v>"total_actions" : 703,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"GRETA JOB. VERY FEW CORRECTIONS (AND FAST) AND GOOD AT NOTICING POSSIBLE DISCREPANCES/MISTAKES.PAY ATTENTION TO SUBS, TRY TO NOT RESUME THE GAME IF YOU'RE NOT SURE ABOUT 10 PLAYERS ON COURT. GOOD GAME THO, CONGRATS"</v>
      </c>
      <c r="F51" s="45" t="str">
        <f>""""&amp;B51&amp;"""" &amp; " : " &amp;C51&amp;","</f>
        <v>"comments" : "GRETA JOB. VERY FEW CORRECTIONS (AND FAST) AND GOOD AT NOTICING POSSIBLE DISCREPANCES/MISTAKES.PAY ATTENTION TO SUBS, TRY TO NOT RESUME THE GAME IF YOU'RE NOT SURE ABOUT 10 PLAYERS ON COURT. GOOD GAME THO, CONGRATS",</v>
      </c>
    </row>
    <row r="52" spans="2:6" x14ac:dyDescent="0.2">
      <c r="B52" s="43" t="s">
        <v>153</v>
      </c>
      <c r="C52" s="43" t="str">
        <f>TEXT('SCOUT &amp; LOGISTICS'!F1,"0,0")</f>
        <v>09_081_PRS_MUN_E2025</v>
      </c>
      <c r="F52" s="45" t="str">
        <f>""""&amp;B52&amp;"""" &amp; " : " &amp;C52</f>
        <v>"result" : 09_081_PRS_MUN_E2025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E081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06/11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BASTIEN BONNETON</v>
      </c>
      <c r="H8" s="206"/>
      <c r="I8" s="206"/>
      <c r="J8" s="206"/>
      <c r="K8" s="206"/>
      <c r="L8" s="206" t="str">
        <f>IF('SCOUT &amp; LOGISTICS'!D8="","",'SCOUT &amp; LOGISTICS'!D8)</f>
        <v>CYRIL LONGELIN</v>
      </c>
      <c r="M8" s="206"/>
      <c r="N8" s="206"/>
      <c r="O8" s="206"/>
      <c r="P8" s="206"/>
      <c r="Q8" s="206" t="str">
        <f>IF('SCOUT &amp; LOGISTICS'!D9="","",'SCOUT &amp; LOGISTICS'!D9)</f>
        <v>MAGALI CARTIER</v>
      </c>
      <c r="R8" s="206"/>
      <c r="S8" s="206"/>
      <c r="T8" s="206"/>
      <c r="U8" s="206"/>
      <c r="V8" s="206" t="str">
        <f>IF('SCOUT &amp; LOGISTICS'!D10="","",'SCOUT &amp; LOGISTICS'!D10)</f>
        <v>AXEL QUENEY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703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2.8449502133712661E-3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GRETA JOB. VERY FEW CORRECTIONS (AND FAST) AND GOOD AT NOTICING POSSIBLE DISCREPANCES/MISTAKES.PAY ATTENTION TO SUBS, TRY TO NOT RESUME THE GAME IF YOU'RE NOT SURE ABOUT 10 PLAYERS ON COURT. GOOD GAME THO, CONGRATS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2.2844950213371265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9" ma:contentTypeDescription="Crear nuevo documento." ma:contentTypeScope="" ma:versionID="82b4ecd05832a2e10ecd5df92eae08f0">
  <xsd:schema xmlns:xsd="http://www.w3.org/2001/XMLSchema" xmlns:xs="http://www.w3.org/2001/XMLSchema" xmlns:p="http://schemas.microsoft.com/office/2006/metadata/properties" xmlns:ns2="1694b618-8e81-416b-aa01-0d9b54a17456" targetNamespace="http://schemas.microsoft.com/office/2006/metadata/properties" ma:root="true" ma:fieldsID="94ee3831cee9b2fc13c63de3fa9ae141" ns2:_="">
    <xsd:import namespace="1694b618-8e81-416b-aa01-0d9b54a174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DCCB515-A620-4295-8D6D-6C9ABA342D28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2025-10-09T17:11:09Z</cp:lastPrinted>
  <dcterms:created xsi:type="dcterms:W3CDTF">2023-09-19T19:50:35Z</dcterms:created>
  <dcterms:modified xsi:type="dcterms:W3CDTF">2025-11-06T22:13:57Z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