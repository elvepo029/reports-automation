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BAA59C74-ED33-4992-89B1-13D77C765966}" xr6:coauthVersionLast="47" xr6:coauthVersionMax="47" xr10:uidLastSave="{9719BE45-F200-4AAA-A0BD-E2B5AFA657D8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<sst xmlns="http://schemas.openxmlformats.org/spreadsheetml/2006/main" count="3250" uniqueCount="760">
  <si>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</si>
  <si>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</si>
  <si>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</si>
  <si>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</si>
  <si>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</si>
  <si>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</si>
  <si>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</si>
  <si>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</si>
  <si>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</si>
  <si>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</si>
  <si>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</si>
  <si>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</si>
  <si>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</si>
  <si>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</si>
  <si>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</si>
  <si>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</si>
  <si>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</si>
  <si>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</si>
  <si>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</si>
  <si>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</si>
  <si>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</si>
  <si>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</si>
  <si>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</si>
  <si>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</si>
  <si>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</si>
  <si>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</si>
  <si>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</si>
  <si>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</si>
  <si>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</si>
  <si>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</si>
  <si>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</si>
  <si>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</si>
  <si>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</si>
  <si>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</si>
  <si>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</si>
  <si>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</si>
  <si>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</si>
  <si>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</si>
  <si>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</si>
  <si>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</si>
  <si>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</si>
  <si>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</si>
  <si>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</si>
  <si>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</si>
  <si>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</si>
  <si>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</si>
  <si>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</si>
  <si>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</si>
  <si>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</si>
  <si>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</si>
  <si>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</si>
  <si>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</si>
  <si>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</si>
  <si>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</si>
  <si>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</si>
  <si>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</si>
  <si>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</si>
  <si>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</si>
  <si>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</si>
  <si>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</si>
  <si>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</si>
  <si>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</si>
  <si>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</si>
  <si>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</si>
  <si>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</si>
  <si>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</si>
  <si>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</si>
  <si>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</si>
  <si>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</si>
  <si>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</si>
  <si>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</si>
  <si>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</si>
  <si>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</si>
  <si>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</si>
  <si>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</si>
  <si>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</si>
  <si>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</si>
  <si>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</si>
  <si>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</si>
  <si>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</si>
  <si>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</si>
  <si>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</si>
  <si>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</si>
  <si>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</si>
  <si>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</si>
  <si>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</si>
  <si>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</si>
  <si>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</si>
  <si>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</si>
  <si>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</si>
  <si>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</si>
  <si>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</si>
  <si>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</si>
  <si>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</si>
  <si>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</si>
  <si>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</si>
  <si>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</si>
  <si>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</si>
  <si>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</si>
  <si>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</si>
  <si>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</si>
  <si>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</si>
  <si>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</si>
  <si>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</si>
  <si>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</si>
  <si>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</si>
  <si>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</si>
  <si>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</si>
  <si>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</si>
  <si>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</si>
  <si>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</si>
  <si>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</si>
  <si>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</si>
  <si>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</si>
  <si>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</si>
  <si>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</si>
  <si>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</si>
  <si>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</si>
  <si>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</si>
  <si>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</si>
  <si>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</si>
  <si>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</si>
  <si>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</si>
  <si>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</si>
  <si>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</si>
  <si>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</si>
  <si>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</si>
  <si>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</si>
  <si>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</si>
  <si>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</si>
  <si>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</si>
  <si>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</si>
  <si>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</si>
  <si>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</si>
  <si>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</si>
  <si>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</si>
  <si>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</si>
  <si>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</si>
  <si>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</si>
  <si>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</si>
  <si>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</si>
  <si>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</si>
  <si>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</si>
  <si>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</si>
  <si>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</si>
  <si>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</si>
  <si>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</si>
  <si>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</si>
  <si>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</si>
  <si>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</si>
  <si>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</si>
  <si>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</si>
  <si>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</si>
  <si>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</si>
  <si>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</si>
  <si>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</si>
  <si>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</si>
  <si>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</si>
  <si>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</si>
  <si>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</si>
  <si>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</si>
  <si>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</si>
  <si>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</si>
  <si>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</si>
  <si>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</si>
  <si>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</si>
  <si>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</si>
  <si>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</si>
  <si>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</si>
  <si>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</si>
  <si>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</si>
  <si>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</si>
  <si>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</si>
  <si>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</si>
  <si>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</si>
  <si>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</si>
  <si>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</si>
  <si>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</si>
  <si>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</si>
  <si>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</si>
  <si>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</si>
  <si>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</si>
  <si>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</si>
  <si>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</si>
  <si>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</si>
  <si>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</si>
  <si>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</si>
  <si>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</si>
  <si>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</si>
  <si>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</si>
  <si>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</si>
  <si>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</si>
  <si>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</si>
  <si>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</si>
  <si>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</si>
  <si>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</si>
  <si>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</si>
  <si>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</si>
  <si>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</si>
  <si>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</si>
  <si>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</si>
  <si>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</si>
  <si>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</si>
  <si>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</si>
  <si>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</si>
  <si>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</si>
  <si>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</si>
  <si>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</si>
  <si>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</si>
  <si>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</si>
  <si>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</si>
  <si>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</si>
  <si>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</si>
  <si>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</si>
  <si>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</si>
  <si>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</si>
  <si>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</si>
  <si>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</si>
  <si>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</si>
  <si>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</si>
  <si>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</si>
  <si>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</si>
  <si>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</si>
  <si>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</si>
  <si>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</si>
  <si>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</si>
  <si>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</si>
  <si>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</si>
  <si>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</si>
  <si>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</si>
  <si>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</si>
  <si>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</si>
  <si>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</si>
  <si>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</si>
  <si>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</si>
  <si>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</si>
  <si>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</si>
  <si>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</si>
  <si>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</si>
  <si>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</si>
  <si>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</si>
  <si>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</si>
  <si>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</si>
  <si>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</si>
  <si>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</si>
  <si>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</si>
  <si>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</si>
  <si>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</si>
  <si>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</si>
  <si>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</si>
  <si>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</si>
  <si>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</si>
  <si>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</si>
  <si>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</si>
  <si>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</si>
  <si>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</si>
  <si>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</si>
  <si>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</si>
  <si>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</si>
  <si>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</si>
  <si>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</si>
  <si>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</si>
  <si>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</si>
  <si>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</si>
  <si>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</si>
  <si>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</si>
  <si>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</si>
  <si>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</si>
  <si>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</si>
  <si>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</si>
  <si>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</si>
  <si>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</si>
  <si>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</si>
  <si>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</si>
  <si>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</si>
  <si>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</si>
  <si>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</si>
  <si>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</si>
  <si>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</si>
  <si>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</si>
  <si>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</si>
  <si>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</si>
  <si>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</si>
  <si>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</si>
  <si>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</si>
  <si>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</si>
  <si>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</si>
  <si>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</si>
  <si>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</si>
  <si>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</si>
  <si>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</si>
  <si>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</si>
  <si>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</si>
  <si>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</si>
  <si>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</si>
  <si>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</si>
  <si>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</si>
  <si>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</si>
  <si>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</si>
  <si>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</si>
  <si>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</si>
  <si>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</si>
  <si>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</si>
  <si>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</si>
  <si>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</si>
  <si>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</si>
  <si>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</si>
  <si>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</si>
  <si>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</si>
  <si>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</si>
  <si>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</si>
  <si>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</si>
  <si>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</si>
  <si>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</si>
  <si>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</si>
  <si>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</si>
  <si>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</si>
  <si>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</si>
  <si>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</si>
  <si>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</si>
  <si>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</si>
  <si>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</si>
  <si>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</si>
  <si>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</si>
  <si>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</si>
  <si>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</si>
  <si>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</si>
  <si>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</si>
  <si>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</si>
  <si>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</si>
  <si>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</si>
  <si>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</si>
  <si>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</si>
  <si>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</si>
  <si>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</si>
  <si>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</si>
  <si>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</si>
  <si>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</si>
  <si>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</si>
  <si>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</si>
  <si>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</si>
  <si>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</si>
  <si>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</si>
  <si>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</si>
  <si>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</si>
  <si>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</si>
  <si>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</si>
  <si>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</si>
  <si>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</si>
  <si>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</si>
  <si>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</si>
  <si>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</si>
  <si>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</si>
  <si>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</si>
  <si>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</si>
  <si>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</si>
  <si>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</si>
  <si>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</si>
  <si>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</si>
  <si>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</si>
  <si>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</si>
  <si>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</si>
  <si>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</si>
  <si>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</si>
  <si>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</si>
  <si>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</si>
  <si>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</si>
  <si>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</si>
  <si>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</si>
  <si>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</si>
  <si>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</si>
  <si>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</si>
  <si>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</si>
  <si>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</si>
  <si>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</si>
  <si>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</si>
  <si>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</si>
  <si>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</si>
  <si>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</si>
  <si>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</si>
  <si>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</si>
  <si>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</si>
  <si>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</si>
  <si>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</si>
  <si>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</si>
  <si>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</si>
  <si>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</si>
  <si>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</si>
  <si>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</si>
  <si>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</si>
  <si>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</si>
  <si>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</si>
  <si>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</si>
  <si>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</si>
  <si>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</si>
  <si>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</si>
  <si>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</si>
  <si>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</si>
  <si>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</si>
  <si>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</si>
  <si>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</si>
  <si>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</si>
  <si>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</si>
  <si>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</si>
  <si>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</si>
  <si>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</si>
  <si>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</si>
  <si>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</si>
  <si>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</si>
  <si>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</si>
  <si>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</si>
  <si>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</si>
  <si>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</si>
  <si>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</si>
  <si>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</si>
  <si>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</si>
  <si>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</si>
  <si>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</si>
  <si>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</si>
  <si>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</si>
  <si>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</si>
  <si>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</si>
  <si>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</si>
  <si>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</si>
  <si>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</si>
  <si>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</si>
  <si>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</si>
  <si>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</si>
  <si>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</si>
  <si>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</si>
  <si>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</si>
  <si>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</si>
  <si>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</si>
  <si>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</si>
  <si>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</si>
  <si>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</si>
  <si>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</si>
  <si>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</si>
  <si>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</si>
  <si>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</si>
  <si>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</si>
  <si>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</si>
  <si>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</si>
  <si>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</si>
  <si>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</si>
  <si>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</si>
  <si>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</si>
  <si>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</si>
  <si>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</si>
  <si>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</si>
  <si>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</si>
  <si>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</si>
  <si>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</si>
  <si>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</si>
  <si>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</si>
  <si>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</si>
  <si>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</si>
  <si>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</si>
  <si>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</si>
  <si>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</si>
  <si>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</si>
  <si>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</si>
  <si>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</si>
  <si>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</si>
  <si>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</si>
  <si>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</si>
  <si>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</si>
  <si>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</si>
  <si>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</si>
  <si>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</si>
  <si>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</si>
  <si>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</si>
  <si>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</si>
  <si>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</si>
  <si>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</si>
  <si>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</si>
  <si>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</si>
  <si>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</si>
  <si>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</si>
  <si>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</si>
  <si>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</si>
  <si>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</si>
  <si>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</si>
  <si>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</si>
  <si>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</si>
  <si>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</si>
  <si>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</si>
  <si>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</si>
  <si>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</si>
  <si>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</si>
  <si>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</si>
  <si>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</si>
  <si>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</si>
  <si>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</si>
  <si>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</si>
  <si>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</si>
  <si>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</si>
  <si>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</si>
  <si>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</si>
  <si>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</si>
  <si>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</si>
  <si>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</si>
  <si>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</si>
  <si>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</si>
  <si>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</si>
  <si>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</si>
  <si>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</si>
  <si>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</si>
  <si>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</si>
  <si>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</si>
  <si>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</si>
  <si>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</si>
  <si>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</si>
  <si>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</si>
  <si>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</si>
  <si>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</si>
  <si>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</si>
  <si>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</si>
  <si>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</si>
  <si>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</si>
  <si>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</si>
  <si>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</si>
  <si>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</si>
  <si>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</si>
  <si>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</si>
  <si>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</si>
  <si>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</si>
  <si>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</si>
  <si>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</si>
  <si>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</si>
  <si>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</si>
  <si>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</si>
  <si>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</si>
  <si>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</si>
  <si>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</si>
  <si>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</si>
  <si>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</si>
  <si>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</si>
  <si>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</si>
  <si>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</si>
  <si>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</si>
  <si>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</si>
  <si>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</si>
  <si>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</si>
  <si>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</si>
  <si>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</si>
  <si>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</si>
  <si>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</si>
  <si>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</si>
  <si>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</si>
  <si>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</si>
  <si>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</si>
  <si>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</si>
  <si>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</si>
  <si>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</si>
  <si>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</si>
  <si>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</si>
  <si>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</si>
  <si>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</si>
  <si>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</si>
  <si>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</si>
  <si>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</si>
  <si>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</si>
  <si>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</si>
  <si>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</si>
  <si>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</si>
  <si>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</si>
  <si>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</si>
  <si>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</si>
  <si>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</si>
  <si>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</si>
  <si>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</si>
  <si>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</si>
  <si>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</si>
  <si>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</si>
  <si>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</si>
  <si>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</si>
  <si>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</si>
  <si>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</si>
  <si>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</si>
  <si>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</si>
  <si>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</si>
  <si>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</si>
  <si>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</si>
  <si>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</si>
  <si>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</si>
  <si>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</si>
  <si>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</si>
  <si>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</si>
  <si>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</si>
  <si>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</si>
  <si>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</si>
  <si>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</si>
  <si>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</si>
  <si>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</si>
  <si>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</si>
  <si>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</si>
  <si>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</si>
  <si>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</si>
  <si>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</si>
  <si>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</si>
  <si>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</si>
  <si>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</si>
  <si>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</si>
  <si>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</si>
  <si>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</si>
  <si>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</si>
  <si>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</si>
  <si>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</si>
  <si>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</si>
  <si>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</si>
  <si>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</si>
  <si>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</si>
  <si>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</si>
  <si>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</si>
  <si>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</si>
  <si>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</si>
  <si>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</si>
  <si>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</si>
  <si>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</si>
  <si>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</si>
  <si>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</si>
  <si>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</si>
  <si>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</si>
  <si>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</si>
  <si>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</si>
  <si>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</si>
  <si>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</si>
  <si>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</si>
  <si>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</si>
  <si>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</si>
  <si>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</si>
  <si>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</si>
  <si>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</si>
  <si>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</si>
  <si>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</si>
  <si>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</si>
  <si>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</si>
  <si>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</si>
  <si>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</si>
  <si>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</si>
  <si>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</si>
  <si>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</si>
  <si>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</si>
  <si>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</si>
  <si>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</si>
  <si>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</si>
  <si>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</si>
  <si>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</si>
  <si>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</si>
  <si>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</si>
  <si>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</si>
  <si>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</si>
  <si>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</si>
  <si>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</si>
  <si>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</si>
  <si>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</si>
  <si>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</si>
  <si>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</si>
  <si>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</si>
  <si>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</si>
  <si>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</si>
  <si>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</si>
  <si>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</si>
  <si>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</si>
  <si>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</si>
  <si>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</si>
  <si>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</si>
  <si>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</si>
  <si>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</si>
  <si>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</si>
  <si>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</si>
  <si>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</si>
  <si>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</si>
  <si>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</si>
  <si>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</si>
  <si>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</si>
  <si>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</si>
  <si>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</si>
  <si>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</si>
  <si>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</si>
  <si>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</si>
  <si>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</si>
  <si>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</si>
  <si>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</si>
  <si>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</si>
  <si>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</si>
  <si>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</si>
  <si>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</si>
  <si>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</si>
  <si>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</si>
  <si>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</si>
  <si>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</si>
  <si>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</si>
  <si>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</si>
  <si>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</si>
  <si>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</si>
  <si>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</si>
  <si>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</si>
  <si>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</si>
  <si>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</si>
  <si>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</si>
  <si>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</si>
  <si>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</si>
  <si>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</si>
  <si>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</si>
  <si>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</si>
  <si>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</si>
  <si>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</si>
  <si>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</si>
  <si>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</si>
  <si>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</si>
  <si>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</si>
  <si>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</si>
  <si>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</si>
  <si>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</si>
  <si>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</si>
  <si>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</si>
  <si>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</si>
  <si>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</si>
  <si>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</si>
  <si>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</si>
  <si>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</si>
  <si>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</si>
  <si>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</si>
  <si>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</si>
  <si>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</si>
  <si>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</si>
  <si>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</si>
  <si>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</si>
  <si>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</si>
  <si>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</si>
  <si>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</si>
  <si>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</si>
  <si>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</si>
  <si>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</si>
  <si>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</si>
  <si>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</si>
  <si>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</si>
  <si>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</si>
  <si>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</si>
  <si>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</si>
  <si>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</si>
  <si>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</si>
  <si>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</si>
  <si>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</si>
  <si>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</si>
  <si>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</si>
  <si>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</si>
  <si>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</si>
  <si>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</si>
  <si>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HECTOR GUILLEN</t>
  </si>
  <si>
    <t>Very good job! Keep it up!</t>
  </si>
  <si>
    <t>ANDONI COLMENERO</t>
  </si>
  <si>
    <t>RAQUEL GARCIA-SAMPEDRO</t>
  </si>
  <si>
    <t>LUIS MOULIAA</t>
  </si>
  <si>
    <t>PATRICIA ORTIZ DE ZARATE</t>
  </si>
  <si>
    <t>SERGIO CASTRO</t>
  </si>
  <si>
    <t>IKER BASCONES</t>
  </si>
  <si>
    <t>5:09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</si>
</sst>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09_082_BAS_VIR_E2025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82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45967.854166666664</v>
      </c>
      <c r="C3" s="178"/>
      <c r="D3" s="39">
        <v>603</v>
      </c>
      <c r="E3" s="29"/>
      <c r="F3" s="26">
        <f>SUBTOTAL(3,I17:I106)</f>
        <v>1</v>
      </c>
      <c r="G3" s="27">
        <f>IF(OR(D3="",D3=0),"",F3/D3)</f>
        <v>1.658374792703151E-3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85" t="s">
        <v>752</v>
      </c>
      <c r="N4" s="186"/>
      <c r="O4" s="2"/>
      <c r="P4" s="2"/>
      <c r="Q4" s="84" t="s">
        <v>175</v>
      </c>
      <c r="R4" s="94">
        <f>(IF(G3="",0,G3))</f>
        <v>1.658374792703151E-3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0.16583747927031509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753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0.66583747927031511</v>
      </c>
      <c r="N7" s="58"/>
      <c r="O7" s="2"/>
      <c r="P7" s="2"/>
      <c r="Q7" s="86">
        <f>SUM(R5,S5,AC16)</f>
        <v>0.66583747927031511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755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0.66583747927031511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756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757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758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82</v>
      </c>
      <c r="D17" s="32" t="s">
        <v>759</v>
      </c>
      <c r="E17" s="33">
        <v>4</v>
      </c>
      <c r="F17" s="36">
        <v>78</v>
      </c>
      <c r="G17" s="36">
        <v>70</v>
      </c>
      <c r="H17" s="38" t="str">
        <f>IF(I17="","",$I$14)</f>
        <v>SCOUTING</v>
      </c>
      <c r="I17" s="34">
        <v>529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REPORT_E2025082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"E2025082"</v>
      </c>
      <c r="F3" s="45" t="str">
        <f t="shared" ref="F3:F16" si="0">""""&amp;B3&amp;"""" &amp; " : " &amp;C3&amp;","</f>
        <v>"name" : "E2025082",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"E082"</v>
      </c>
      <c r="F4" s="45" t="str">
        <f t="shared" si="0"/>
        <v>"cod" : "E082",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082</v>
      </c>
      <c r="F6" s="45" t="str">
        <f t="shared" si="0"/>
        <v>"number" : 082,</v>
      </c>
    </row>
    <row r="7" spans="2:6" x14ac:dyDescent="0.25">
      <c r="B7" s="43" t="s">
        <v>116</v>
      </c>
      <c r="C7" s="43" t="str">
        <f ca="1">""""&amp;TEXT('SCOUT &amp; LOGISTICS'!B3,"dd/mm/aaaa")&amp;""""</f>
        <v>"06/11/Thursday"</v>
      </c>
      <c r="F7" s="45" t="str">
        <f t="shared" ca="1" si="0"/>
        <v>"date" : "06/11/Thursday",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"PATRICIA ORTIZ DE ZARATE"</v>
      </c>
      <c r="F13" s="45" t="str">
        <f t="shared" si="0"/>
        <v>"Timerkeeper" : "PATRICIA ORTIZ DE ZARATE",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"SERGIO CASTRO"</v>
      </c>
      <c r="F14" s="45" t="str">
        <f t="shared" si="0"/>
        <v>"Shotclock" : "SERGIO CASTRO",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603</v>
      </c>
      <c r="F25" s="45" t="str">
        <f t="shared" ref="F25:F48" si="1">""""&amp;C25&amp;"""" &amp; " : " &amp;D25&amp;","</f>
        <v>"total_actions" : 603,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09_082_BAS_VIR_E2025</v>
      </c>
      <c r="F52" s="45" t="str">
        <f>""""&amp;B52&amp;"""" &amp; " : " &amp;C52</f>
        <v>"result" : 09_082_BAS_VIR_E2025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E082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PATRICIA ORTIZ DE ZARATE</v>
      </c>
      <c r="R8" s="201"/>
      <c r="S8" s="201"/>
      <c r="T8" s="201"/>
      <c r="U8" s="201"/>
      <c r="V8" s="201" t="str">
        <f>IF('SCOUT &amp; LOGISTICS'!D10="","",'SCOUT &amp; LOGISTICS'!D10)</f>
        <v>SERGIO CASTRO</v>
      </c>
      <c r="W8" s="201"/>
      <c r="X8" s="201"/>
      <c r="Y8" s="201"/>
      <c r="Z8" s="201"/>
      <c r="AA8" s="201" t="str">
        <f>IF('SCOUT &amp; LOGISTICS'!D11="","",'SCOUT &amp; LOGISTICS'!D11)</f>
        <v>IKER BASCONES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603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1.658374792703151E-3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0.66583747927031511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835DCA7-A481-4708-BFD4-F9DFF3E93B1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2025-11-07T21:00:37Z</cp:lastPrinted>
  <dcterms:created xsi:type="dcterms:W3CDTF">2023-09-19T19:50:35Z</dcterms:created>
  <dcterms:modified xsi:type="dcterms:W3CDTF">2025-11-07T21:00:41Z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