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6" documentId="8_{A30C83C3-43E8-4006-B598-CD7046594926}" xr6:coauthVersionLast="47" xr6:coauthVersionMax="47" xr10:uidLastSave="{BA03062A-DEE7-4A3A-A9B9-2D05989C35C5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<sst xmlns="http://schemas.openxmlformats.org/spreadsheetml/2006/main" count="3372" uniqueCount="839">
  <si>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</si>
  <si>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</si>
  <si>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</si>
  <si>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</si>
  <si>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</si>
  <si>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</si>
  <si>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</si>
  <si>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</si>
  <si>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</si>
  <si>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</si>
  <si>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</si>
  <si>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</si>
  <si>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</si>
  <si>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</si>
  <si>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</si>
  <si>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</si>
  <si>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</si>
  <si>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</si>
  <si>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</si>
  <si>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</si>
  <si>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</si>
  <si>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</si>
  <si>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</si>
  <si>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</si>
  <si>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</si>
  <si>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</si>
  <si>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</si>
  <si>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</si>
  <si>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</si>
  <si>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</si>
  <si>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</si>
  <si>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</si>
  <si>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</si>
  <si>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</si>
  <si>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</si>
  <si>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</si>
  <si>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</si>
  <si>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</si>
  <si>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</si>
  <si>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</si>
  <si>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</si>
  <si>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</si>
  <si>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</si>
  <si>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</si>
  <si>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</si>
  <si>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</si>
  <si>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</si>
  <si>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</si>
  <si>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</si>
  <si>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</si>
  <si>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</si>
  <si>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</si>
  <si>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</si>
  <si>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</si>
  <si>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</si>
  <si>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</si>
  <si>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</si>
  <si>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</si>
  <si>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</si>
  <si>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</si>
  <si>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</si>
  <si>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</si>
  <si>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</si>
  <si>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</si>
  <si>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</si>
  <si>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</si>
  <si>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</si>
  <si>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</si>
  <si>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</si>
  <si>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</si>
  <si>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</si>
  <si>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</si>
  <si>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</si>
  <si>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</si>
  <si>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</si>
  <si>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</si>
  <si>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</si>
  <si>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</si>
  <si>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</si>
  <si>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</si>
  <si>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</si>
  <si>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</si>
  <si>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</si>
  <si>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</si>
  <si>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</si>
  <si>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</si>
  <si>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</si>
  <si>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</si>
  <si>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</si>
  <si>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</si>
  <si>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</si>
  <si>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</si>
  <si>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</si>
  <si>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</si>
  <si>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</si>
  <si>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</si>
  <si>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</si>
  <si>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</si>
  <si>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</si>
  <si>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</si>
  <si>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</si>
  <si>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</si>
  <si>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</si>
  <si>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</si>
  <si>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</si>
  <si>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</si>
  <si>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</si>
  <si>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</si>
  <si>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</si>
  <si>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</si>
  <si>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</si>
  <si>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</si>
  <si>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</si>
  <si>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</si>
  <si>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</si>
  <si>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</si>
  <si>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</si>
  <si>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</si>
  <si>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</si>
  <si>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</si>
  <si>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</si>
  <si>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</si>
  <si>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</si>
  <si>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</si>
  <si>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</si>
  <si>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</si>
  <si>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</si>
  <si>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</si>
  <si>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</si>
  <si>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</si>
  <si>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</si>
  <si>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</si>
  <si>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</si>
  <si>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</si>
  <si>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</si>
  <si>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</si>
  <si>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</si>
  <si>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</si>
  <si>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</si>
  <si>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</si>
  <si>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</si>
  <si>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</si>
  <si>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</si>
  <si>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</si>
  <si>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</si>
  <si>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</si>
  <si>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</si>
  <si>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</si>
  <si>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</si>
  <si>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</si>
  <si>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</si>
  <si>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</si>
  <si>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</si>
  <si>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</si>
  <si>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</si>
  <si>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</si>
  <si>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</si>
  <si>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</si>
  <si>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</si>
  <si>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</si>
  <si>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</si>
  <si>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</si>
  <si>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</si>
  <si>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</si>
  <si>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</si>
  <si>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</si>
  <si>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</si>
  <si>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</si>
  <si>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</si>
  <si>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</si>
  <si>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</si>
  <si>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</si>
  <si>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</si>
  <si>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</si>
  <si>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</si>
  <si>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</si>
  <si>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</si>
  <si>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</si>
  <si>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</si>
  <si>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</si>
  <si>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</si>
  <si>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</si>
  <si>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</si>
  <si>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</si>
  <si>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</si>
  <si>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</si>
  <si>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</si>
  <si>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</si>
  <si>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</si>
  <si>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</si>
  <si>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</si>
  <si>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</si>
  <si>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</si>
  <si>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</si>
  <si>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</si>
  <si>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</si>
  <si>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</si>
  <si>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</si>
  <si>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</si>
  <si>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</si>
  <si>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</si>
  <si>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</si>
  <si>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</si>
  <si>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</si>
  <si>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</si>
  <si>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</si>
  <si>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</si>
  <si>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</si>
  <si>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</si>
  <si>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</si>
  <si>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</si>
  <si>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</si>
  <si>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</si>
  <si>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</si>
  <si>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</si>
  <si>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</si>
  <si>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</si>
  <si>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</si>
  <si>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</si>
  <si>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</si>
  <si>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</si>
  <si>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</si>
  <si>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</si>
  <si>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</si>
  <si>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</si>
  <si>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</si>
  <si>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</si>
  <si>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</si>
  <si>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</si>
  <si>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</si>
  <si>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</si>
  <si>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</si>
  <si>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</si>
  <si>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</si>
  <si>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</si>
  <si>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</si>
  <si>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</si>
  <si>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</si>
  <si>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</si>
  <si>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</si>
  <si>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</si>
  <si>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</si>
  <si>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</si>
  <si>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</si>
  <si>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</si>
  <si>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</si>
  <si>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</si>
  <si>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</si>
  <si>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</si>
  <si>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</si>
  <si>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</si>
  <si>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</si>
  <si>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</si>
  <si>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</si>
  <si>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</si>
  <si>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</si>
  <si>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</si>
  <si>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</si>
  <si>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</si>
  <si>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</si>
  <si>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</si>
  <si>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</si>
  <si>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</si>
  <si>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</si>
  <si>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</si>
  <si>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</si>
  <si>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</si>
  <si>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</si>
  <si>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</si>
  <si>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</si>
  <si>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</si>
  <si>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</si>
  <si>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</si>
  <si>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</si>
  <si>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</si>
  <si>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</si>
  <si>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</si>
  <si>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</si>
  <si>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</si>
  <si>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</si>
  <si>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</si>
  <si>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</si>
  <si>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</si>
  <si>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</si>
  <si>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</si>
  <si>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</si>
  <si>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</si>
  <si>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</si>
  <si>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</si>
  <si>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</si>
  <si>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</si>
  <si>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</si>
  <si>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</si>
  <si>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</si>
  <si>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</si>
  <si>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</si>
  <si>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</si>
  <si>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</si>
  <si>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</si>
  <si>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</si>
  <si>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</si>
  <si>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</si>
  <si>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</si>
  <si>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</si>
  <si>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</si>
  <si>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</si>
  <si>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</si>
  <si>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</si>
  <si>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</si>
  <si>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</si>
  <si>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</si>
  <si>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</si>
  <si>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</si>
  <si>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</si>
  <si>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</si>
  <si>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</si>
  <si>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</si>
  <si>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</si>
  <si>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</si>
  <si>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</si>
  <si>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</si>
  <si>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</si>
  <si>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</si>
  <si>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</si>
  <si>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</si>
  <si>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</si>
  <si>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</si>
  <si>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</si>
  <si>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</si>
  <si>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</si>
  <si>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</si>
  <si>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</si>
  <si>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</si>
  <si>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</si>
  <si>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</si>
  <si>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</si>
  <si>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</si>
  <si>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</si>
  <si>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</si>
  <si>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</si>
  <si>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</si>
  <si>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</si>
  <si>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</si>
  <si>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</si>
  <si>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</si>
  <si>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</si>
  <si>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</si>
  <si>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</si>
  <si>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</si>
  <si>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</si>
  <si>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</si>
  <si>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</si>
  <si>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</si>
  <si>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</si>
  <si>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</si>
  <si>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</si>
  <si>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</si>
  <si>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</si>
  <si>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</si>
  <si>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</si>
  <si>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</si>
  <si>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</si>
  <si>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</si>
  <si>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</si>
  <si>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</si>
  <si>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</si>
  <si>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</si>
  <si>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</si>
  <si>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</si>
  <si>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</si>
  <si>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</si>
  <si>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</si>
  <si>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</si>
  <si>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</si>
  <si>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</si>
  <si>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</si>
  <si>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</si>
  <si>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</si>
  <si>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</si>
  <si>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</si>
  <si>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</si>
  <si>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</si>
  <si>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</si>
  <si>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</si>
  <si>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</si>
  <si>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</si>
  <si>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</si>
  <si>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</si>
  <si>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</si>
  <si>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</si>
  <si>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</si>
  <si>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</si>
  <si>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</si>
  <si>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</si>
  <si>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</si>
  <si>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</si>
  <si>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</si>
  <si>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</si>
  <si>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</si>
  <si>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</si>
  <si>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</si>
  <si>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</si>
  <si>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</si>
  <si>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</si>
  <si>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</si>
  <si>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</si>
  <si>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</si>
  <si>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</si>
  <si>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</si>
  <si>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</si>
  <si>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</si>
  <si>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</si>
  <si>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</si>
  <si>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</si>
  <si>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</si>
  <si>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</si>
  <si>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</si>
  <si>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</si>
  <si>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</si>
  <si>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</si>
  <si>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</si>
  <si>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</si>
  <si>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</si>
  <si>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</si>
  <si>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</si>
  <si>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</si>
  <si>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</si>
  <si>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</si>
  <si>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</si>
  <si>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</si>
  <si>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</si>
  <si>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</si>
  <si>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</si>
  <si>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</si>
  <si>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</si>
  <si>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</si>
  <si>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</si>
  <si>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</si>
  <si>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</si>
  <si>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</si>
  <si>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</si>
  <si>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</si>
  <si>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</si>
  <si>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</si>
  <si>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</si>
  <si>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</si>
  <si>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</si>
  <si>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</si>
  <si>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</si>
  <si>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</si>
  <si>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</si>
  <si>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</si>
  <si>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</si>
  <si>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</si>
  <si>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</si>
  <si>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</si>
  <si>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</si>
  <si>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</si>
  <si>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</si>
  <si>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</si>
  <si>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</si>
  <si>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</si>
  <si>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</si>
  <si>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</si>
  <si>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</si>
  <si>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</si>
  <si>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</si>
  <si>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</si>
  <si>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</si>
  <si>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</si>
  <si>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</si>
  <si>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</si>
  <si>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</si>
  <si>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</si>
  <si>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</si>
  <si>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</si>
  <si>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</si>
  <si>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</si>
  <si>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</si>
  <si>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</si>
  <si>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</si>
  <si>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</si>
  <si>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</si>
  <si>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</si>
  <si>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</si>
  <si>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</si>
  <si>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</si>
  <si>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</si>
  <si>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</si>
  <si>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</si>
  <si>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</si>
  <si>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</si>
  <si>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</si>
  <si>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</si>
  <si>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</si>
  <si>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</si>
  <si>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</si>
  <si>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</si>
  <si>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</si>
  <si>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</si>
  <si>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</si>
  <si>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</si>
  <si>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</si>
  <si>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</si>
  <si>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</si>
  <si>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</si>
  <si>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</si>
  <si>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</si>
  <si>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</si>
  <si>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</si>
  <si>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</si>
  <si>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</si>
  <si>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</si>
  <si>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</si>
  <si>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</si>
  <si>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</si>
  <si>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</si>
  <si>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</si>
  <si>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</si>
  <si>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</si>
  <si>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</si>
  <si>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</si>
  <si>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</si>
  <si>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</si>
  <si>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</si>
  <si>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</si>
  <si>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</si>
  <si>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</si>
  <si>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</si>
  <si>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</si>
  <si>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</si>
  <si>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</si>
  <si>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</si>
  <si>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</si>
  <si>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</si>
  <si>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</si>
  <si>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</si>
  <si>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</si>
  <si>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</si>
  <si>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</si>
  <si>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</si>
  <si>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</si>
  <si>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</si>
  <si>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</si>
  <si>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</si>
  <si>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</si>
  <si>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</si>
  <si>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</si>
  <si>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</si>
  <si>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</si>
  <si>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</si>
  <si>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</si>
  <si>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</si>
  <si>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</si>
  <si>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</si>
  <si>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</si>
  <si>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</si>
  <si>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</si>
  <si>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</si>
  <si>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</si>
  <si>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</si>
  <si>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</si>
  <si>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</si>
  <si>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</si>
  <si>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</si>
  <si>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</si>
  <si>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</si>
  <si>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</si>
  <si>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</si>
  <si>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</si>
  <si>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</si>
  <si>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</si>
  <si>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</si>
  <si>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</si>
  <si>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</si>
  <si>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</si>
  <si>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</si>
  <si>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</si>
  <si>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</si>
  <si>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</si>
  <si>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</si>
  <si>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</si>
  <si>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</si>
  <si>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</si>
  <si>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</si>
  <si>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</si>
  <si>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</si>
  <si>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</si>
  <si>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</si>
  <si>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</si>
  <si>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</si>
  <si>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</si>
  <si>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</si>
  <si>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</si>
  <si>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</si>
  <si>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</si>
  <si>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</si>
  <si>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</si>
  <si>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</si>
  <si>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</si>
  <si>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</si>
  <si>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</si>
  <si>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</si>
  <si>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</si>
  <si>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</si>
  <si>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</si>
  <si>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</si>
  <si>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</si>
  <si>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</si>
  <si>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</si>
  <si>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</si>
  <si>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</si>
  <si>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</si>
  <si>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</si>
  <si>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</si>
  <si>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</si>
  <si>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</si>
  <si>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</si>
  <si>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</si>
  <si>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</si>
  <si>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</si>
  <si>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</si>
  <si>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</si>
  <si>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</si>
  <si>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</si>
  <si>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</si>
  <si>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</si>
  <si>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</si>
  <si>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</si>
  <si>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</si>
  <si>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</si>
  <si>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</si>
  <si>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</si>
  <si>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</si>
  <si>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</si>
  <si>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</si>
  <si>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</si>
  <si>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</si>
  <si>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</si>
  <si>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</si>
  <si>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</si>
  <si>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</si>
  <si>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</si>
  <si>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</si>
  <si>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</si>
  <si>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</si>
  <si>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</si>
  <si>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</si>
  <si>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</si>
  <si>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</si>
  <si>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</si>
  <si>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</si>
  <si>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</si>
  <si>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</si>
  <si>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</si>
  <si>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</si>
  <si>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</si>
  <si>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</si>
  <si>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</si>
  <si>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</si>
  <si>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</si>
  <si>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</si>
  <si>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</si>
  <si>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</si>
  <si>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</si>
  <si>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</si>
  <si>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</si>
  <si>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</si>
  <si>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</si>
  <si>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</si>
  <si>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</si>
  <si>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</si>
  <si>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</si>
  <si>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</si>
  <si>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</si>
  <si>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</si>
  <si>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</si>
  <si>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</si>
  <si>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</si>
  <si>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</si>
  <si>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</si>
  <si>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</si>
  <si>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</si>
  <si>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</si>
  <si>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</si>
  <si>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</si>
  <si>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</si>
  <si>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</si>
  <si>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</si>
  <si>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</si>
  <si>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</si>
  <si>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</si>
  <si>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</si>
  <si>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</si>
  <si>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</si>
  <si>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</si>
  <si>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</si>
  <si>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</si>
  <si>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</si>
  <si>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</si>
  <si>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</si>
  <si>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</si>
  <si>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</si>
  <si>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</si>
  <si>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</si>
  <si>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</si>
  <si>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</si>
  <si>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</si>
  <si>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</si>
  <si>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</si>
  <si>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</si>
  <si>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</si>
  <si>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</si>
  <si>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</si>
  <si>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</si>
  <si>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</si>
  <si>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</si>
  <si>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</si>
  <si>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</si>
  <si>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</si>
  <si>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</si>
  <si>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</si>
  <si>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</si>
  <si>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</si>
  <si>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</si>
  <si>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</si>
  <si>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</si>
  <si>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</si>
  <si>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</si>
  <si>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</si>
  <si>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</si>
  <si>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</si>
  <si>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</si>
  <si>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</si>
  <si>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</si>
  <si>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</si>
  <si>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</si>
  <si>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</si>
  <si>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</si>
  <si>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</si>
  <si>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</si>
  <si>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</si>
  <si>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</si>
  <si>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</si>
  <si>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</si>
  <si>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</si>
  <si>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</si>
  <si>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</si>
  <si>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</si>
  <si>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</si>
  <si>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</si>
  <si>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</si>
  <si>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</si>
  <si>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</si>
  <si>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</si>
  <si>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</si>
  <si>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</si>
  <si>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</si>
  <si>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</si>
  <si>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</si>
  <si>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</si>
  <si>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</si>
  <si>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</si>
  <si>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</si>
  <si>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</si>
  <si>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</si>
  <si>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</si>
  <si>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</si>
  <si>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</si>
  <si>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</si>
  <si>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</si>
  <si>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</si>
  <si>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</si>
  <si>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</si>
  <si>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</si>
  <si>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</si>
  <si>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</si>
  <si>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</si>
  <si>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</si>
  <si>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</si>
  <si>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</si>
  <si>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</si>
  <si>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</si>
  <si>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</si>
  <si>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</si>
  <si>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</si>
  <si>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</si>
  <si>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</si>
  <si>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</si>
  <si>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</si>
  <si>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</si>
  <si>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</si>
  <si>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</si>
  <si>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</si>
  <si>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</si>
  <si>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</si>
  <si>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</si>
  <si>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</si>
  <si>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</si>
  <si>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</si>
  <si>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</si>
  <si>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</si>
  <si>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</si>
  <si>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</si>
  <si>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</si>
  <si>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</si>
  <si>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</si>
  <si>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</si>
  <si>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</si>
  <si>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</si>
  <si>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</si>
  <si>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</si>
  <si>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</si>
  <si>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</si>
  <si>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</si>
  <si>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</si>
  <si>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</si>
  <si>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</si>
  <si>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</si>
  <si>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</si>
  <si>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</si>
  <si>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</si>
  <si>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</si>
  <si>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</si>
  <si>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</si>
  <si>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</si>
  <si>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 MATEU</t>
  </si>
  <si>
    <t>MILOS KREMIC</t>
  </si>
  <si>
    <t>JOVANA VESKOVIC</t>
  </si>
  <si>
    <t>C:\Users\xavi.mateu\OneDrive - EUROLEAGUE\Desktop</t>
  </si>
  <si>
    <t>09:03</t>
  </si>
  <si>
    <t>09:09</t>
  </si>
  <si>
    <t>09:02</t>
  </si>
  <si>
    <t>08:56</t>
  </si>
  <si>
    <t>08:44</t>
  </si>
  <si>
    <t>07:55</t>
  </si>
  <si>
    <t>07:36</t>
  </si>
  <si>
    <t>01:</t>
  </si>
  <si>
    <t>The substitutions!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</si>
</sst>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09_083_JER_VNC_U2025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829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83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45995.833333333336</v>
      </c>
      <c r="C3" s="178"/>
      <c r="D3" s="39">
        <v>620</v>
      </c>
      <c r="E3" s="29"/>
      <c r="F3" s="26">
        <f>SUBTOTAL(3,I17:I106)</f>
        <v>8</v>
      </c>
      <c r="G3" s="27">
        <f>IF(OR(D3="",D3=0),"",F3/D3)</f>
        <v>1.2903225806451613E-2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Hapoel Bank Yahav Jerusalem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JER</v>
      </c>
      <c r="I4" s="5"/>
      <c r="J4" s="119" t="s">
        <v>714</v>
      </c>
      <c r="K4" s="54" t="s">
        <v>743</v>
      </c>
      <c r="L4" s="5"/>
      <c r="M4" s="185" t="s">
        <v>838</v>
      </c>
      <c r="N4" s="186"/>
      <c r="O4" s="2"/>
      <c r="P4" s="2"/>
      <c r="Q4" s="84" t="s">
        <v>175</v>
      </c>
      <c r="R4" s="94">
        <f>(IF(G3="",0,G3))</f>
        <v>1.2903225806451613E-2</v>
      </c>
      <c r="S4" s="61">
        <f>SUM(I13:M13)</f>
        <v>2</v>
      </c>
      <c r="T4" s="78"/>
      <c r="U4" s="61">
        <f>AC18</f>
        <v>4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Umana Reyer Venice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1.2903225806451613</v>
      </c>
      <c r="S5" s="70">
        <f t="shared" ref="S5" si="0">S4*S3</f>
        <v>2</v>
      </c>
      <c r="T5" s="92"/>
      <c r="U5" s="70">
        <f t="shared" ref="U5:AG5" si="1">U4*U3</f>
        <v>2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816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817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9.2903225806451601</v>
      </c>
      <c r="N7" s="58"/>
      <c r="O7" s="2"/>
      <c r="P7" s="2"/>
      <c r="Q7" s="86">
        <f>SUM(R5,S5,AC16)</f>
        <v>9.2903225806451601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827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9.2903225806451601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745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828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83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83</v>
      </c>
      <c r="D17" s="32" t="s">
        <v>830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10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83</v>
      </c>
      <c r="D18" s="32" t="s">
        <v>831</v>
      </c>
      <c r="E18" s="33">
        <v>3</v>
      </c>
      <c r="F18" s="36">
        <v>47</v>
      </c>
      <c r="G18" s="36">
        <v>26</v>
      </c>
      <c r="H18" s="38" t="str">
        <f t="shared" ref="H18:H81" si="8">IF(I18="","",$I$14)</f>
        <v>SCOUTING</v>
      </c>
      <c r="I18" s="34">
        <v>326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83</v>
      </c>
      <c r="D19" s="32" t="s">
        <v>832</v>
      </c>
      <c r="E19" s="33">
        <v>3</v>
      </c>
      <c r="F19" s="36">
        <v>47</v>
      </c>
      <c r="G19" s="36">
        <v>26</v>
      </c>
      <c r="H19" s="38" t="str">
        <f t="shared" si="8"/>
        <v>SCOUTING</v>
      </c>
      <c r="I19" s="34">
        <v>328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6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83</v>
      </c>
      <c r="D20" s="32" t="s">
        <v>833</v>
      </c>
      <c r="E20" s="33">
        <v>3</v>
      </c>
      <c r="F20" s="36">
        <v>48</v>
      </c>
      <c r="G20" s="36">
        <v>26</v>
      </c>
      <c r="H20" s="38" t="str">
        <f t="shared" si="8"/>
        <v>SCOUTING</v>
      </c>
      <c r="I20" s="34">
        <v>332</v>
      </c>
      <c r="J20" s="13" t="s">
        <v>4</v>
      </c>
      <c r="K20" s="13" t="s">
        <v>62</v>
      </c>
      <c r="L20" s="13" t="s">
        <v>6</v>
      </c>
      <c r="M20" s="13" t="s">
        <v>23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83</v>
      </c>
      <c r="D21" s="32" t="s">
        <v>834</v>
      </c>
      <c r="E21" s="33">
        <v>3</v>
      </c>
      <c r="F21" s="36">
        <v>49</v>
      </c>
      <c r="G21" s="36">
        <v>26</v>
      </c>
      <c r="H21" s="38" t="str">
        <f t="shared" si="8"/>
        <v>SCOUTING</v>
      </c>
      <c r="I21" s="34">
        <v>336</v>
      </c>
      <c r="J21" s="13" t="s">
        <v>4</v>
      </c>
      <c r="K21" s="13" t="s">
        <v>62</v>
      </c>
      <c r="L21" s="13" t="s">
        <v>5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1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83</v>
      </c>
      <c r="D22" s="32" t="s">
        <v>835</v>
      </c>
      <c r="E22" s="33">
        <v>3</v>
      </c>
      <c r="F22" s="36">
        <v>51</v>
      </c>
      <c r="G22" s="36">
        <v>26</v>
      </c>
      <c r="H22" s="38" t="str">
        <f t="shared" si="8"/>
        <v>SCOUTING</v>
      </c>
      <c r="I22" s="34">
        <v>352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83</v>
      </c>
      <c r="D23" s="32" t="s">
        <v>836</v>
      </c>
      <c r="E23" s="33">
        <v>3</v>
      </c>
      <c r="F23" s="36">
        <v>51</v>
      </c>
      <c r="G23" s="36">
        <v>27</v>
      </c>
      <c r="H23" s="38" t="str">
        <f t="shared" si="8"/>
        <v>SCOUTING</v>
      </c>
      <c r="I23" s="34">
        <v>355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83</v>
      </c>
      <c r="D24" s="32" t="s">
        <v>837</v>
      </c>
      <c r="E24" s="33">
        <v>4</v>
      </c>
      <c r="F24" s="36">
        <v>96</v>
      </c>
      <c r="G24" s="36">
        <v>63</v>
      </c>
      <c r="H24" s="38" t="str">
        <f t="shared" si="8"/>
        <v>SCOUTING</v>
      </c>
      <c r="I24" s="34">
        <v>608</v>
      </c>
      <c r="J24" s="13" t="s">
        <v>4</v>
      </c>
      <c r="K24" s="13" t="s">
        <v>62</v>
      </c>
      <c r="L24" s="13" t="s">
        <v>6</v>
      </c>
      <c r="M24" s="13" t="s">
        <v>168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1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REPORT_U2025083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"U2025083"</v>
      </c>
      <c r="F3" s="45" t="str">
        <f t="shared" ref="F3:F16" si="0">""""&amp;B3&amp;"""" &amp; " : " &amp;C3&amp;","</f>
        <v>"name" : "U2025083",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"U083"</v>
      </c>
      <c r="F4" s="45" t="str">
        <f t="shared" si="0"/>
        <v>"cod" : "U083",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083</v>
      </c>
      <c r="F6" s="45" t="str">
        <f t="shared" si="0"/>
        <v>"number" : 083,</v>
      </c>
    </row>
    <row r="7" spans="2:6" x14ac:dyDescent="0.25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5">
      <c r="B8" s="43" t="s">
        <v>125</v>
      </c>
      <c r="C8" s="43" t="str">
        <f>""""&amp;'SCOUT &amp; LOGISTICS'!D4 &amp;""""</f>
        <v>"Hapoel Bank Yahav Jerusalem"</v>
      </c>
      <c r="F8" s="45" t="str">
        <f t="shared" si="0"/>
        <v>"home_team" : "Hapoel Bank Yahav Jerusalem",</v>
      </c>
    </row>
    <row r="9" spans="2:6" x14ac:dyDescent="0.25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"MARIJANA GOLUBOVIC"</v>
      </c>
      <c r="F11" s="45" t="str">
        <f t="shared" si="0"/>
        <v>"Caller_1" : "MARIJANA GOLUBOVIC",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"SARA PROJOVIC"</v>
      </c>
      <c r="F13" s="45" t="str">
        <f t="shared" si="0"/>
        <v>"Timerkeeper" : "SARA PROJOVIC",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"JOVANA VESKOVIC"</v>
      </c>
      <c r="F14" s="45" t="str">
        <f t="shared" si="0"/>
        <v>"Shotclock" : "JOVANA VESKOVIC",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620</v>
      </c>
      <c r="F25" s="45" t="str">
        <f t="shared" ref="F25:F48" si="1">""""&amp;C25&amp;"""" &amp; " : " &amp;D25&amp;","</f>
        <v>"total_actions" : 620,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6</v>
      </c>
      <c r="F33" s="45" t="str">
        <f t="shared" si="1"/>
        <v>"q3" : 6,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1</v>
      </c>
      <c r="F41" s="45" t="str">
        <f t="shared" si="1"/>
        <v>"irs" : 1,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substitutions!"</v>
      </c>
      <c r="F51" s="45" t="str">
        <f>""""&amp;B51&amp;"""" &amp; " : " &amp;C51&amp;","</f>
        <v>"comments" : "The substitutions!",</v>
      </c>
    </row>
    <row r="52" spans="2:6" x14ac:dyDescent="0.25">
      <c r="B52" s="43" t="s">
        <v>153</v>
      </c>
      <c r="C52" s="43" t="str">
        <f>TEXT('SCOUT &amp; LOGISTICS'!F1,"0,0")</f>
        <v>09_083_JER_VNC_U2025</v>
      </c>
      <c r="F52" s="45" t="str">
        <f>""""&amp;B52&amp;"""" &amp; " : " &amp;C52</f>
        <v>"result" : 09_083_JER_VNC_U2025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U083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04/12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Hapoel Bank Yahav Jerusalem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Umana Reyer Venice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MARIJANA GOLUBOVIC</v>
      </c>
      <c r="H8" s="201"/>
      <c r="I8" s="201"/>
      <c r="J8" s="201"/>
      <c r="K8" s="201"/>
      <c r="L8" s="201" t="str">
        <f>IF('SCOUT &amp; LOGISTICS'!D8="","",'SCOUT &amp; LOGISTICS'!D8)</f>
        <v>MILOS KREMIC</v>
      </c>
      <c r="M8" s="201"/>
      <c r="N8" s="201"/>
      <c r="O8" s="201"/>
      <c r="P8" s="201"/>
      <c r="Q8" s="201" t="str">
        <f>IF('SCOUT &amp; LOGISTICS'!D9="","",'SCOUT &amp; LOGISTICS'!D9)</f>
        <v>SARA PROJOVIC</v>
      </c>
      <c r="R8" s="201"/>
      <c r="S8" s="201"/>
      <c r="T8" s="201"/>
      <c r="U8" s="201"/>
      <c r="V8" s="201" t="str">
        <f>IF('SCOUT &amp; LOGISTICS'!D10="","",'SCOUT &amp; LOGISTICS'!D10)</f>
        <v>JOVANA VESKOVIC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620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1.2903225806451613E-2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6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4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substitutions!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9.2903225806451601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D28FEB4-C3AA-4D3B-9AC3-05EDE1586060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2025-12-05T15:35:43Z</cp:lastPrinted>
  <dcterms:created xsi:type="dcterms:W3CDTF">2023-09-19T19:50:35Z</dcterms:created>
  <dcterms:modified xsi:type="dcterms:W3CDTF">2025-12-05T15:36:48Z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