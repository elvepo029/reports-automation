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10" documentId="8_{56E654FA-4E79-431E-92BF-97DE3DDCD9EA}" xr6:coauthVersionLast="47" xr6:coauthVersionMax="47" xr10:uidLastSave="{FF480EC5-740A-4901-BC09-5F5C6F26E6DD}"/>
  <bookViews>
    <workbookView xWindow="285" yWindow="-14640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<sst xmlns="http://schemas.openxmlformats.org/spreadsheetml/2006/main" count="3293" uniqueCount="769">
  <si>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</si>
  <si>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</si>
  <si>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</si>
  <si>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</si>
  <si>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</si>
  <si>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</si>
  <si>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</si>
  <si>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</si>
  <si>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</si>
  <si>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</si>
  <si>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</si>
  <si>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</si>
  <si>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</si>
  <si>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</si>
  <si>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</si>
  <si>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</si>
  <si>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</si>
  <si>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</si>
  <si>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</si>
  <si>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</si>
  <si>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</si>
  <si>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</si>
  <si>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</si>
  <si>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</si>
  <si>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</si>
  <si>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</si>
  <si>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</si>
  <si>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</si>
  <si>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</si>
  <si>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</si>
  <si>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</si>
  <si>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</si>
  <si>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</si>
  <si>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</si>
  <si>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</si>
  <si>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</si>
  <si>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</si>
  <si>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</si>
  <si>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</si>
  <si>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</si>
  <si>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</si>
  <si>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</si>
  <si>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</si>
  <si>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</si>
  <si>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</si>
  <si>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</si>
  <si>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</si>
  <si>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</si>
  <si>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</si>
  <si>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</si>
  <si>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</si>
  <si>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</si>
  <si>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</si>
  <si>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</si>
  <si>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</si>
  <si>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</si>
  <si>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</si>
  <si>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</si>
  <si>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</si>
  <si>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</si>
  <si>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</si>
  <si>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</si>
  <si>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</si>
  <si>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</si>
  <si>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</si>
  <si>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</si>
  <si>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</si>
  <si>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</si>
  <si>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</si>
  <si>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</si>
  <si>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</si>
  <si>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</si>
  <si>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</si>
  <si>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</si>
  <si>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</si>
  <si>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</si>
  <si>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</si>
  <si>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</si>
  <si>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</si>
  <si>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</si>
  <si>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</si>
  <si>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</si>
  <si>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</si>
  <si>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</si>
  <si>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</si>
  <si>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</si>
  <si>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</si>
  <si>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</si>
  <si>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</si>
  <si>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</si>
  <si>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</si>
  <si>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</si>
  <si>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</si>
  <si>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</si>
  <si>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</si>
  <si>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</si>
  <si>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</si>
  <si>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</si>
  <si>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</si>
  <si>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</si>
  <si>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</si>
  <si>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</si>
  <si>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</si>
  <si>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</si>
  <si>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</si>
  <si>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</si>
  <si>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</si>
  <si>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</si>
  <si>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</si>
  <si>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</si>
  <si>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</si>
  <si>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</si>
  <si>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</si>
  <si>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</si>
  <si>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</si>
  <si>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</si>
  <si>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</si>
  <si>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</si>
  <si>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</si>
  <si>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</si>
  <si>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</si>
  <si>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</si>
  <si>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</si>
  <si>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</si>
  <si>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</si>
  <si>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</si>
  <si>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</si>
  <si>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</si>
  <si>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</si>
  <si>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</si>
  <si>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</si>
  <si>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</si>
  <si>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</si>
  <si>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</si>
  <si>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</si>
  <si>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</si>
  <si>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</si>
  <si>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</si>
  <si>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</si>
  <si>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</si>
  <si>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</si>
  <si>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</si>
  <si>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</si>
  <si>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</si>
  <si>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</si>
  <si>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</si>
  <si>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</si>
  <si>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</si>
  <si>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</si>
  <si>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</si>
  <si>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</si>
  <si>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</si>
  <si>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</si>
  <si>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</si>
  <si>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</si>
  <si>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</si>
  <si>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</si>
  <si>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</si>
  <si>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</si>
  <si>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</si>
  <si>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</si>
  <si>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</si>
  <si>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</si>
  <si>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</si>
  <si>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</si>
  <si>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</si>
  <si>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</si>
  <si>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</si>
  <si>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</si>
  <si>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</si>
  <si>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</si>
  <si>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</si>
  <si>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</si>
  <si>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</si>
  <si>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</si>
  <si>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</si>
  <si>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</si>
  <si>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</si>
  <si>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</si>
  <si>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</si>
  <si>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</si>
  <si>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</si>
  <si>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</si>
  <si>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</si>
  <si>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</si>
  <si>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</si>
  <si>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</si>
  <si>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</si>
  <si>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</si>
  <si>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</si>
  <si>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</si>
  <si>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</si>
  <si>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</si>
  <si>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</si>
  <si>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</si>
  <si>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</si>
  <si>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</si>
  <si>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</si>
  <si>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</si>
  <si>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</si>
  <si>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</si>
  <si>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</si>
  <si>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</si>
  <si>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</si>
  <si>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</si>
  <si>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</si>
  <si>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</si>
  <si>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</si>
  <si>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</si>
  <si>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</si>
  <si>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</si>
  <si>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</si>
  <si>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</si>
  <si>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</si>
  <si>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</si>
  <si>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</si>
  <si>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</si>
  <si>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</si>
  <si>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</si>
  <si>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</si>
  <si>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</si>
  <si>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</si>
  <si>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</si>
  <si>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</si>
  <si>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</si>
  <si>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</si>
  <si>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</si>
  <si>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</si>
  <si>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</si>
  <si>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</si>
  <si>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</si>
  <si>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</si>
  <si>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</si>
  <si>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</si>
  <si>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</si>
  <si>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</si>
  <si>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</si>
  <si>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</si>
  <si>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</si>
  <si>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</si>
  <si>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</si>
  <si>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</si>
  <si>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</si>
  <si>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</si>
  <si>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</si>
  <si>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</si>
  <si>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</si>
  <si>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</si>
  <si>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</si>
  <si>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</si>
  <si>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</si>
  <si>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</si>
  <si>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</si>
  <si>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</si>
  <si>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</si>
  <si>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</si>
  <si>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</si>
  <si>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</si>
  <si>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</si>
  <si>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</si>
  <si>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</si>
  <si>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</si>
  <si>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</si>
  <si>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</si>
  <si>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</si>
  <si>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</si>
  <si>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</si>
  <si>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</si>
  <si>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</si>
  <si>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</si>
  <si>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</si>
  <si>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</si>
  <si>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</si>
  <si>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</si>
  <si>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</si>
  <si>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</si>
  <si>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</si>
  <si>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</si>
  <si>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</si>
  <si>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</si>
  <si>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</si>
  <si>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</si>
  <si>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</si>
  <si>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</si>
  <si>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</si>
  <si>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</si>
  <si>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</si>
  <si>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</si>
  <si>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</si>
  <si>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</si>
  <si>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</si>
  <si>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</si>
  <si>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</si>
  <si>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</si>
  <si>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</si>
  <si>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</si>
  <si>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</si>
  <si>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</si>
  <si>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</si>
  <si>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</si>
  <si>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</si>
  <si>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</si>
  <si>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</si>
  <si>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</si>
  <si>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</si>
  <si>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</si>
  <si>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</si>
  <si>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</si>
  <si>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</si>
  <si>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</si>
  <si>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</si>
  <si>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</si>
  <si>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</si>
  <si>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</si>
  <si>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</si>
  <si>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</si>
  <si>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</si>
  <si>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</si>
  <si>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</si>
  <si>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</si>
  <si>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</si>
  <si>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</si>
  <si>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</si>
  <si>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</si>
  <si>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</si>
  <si>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</si>
  <si>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</si>
  <si>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</si>
  <si>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</si>
  <si>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</si>
  <si>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</si>
  <si>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</si>
  <si>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</si>
  <si>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</si>
  <si>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</si>
  <si>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</si>
  <si>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</si>
  <si>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</si>
  <si>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</si>
  <si>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</si>
  <si>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</si>
  <si>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</si>
  <si>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</si>
  <si>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</si>
  <si>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</si>
  <si>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</si>
  <si>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</si>
  <si>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</si>
  <si>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</si>
  <si>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</si>
  <si>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</si>
  <si>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</si>
  <si>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</si>
  <si>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</si>
  <si>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</si>
  <si>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</si>
  <si>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</si>
  <si>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</si>
  <si>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</si>
  <si>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</si>
  <si>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</si>
  <si>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</si>
  <si>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</si>
  <si>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</si>
  <si>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</si>
  <si>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</si>
  <si>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</si>
  <si>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</si>
  <si>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</si>
  <si>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</si>
  <si>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</si>
  <si>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</si>
  <si>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</si>
  <si>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</si>
  <si>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</si>
  <si>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</si>
  <si>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</si>
  <si>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</si>
  <si>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</si>
  <si>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</si>
  <si>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</si>
  <si>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</si>
  <si>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</si>
  <si>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</si>
  <si>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</si>
  <si>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</si>
  <si>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</si>
  <si>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</si>
  <si>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</si>
  <si>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</si>
  <si>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</si>
  <si>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</si>
  <si>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</si>
  <si>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</si>
  <si>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</si>
  <si>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</si>
  <si>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</si>
  <si>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</si>
  <si>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</si>
  <si>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</si>
  <si>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</si>
  <si>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</si>
  <si>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</si>
  <si>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</si>
  <si>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</si>
  <si>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</si>
  <si>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</si>
  <si>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</si>
  <si>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</si>
  <si>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</si>
  <si>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</si>
  <si>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</si>
  <si>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</si>
  <si>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</si>
  <si>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</si>
  <si>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</si>
  <si>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</si>
  <si>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</si>
  <si>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</si>
  <si>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</si>
  <si>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</si>
  <si>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</si>
  <si>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</si>
  <si>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</si>
  <si>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</si>
  <si>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</si>
  <si>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</si>
  <si>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</si>
  <si>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</si>
  <si>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</si>
  <si>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</si>
  <si>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</si>
  <si>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</si>
  <si>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</si>
  <si>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</si>
  <si>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</si>
  <si>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</si>
  <si>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</si>
  <si>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</si>
  <si>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</si>
  <si>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</si>
  <si>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</si>
  <si>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</si>
  <si>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</si>
  <si>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</si>
  <si>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</si>
  <si>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</si>
  <si>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</si>
  <si>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</si>
  <si>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</si>
  <si>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</si>
  <si>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</si>
  <si>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</si>
  <si>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</si>
  <si>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</si>
  <si>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</si>
  <si>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</si>
  <si>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</si>
  <si>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</si>
  <si>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</si>
  <si>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</si>
  <si>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</si>
  <si>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</si>
  <si>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</si>
  <si>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</si>
  <si>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</si>
  <si>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</si>
  <si>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</si>
  <si>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</si>
  <si>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</si>
  <si>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</si>
  <si>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</si>
  <si>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</si>
  <si>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</si>
  <si>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</si>
  <si>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</si>
  <si>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</si>
  <si>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</si>
  <si>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</si>
  <si>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</si>
  <si>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</si>
  <si>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</si>
  <si>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</si>
  <si>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</si>
  <si>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</si>
  <si>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</si>
  <si>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</si>
  <si>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</si>
  <si>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</si>
  <si>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</si>
  <si>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</si>
  <si>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</si>
  <si>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</si>
  <si>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</si>
  <si>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</si>
  <si>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</si>
  <si>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</si>
  <si>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</si>
  <si>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</si>
  <si>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</si>
  <si>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</si>
  <si>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</si>
  <si>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</si>
  <si>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</si>
  <si>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</si>
  <si>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</si>
  <si>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</si>
  <si>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</si>
  <si>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</si>
  <si>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</si>
  <si>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</si>
  <si>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</si>
  <si>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</si>
  <si>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</si>
  <si>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</si>
  <si>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</si>
  <si>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</si>
  <si>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</si>
  <si>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</si>
  <si>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</si>
  <si>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</si>
  <si>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</si>
  <si>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</si>
  <si>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</si>
  <si>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</si>
  <si>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</si>
  <si>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</si>
  <si>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</si>
  <si>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</si>
  <si>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</si>
  <si>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</si>
  <si>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</si>
  <si>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</si>
  <si>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</si>
  <si>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</si>
  <si>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</si>
  <si>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</si>
  <si>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</si>
  <si>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</si>
  <si>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</si>
  <si>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</si>
  <si>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</si>
  <si>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</si>
  <si>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</si>
  <si>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</si>
  <si>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</si>
  <si>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</si>
  <si>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</si>
  <si>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</si>
  <si>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</si>
  <si>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</si>
  <si>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</si>
  <si>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</si>
  <si>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</si>
  <si>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</si>
  <si>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</si>
  <si>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</si>
  <si>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</si>
  <si>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</si>
  <si>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</si>
  <si>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</si>
  <si>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</si>
  <si>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</si>
  <si>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</si>
  <si>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</si>
  <si>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</si>
  <si>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</si>
  <si>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</si>
  <si>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</si>
  <si>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</si>
  <si>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</si>
  <si>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</si>
  <si>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</si>
  <si>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</si>
  <si>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</si>
  <si>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</si>
  <si>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</si>
  <si>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</si>
  <si>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</si>
  <si>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</si>
  <si>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</si>
  <si>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</si>
  <si>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</si>
  <si>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</si>
  <si>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</si>
  <si>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</si>
  <si>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</si>
  <si>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</si>
  <si>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</si>
  <si>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</si>
  <si>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</si>
  <si>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</si>
  <si>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</si>
  <si>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</si>
  <si>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</si>
  <si>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</si>
  <si>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</si>
  <si>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</si>
  <si>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</si>
  <si>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</si>
  <si>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</si>
  <si>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</si>
  <si>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</si>
  <si>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</si>
  <si>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</si>
  <si>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</si>
  <si>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</si>
  <si>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</si>
  <si>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</si>
  <si>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</si>
  <si>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</si>
  <si>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</si>
  <si>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</si>
  <si>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</si>
  <si>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</si>
  <si>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</si>
  <si>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</si>
  <si>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</si>
  <si>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</si>
  <si>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</si>
  <si>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</si>
  <si>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</si>
  <si>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</si>
  <si>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</si>
  <si>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</si>
  <si>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</si>
  <si>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</si>
  <si>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</si>
  <si>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</si>
  <si>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</si>
  <si>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</si>
  <si>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</si>
  <si>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</si>
  <si>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</si>
  <si>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</si>
  <si>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</si>
  <si>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</si>
  <si>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</si>
  <si>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</si>
  <si>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</si>
  <si>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</si>
  <si>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</si>
  <si>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</si>
  <si>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</si>
  <si>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</si>
  <si>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</si>
  <si>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</si>
  <si>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</si>
  <si>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</si>
  <si>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</si>
  <si>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</si>
  <si>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</si>
  <si>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</si>
  <si>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</si>
  <si>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</si>
  <si>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</si>
  <si>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</si>
  <si>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</si>
  <si>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</si>
  <si>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</si>
  <si>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</si>
  <si>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</si>
  <si>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</si>
  <si>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</si>
  <si>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</si>
  <si>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</si>
  <si>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</si>
  <si>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</si>
  <si>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</si>
  <si>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</si>
  <si>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</si>
  <si>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</si>
  <si>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</si>
  <si>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</si>
  <si>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</si>
  <si>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</si>
  <si>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</si>
  <si>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</si>
  <si>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</si>
  <si>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</si>
  <si>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</si>
  <si>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</si>
  <si>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</si>
  <si>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</si>
  <si>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</si>
  <si>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</si>
  <si>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</si>
  <si>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</si>
  <si>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</si>
  <si>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</si>
  <si>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</si>
  <si>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</si>
  <si>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</si>
  <si>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</si>
  <si>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</si>
  <si>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</si>
  <si>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</si>
  <si>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</si>
  <si>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</si>
  <si>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</si>
  <si>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</si>
  <si>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</si>
  <si>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</si>
  <si>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</si>
  <si>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</si>
  <si>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</si>
  <si>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</si>
  <si>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</si>
  <si>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</si>
  <si>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</si>
  <si>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</si>
  <si>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</si>
  <si>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</si>
  <si>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</si>
  <si>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</si>
  <si>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</si>
  <si>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</si>
  <si>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</si>
  <si>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</si>
  <si>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</si>
  <si>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</si>
  <si>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</si>
  <si>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</si>
  <si>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</si>
  <si>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</si>
  <si>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</si>
  <si>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</si>
  <si>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</si>
  <si>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</si>
  <si>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</si>
  <si>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</si>
  <si>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</si>
  <si>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</si>
  <si>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</si>
  <si>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</si>
  <si>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</si>
  <si>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</si>
  <si>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</si>
  <si>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</si>
  <si>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</si>
  <si>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</si>
  <si>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</si>
  <si>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</si>
  <si>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</si>
  <si>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</si>
  <si>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</si>
  <si>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</si>
  <si>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</si>
  <si>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</si>
  <si>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C:\Users\pablo.campoy\EUROLEAGUE\EB STATS - General\SEASON 2025-26\Reports\Euroleague</t>
  </si>
  <si>
    <t>PABLO CAMPOY</t>
  </si>
  <si>
    <t>MILOS MOSIC</t>
  </si>
  <si>
    <t>MIODRAG STOJANOVIC</t>
  </si>
  <si>
    <t>ANA ANDREJIC</t>
  </si>
  <si>
    <t>BOJANA KRALJEVIC</t>
  </si>
  <si>
    <t>LJUPKA VUKOJEVIC</t>
  </si>
  <si>
    <t>JOVANA DOJCINOVIC</t>
  </si>
  <si>
    <t>09:17</t>
  </si>
  <si>
    <t>01:23</t>
  </si>
  <si>
    <t>09:11</t>
  </si>
  <si>
    <t>Rebot ofensiu desviat amb intenció cap a un company que anota (+assist)</t>
  </si>
  <si>
    <t>05:15</t>
  </si>
  <si>
    <t>06:51</t>
  </si>
  <si>
    <t>Tir lliure anotat marcat com a errat. Durant un parell de minuts va faltar un punt.</t>
  </si>
  <si>
    <t>06:09</t>
  </si>
  <si>
    <t>Violació de 24 segons durant un tir en l'ultim segon de possessió.</t>
  </si>
  <si>
    <t>04:30</t>
  </si>
  <si>
    <t>03:15</t>
  </si>
  <si>
    <t>Mistakes in identifying players, specially of the same team. Good job in general.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</si>
</sst>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 activeCell="D6" sqref="D6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09_083_RED_PAN_E2025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83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45967.833333333336</v>
      </c>
      <c r="C3" s="178"/>
      <c r="D3" s="39">
        <v>601</v>
      </c>
      <c r="E3" s="29"/>
      <c r="F3" s="26">
        <f>SUBTOTAL(3,I17:I106)</f>
        <v>9</v>
      </c>
      <c r="G3" s="27">
        <f>IF(OR(D3="",D3=0),"",F3/D3)</f>
        <v>1.4975041597337771E-2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742</v>
      </c>
      <c r="L4" s="5"/>
      <c r="M4" s="185" t="s">
        <v>768</v>
      </c>
      <c r="N4" s="186"/>
      <c r="O4" s="2"/>
      <c r="P4" s="2"/>
      <c r="Q4" s="84" t="s">
        <v>175</v>
      </c>
      <c r="R4" s="94">
        <f>(IF(G3="",0,G3))</f>
        <v>1.4975041597337771E-2</v>
      </c>
      <c r="S4" s="61">
        <f>SUM(I13:M13)</f>
        <v>0</v>
      </c>
      <c r="T4" s="78"/>
      <c r="U4" s="61">
        <f>AC18</f>
        <v>1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5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1.497504159733777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12.5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17.497504159733776</v>
      </c>
      <c r="N7" s="58"/>
      <c r="O7" s="2"/>
      <c r="P7" s="2"/>
      <c r="Q7" s="86">
        <f>SUM(R5,S5,AC16)</f>
        <v>17.497504159733776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17.497504159733779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16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83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13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83</v>
      </c>
      <c r="D18" s="32" t="s">
        <v>758</v>
      </c>
      <c r="E18" s="33">
        <v>1</v>
      </c>
      <c r="F18" s="36">
        <v>16</v>
      </c>
      <c r="G18" s="36">
        <v>11</v>
      </c>
      <c r="H18" s="38" t="str">
        <f t="shared" ref="H18:H81" si="8">IF(I18="","",$I$14)</f>
        <v>SCOUTING</v>
      </c>
      <c r="I18" s="34">
        <v>119</v>
      </c>
      <c r="J18" s="13" t="s">
        <v>4</v>
      </c>
      <c r="K18" s="13" t="s">
        <v>62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25.5" x14ac:dyDescent="0.25">
      <c r="A19" s="20"/>
      <c r="B19" s="31" t="str">
        <f t="shared" si="2"/>
        <v>E2025</v>
      </c>
      <c r="C19" s="31">
        <f t="shared" si="3"/>
        <v>83</v>
      </c>
      <c r="D19" s="32" t="s">
        <v>759</v>
      </c>
      <c r="E19" s="33">
        <v>2</v>
      </c>
      <c r="F19" s="36">
        <v>22</v>
      </c>
      <c r="G19" s="36">
        <v>12</v>
      </c>
      <c r="H19" s="38" t="str">
        <f t="shared" si="8"/>
        <v>SCOUTING</v>
      </c>
      <c r="I19" s="34">
        <v>158</v>
      </c>
      <c r="J19" s="13" t="s">
        <v>4</v>
      </c>
      <c r="K19" s="13" t="s">
        <v>62</v>
      </c>
      <c r="L19" s="13" t="s">
        <v>7</v>
      </c>
      <c r="M19" s="13" t="s">
        <v>28</v>
      </c>
      <c r="N19" s="35" t="s">
        <v>760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83</v>
      </c>
      <c r="D20" s="32" t="s">
        <v>759</v>
      </c>
      <c r="E20" s="33">
        <v>2</v>
      </c>
      <c r="F20" s="36">
        <v>24</v>
      </c>
      <c r="G20" s="36">
        <v>12</v>
      </c>
      <c r="H20" s="38" t="str">
        <f t="shared" si="8"/>
        <v>SCOUTING</v>
      </c>
      <c r="I20" s="34">
        <v>160</v>
      </c>
      <c r="J20" s="13" t="s">
        <v>4</v>
      </c>
      <c r="K20" s="13" t="s">
        <v>62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83</v>
      </c>
      <c r="D21" s="32" t="s">
        <v>761</v>
      </c>
      <c r="E21" s="33">
        <v>2</v>
      </c>
      <c r="F21" s="36">
        <v>33</v>
      </c>
      <c r="G21" s="36">
        <v>17</v>
      </c>
      <c r="H21" s="38" t="str">
        <f t="shared" si="8"/>
        <v>SCOUTING</v>
      </c>
      <c r="I21" s="34">
        <v>225</v>
      </c>
      <c r="J21" s="13" t="s">
        <v>4</v>
      </c>
      <c r="K21" s="13" t="s">
        <v>62</v>
      </c>
      <c r="L21" s="13" t="s">
        <v>6</v>
      </c>
      <c r="M21" s="13" t="s">
        <v>12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25.5" x14ac:dyDescent="0.25">
      <c r="A22" s="20"/>
      <c r="B22" s="31" t="str">
        <f t="shared" si="2"/>
        <v>E2025</v>
      </c>
      <c r="C22" s="31">
        <f t="shared" si="3"/>
        <v>83</v>
      </c>
      <c r="D22" s="32" t="s">
        <v>762</v>
      </c>
      <c r="E22" s="33">
        <v>3</v>
      </c>
      <c r="F22" s="36">
        <v>50</v>
      </c>
      <c r="G22" s="36">
        <v>32</v>
      </c>
      <c r="H22" s="38" t="str">
        <f t="shared" si="8"/>
        <v>SCOUTING</v>
      </c>
      <c r="I22" s="34">
        <v>369</v>
      </c>
      <c r="J22" s="13" t="s">
        <v>3</v>
      </c>
      <c r="K22" s="13" t="s">
        <v>62</v>
      </c>
      <c r="L22" s="13" t="s">
        <v>7</v>
      </c>
      <c r="M22" s="13" t="s">
        <v>23</v>
      </c>
      <c r="N22" s="35" t="s">
        <v>763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E2025</v>
      </c>
      <c r="C23" s="31">
        <f t="shared" si="3"/>
        <v>83</v>
      </c>
      <c r="D23" s="32" t="s">
        <v>764</v>
      </c>
      <c r="E23" s="33">
        <v>3</v>
      </c>
      <c r="F23" s="36">
        <v>51</v>
      </c>
      <c r="G23" s="36">
        <v>32</v>
      </c>
      <c r="H23" s="38" t="str">
        <f t="shared" si="8"/>
        <v>SCOUTING</v>
      </c>
      <c r="I23" s="34">
        <v>376</v>
      </c>
      <c r="J23" s="13" t="s">
        <v>4</v>
      </c>
      <c r="K23" s="13" t="s">
        <v>62</v>
      </c>
      <c r="L23" s="13" t="s">
        <v>7</v>
      </c>
      <c r="M23" s="13" t="s">
        <v>9</v>
      </c>
      <c r="N23" s="35" t="s">
        <v>765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5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E2025</v>
      </c>
      <c r="C24" s="31">
        <f t="shared" si="3"/>
        <v>83</v>
      </c>
      <c r="D24" s="32" t="s">
        <v>766</v>
      </c>
      <c r="E24" s="33">
        <v>3</v>
      </c>
      <c r="F24" s="36">
        <v>55</v>
      </c>
      <c r="G24" s="36">
        <v>33</v>
      </c>
      <c r="H24" s="38" t="str">
        <f t="shared" si="8"/>
        <v>SCOUTING</v>
      </c>
      <c r="I24" s="34">
        <v>399</v>
      </c>
      <c r="J24" s="13" t="s">
        <v>4</v>
      </c>
      <c r="K24" s="13" t="s">
        <v>62</v>
      </c>
      <c r="L24" s="13" t="s">
        <v>6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E2025</v>
      </c>
      <c r="C25" s="31">
        <f t="shared" si="3"/>
        <v>83</v>
      </c>
      <c r="D25" s="32" t="s">
        <v>767</v>
      </c>
      <c r="E25" s="33">
        <v>4</v>
      </c>
      <c r="F25" s="36">
        <v>76</v>
      </c>
      <c r="G25" s="36">
        <v>63</v>
      </c>
      <c r="H25" s="38" t="str">
        <f t="shared" si="8"/>
        <v>SCOUTING</v>
      </c>
      <c r="I25" s="34">
        <v>550</v>
      </c>
      <c r="J25" s="13" t="s">
        <v>4</v>
      </c>
      <c r="K25" s="13" t="s">
        <v>62</v>
      </c>
      <c r="L25" s="13" t="s">
        <v>5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REPORT_E2025083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"E2025083"</v>
      </c>
      <c r="F3" s="45" t="str">
        <f t="shared" ref="F3:F16" si="0">""""&amp;B3&amp;"""" &amp; " : " &amp;C3&amp;","</f>
        <v>"name" : "E2025083",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"E083"</v>
      </c>
      <c r="F4" s="45" t="str">
        <f t="shared" si="0"/>
        <v>"cod" : "E083",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083</v>
      </c>
      <c r="F6" s="45" t="str">
        <f t="shared" si="0"/>
        <v>"number" : 083,</v>
      </c>
    </row>
    <row r="7" spans="2:6" x14ac:dyDescent="0.2">
      <c r="B7" s="43" t="s">
        <v>116</v>
      </c>
      <c r="C7" s="43" t="str">
        <f ca="1">""""&amp;TEXT('SCOUT &amp; LOGISTICS'!B3,"dd/mm/aaaa")&amp;""""</f>
        <v>"06/11/Thursday"</v>
      </c>
      <c r="F7" s="45" t="str">
        <f t="shared" ca="1" si="0"/>
        <v>"date" : "06/11/Thursday",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"MILOS MOSIC"</v>
      </c>
      <c r="F10" s="45" t="str">
        <f t="shared" si="0"/>
        <v>"Data_entry" : "MILOS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"ANA ANDREJIC"</v>
      </c>
      <c r="F12" s="45" t="str">
        <f t="shared" si="0"/>
        <v>"Caller_2" : "ANA ANDREJIC",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"LJUPKA VUKOJEVIC"</v>
      </c>
      <c r="F14" s="45" t="str">
        <f t="shared" si="0"/>
        <v>"Shotclock" : "LJUPKA VUKOJEVIC",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601</v>
      </c>
      <c r="F25" s="45" t="str">
        <f t="shared" ref="F25:F48" si="1">""""&amp;C25&amp;"""" &amp; " : " &amp;D25&amp;","</f>
        <v>"total_actions" : 601,</v>
      </c>
    </row>
    <row r="26" spans="2:6" x14ac:dyDescent="0.2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">
      <c r="C27" s="43" t="s">
        <v>133</v>
      </c>
      <c r="D27" s="43" t="str">
        <f>""""&amp;IF(OR(D25="",D25=0),"",TEXT(D26/D25,"0,0%"))&amp;""""</f>
        <v>"1,5%"</v>
      </c>
      <c r="F27" s="45" t="str">
        <f t="shared" si="1"/>
        <v>"%_corrections" : "1,5%",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5</v>
      </c>
      <c r="F46" s="45" t="str">
        <f t="shared" si="1"/>
        <v>"part_of_a_sequence" : 5,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"Mistakes in identifying players, specially of the same team. Good job in general."</v>
      </c>
      <c r="F51" s="45" t="str">
        <f>""""&amp;B51&amp;"""" &amp; " : " &amp;C51&amp;","</f>
        <v>"comments" : "Mistakes in identifying players, specially of the same team. Good job in general.",</v>
      </c>
    </row>
    <row r="52" spans="2:6" x14ac:dyDescent="0.2">
      <c r="B52" s="43" t="s">
        <v>153</v>
      </c>
      <c r="C52" s="43" t="str">
        <f>TEXT('SCOUT &amp; LOGISTICS'!F1,"0,0")</f>
        <v>09_083_RED_PAN_E2025</v>
      </c>
      <c r="F52" s="45" t="str">
        <f>""""&amp;B52&amp;"""" &amp; " : " &amp;C52</f>
        <v>"result" : 09_083_RED_PAN_E2025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E083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MILOS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ANA ANDREJIC</v>
      </c>
      <c r="M8" s="201"/>
      <c r="N8" s="201"/>
      <c r="O8" s="201"/>
      <c r="P8" s="201"/>
      <c r="Q8" s="201" t="str">
        <f>IF('SCOUT &amp; LOGISTICS'!D9="","",'SCOUT &amp; LOGISTICS'!D9)</f>
        <v>BOJANA KRALJEVIC</v>
      </c>
      <c r="R8" s="201"/>
      <c r="S8" s="201"/>
      <c r="T8" s="201"/>
      <c r="U8" s="201"/>
      <c r="V8" s="201" t="str">
        <f>IF('SCOUT &amp; LOGISTICS'!D10="","",'SCOUT &amp; LOGISTICS'!D10)</f>
        <v>LJUPKA VUKOJEVIC</v>
      </c>
      <c r="W8" s="201"/>
      <c r="X8" s="201"/>
      <c r="Y8" s="201"/>
      <c r="Z8" s="201"/>
      <c r="AA8" s="201" t="str">
        <f>IF('SCOUT &amp; LOGISTICS'!D11="","",'SCOUT &amp; LOGISTICS'!D11)</f>
        <v>JOVANA DOJCINOVIC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1.4975041597337771E-2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8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5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Mistakes in identifying players, specially of the same team. Good job in general.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17.497504159733776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90D588-167C-402A-B09B-549B7AF88521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2025-11-05T21:35:09Z</cp:lastPrinted>
  <dcterms:created xsi:type="dcterms:W3CDTF">2023-09-19T19:50:35Z</dcterms:created>
  <dcterms:modified xsi:type="dcterms:W3CDTF">2025-11-21T21:53:35Z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