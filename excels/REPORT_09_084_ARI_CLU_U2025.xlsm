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116" documentId="8_{B7F73D61-75FF-46B6-B870-70D0A003AF5E}" xr6:coauthVersionLast="47" xr6:coauthVersionMax="47" xr10:uidLastSave="{7C4A79EF-0DE4-45C4-9FB0-D7926AA4887C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<sst xmlns="http://schemas.openxmlformats.org/spreadsheetml/2006/main" count="3387" uniqueCount="843">
  <si>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</si>
  <si>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</si>
  <si>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</si>
  <si>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</si>
  <si>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</si>
  <si>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</si>
  <si>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</si>
  <si>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</si>
  <si>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</si>
  <si>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</si>
  <si>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</si>
  <si>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</si>
  <si>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</si>
  <si>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</si>
  <si>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</si>
  <si>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</si>
  <si>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</si>
  <si>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</si>
  <si>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</si>
  <si>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</si>
  <si>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</si>
  <si>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</si>
  <si>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</si>
  <si>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</si>
  <si>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</si>
  <si>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</si>
  <si>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</si>
  <si>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</si>
  <si>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</si>
  <si>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</si>
  <si>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</si>
  <si>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</si>
  <si>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</si>
  <si>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</si>
  <si>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</si>
  <si>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</si>
  <si>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</si>
  <si>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</si>
  <si>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</si>
  <si>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</si>
  <si>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</si>
  <si>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</si>
  <si>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</si>
  <si>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</si>
  <si>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</si>
  <si>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</si>
  <si>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</si>
  <si>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</si>
  <si>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</si>
  <si>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</si>
  <si>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</si>
  <si>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</si>
  <si>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</si>
  <si>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</si>
  <si>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</si>
  <si>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</si>
  <si>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</si>
  <si>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</si>
  <si>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</si>
  <si>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</si>
  <si>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</si>
  <si>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</si>
  <si>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</si>
  <si>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</si>
  <si>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</si>
  <si>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</si>
  <si>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</si>
  <si>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</si>
  <si>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</si>
  <si>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</si>
  <si>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</si>
  <si>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</si>
  <si>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</si>
  <si>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</si>
  <si>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</si>
  <si>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</si>
  <si>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</si>
  <si>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</si>
  <si>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</si>
  <si>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</si>
  <si>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</si>
  <si>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</si>
  <si>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</si>
  <si>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</si>
  <si>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</si>
  <si>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</si>
  <si>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</si>
  <si>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</si>
  <si>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</si>
  <si>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</si>
  <si>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</si>
  <si>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</si>
  <si>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</si>
  <si>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</si>
  <si>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</si>
  <si>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</si>
  <si>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</si>
  <si>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</si>
  <si>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</si>
  <si>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</si>
  <si>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</si>
  <si>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</si>
  <si>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</si>
  <si>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</si>
  <si>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</si>
  <si>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</si>
  <si>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</si>
  <si>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</si>
  <si>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</si>
  <si>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</si>
  <si>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</si>
  <si>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</si>
  <si>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</si>
  <si>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</si>
  <si>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</si>
  <si>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</si>
  <si>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</si>
  <si>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</si>
  <si>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</si>
  <si>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</si>
  <si>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</si>
  <si>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</si>
  <si>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</si>
  <si>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</si>
  <si>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</si>
  <si>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</si>
  <si>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</si>
  <si>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</si>
  <si>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</si>
  <si>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</si>
  <si>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</si>
  <si>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</si>
  <si>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</si>
  <si>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</si>
  <si>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</si>
  <si>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</si>
  <si>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</si>
  <si>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</si>
  <si>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</si>
  <si>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</si>
  <si>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</si>
  <si>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</si>
  <si>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</si>
  <si>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</si>
  <si>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</si>
  <si>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</si>
  <si>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</si>
  <si>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</si>
  <si>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</si>
  <si>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</si>
  <si>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</si>
  <si>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</si>
  <si>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</si>
  <si>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</si>
  <si>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</si>
  <si>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</si>
  <si>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</si>
  <si>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</si>
  <si>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</si>
  <si>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</si>
  <si>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</si>
  <si>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</si>
  <si>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</si>
  <si>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</si>
  <si>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</si>
  <si>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</si>
  <si>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</si>
  <si>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</si>
  <si>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</si>
  <si>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</si>
  <si>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</si>
  <si>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</si>
  <si>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</si>
  <si>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</si>
  <si>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</si>
  <si>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</si>
  <si>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</si>
  <si>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</si>
  <si>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</si>
  <si>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</si>
  <si>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</si>
  <si>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</si>
  <si>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</si>
  <si>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</si>
  <si>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</si>
  <si>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</si>
  <si>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</si>
  <si>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</si>
  <si>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</si>
  <si>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</si>
  <si>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</si>
  <si>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</si>
  <si>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</si>
  <si>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</si>
  <si>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</si>
  <si>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</si>
  <si>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</si>
  <si>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</si>
  <si>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</si>
  <si>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</si>
  <si>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</si>
  <si>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</si>
  <si>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</si>
  <si>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</si>
  <si>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</si>
  <si>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</si>
  <si>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</si>
  <si>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</si>
  <si>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</si>
  <si>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</si>
  <si>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</si>
  <si>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</si>
  <si>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</si>
  <si>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</si>
  <si>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</si>
  <si>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</si>
  <si>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</si>
  <si>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</si>
  <si>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</si>
  <si>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</si>
  <si>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</si>
  <si>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</si>
  <si>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</si>
  <si>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</si>
  <si>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</si>
  <si>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</si>
  <si>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</si>
  <si>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</si>
  <si>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</si>
  <si>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</si>
  <si>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</si>
  <si>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</si>
  <si>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</si>
  <si>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</si>
  <si>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</si>
  <si>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</si>
  <si>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</si>
  <si>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</si>
  <si>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</si>
  <si>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</si>
  <si>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</si>
  <si>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</si>
  <si>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</si>
  <si>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</si>
  <si>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</si>
  <si>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</si>
  <si>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</si>
  <si>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</si>
  <si>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</si>
  <si>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</si>
  <si>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</si>
  <si>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</si>
  <si>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</si>
  <si>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</si>
  <si>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</si>
  <si>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</si>
  <si>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</si>
  <si>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</si>
  <si>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</si>
  <si>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</si>
  <si>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</si>
  <si>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</si>
  <si>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</si>
  <si>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</si>
  <si>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</si>
  <si>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</si>
  <si>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</si>
  <si>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</si>
  <si>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</si>
  <si>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</si>
  <si>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</si>
  <si>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</si>
  <si>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</si>
  <si>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</si>
  <si>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</si>
  <si>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</si>
  <si>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</si>
  <si>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</si>
  <si>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</si>
  <si>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</si>
  <si>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</si>
  <si>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</si>
  <si>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</si>
  <si>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</si>
  <si>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</si>
  <si>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</si>
  <si>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</si>
  <si>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</si>
  <si>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</si>
  <si>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</si>
  <si>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</si>
  <si>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</si>
  <si>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</si>
  <si>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</si>
  <si>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</si>
  <si>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</si>
  <si>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</si>
  <si>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</si>
  <si>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</si>
  <si>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</si>
  <si>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</si>
  <si>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</si>
  <si>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</si>
  <si>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</si>
  <si>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</si>
  <si>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</si>
  <si>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</si>
  <si>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</si>
  <si>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</si>
  <si>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</si>
  <si>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</si>
  <si>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</si>
  <si>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</si>
  <si>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</si>
  <si>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</si>
  <si>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</si>
  <si>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</si>
  <si>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</si>
  <si>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</si>
  <si>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</si>
  <si>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</si>
  <si>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</si>
  <si>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</si>
  <si>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</si>
  <si>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</si>
  <si>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</si>
  <si>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</si>
  <si>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</si>
  <si>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</si>
  <si>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</si>
  <si>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</si>
  <si>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</si>
  <si>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</si>
  <si>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</si>
  <si>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</si>
  <si>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</si>
  <si>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</si>
  <si>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</si>
  <si>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</si>
  <si>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</si>
  <si>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</si>
  <si>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</si>
  <si>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</si>
  <si>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</si>
  <si>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</si>
  <si>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</si>
  <si>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</si>
  <si>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</si>
  <si>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</si>
  <si>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</si>
  <si>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</si>
  <si>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</si>
  <si>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</si>
  <si>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</si>
  <si>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</si>
  <si>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</si>
  <si>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</si>
  <si>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</si>
  <si>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</si>
  <si>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</si>
  <si>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</si>
  <si>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</si>
  <si>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</si>
  <si>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</si>
  <si>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</si>
  <si>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</si>
  <si>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</si>
  <si>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</si>
  <si>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</si>
  <si>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</si>
  <si>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</si>
  <si>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</si>
  <si>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</si>
  <si>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</si>
  <si>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</si>
  <si>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</si>
  <si>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</si>
  <si>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</si>
  <si>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</si>
  <si>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</si>
  <si>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</si>
  <si>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</si>
  <si>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</si>
  <si>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</si>
  <si>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</si>
  <si>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</si>
  <si>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</si>
  <si>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</si>
  <si>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</si>
  <si>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</si>
  <si>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</si>
  <si>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</si>
  <si>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</si>
  <si>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</si>
  <si>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</si>
  <si>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</si>
  <si>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</si>
  <si>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</si>
  <si>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</si>
  <si>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</si>
  <si>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</si>
  <si>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</si>
  <si>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</si>
  <si>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</si>
  <si>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</si>
  <si>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</si>
  <si>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</si>
  <si>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</si>
  <si>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</si>
  <si>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</si>
  <si>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</si>
  <si>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</si>
  <si>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</si>
  <si>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</si>
  <si>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</si>
  <si>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</si>
  <si>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</si>
  <si>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</si>
  <si>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</si>
  <si>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</si>
  <si>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</si>
  <si>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</si>
  <si>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</si>
  <si>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</si>
  <si>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</si>
  <si>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</si>
  <si>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</si>
  <si>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</si>
  <si>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</si>
  <si>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</si>
  <si>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</si>
  <si>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</si>
  <si>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</si>
  <si>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</si>
  <si>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</si>
  <si>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</si>
  <si>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</si>
  <si>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</si>
  <si>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</si>
  <si>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</si>
  <si>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</si>
  <si>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</si>
  <si>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</si>
  <si>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</si>
  <si>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</si>
  <si>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</si>
  <si>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</si>
  <si>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</si>
  <si>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</si>
  <si>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</si>
  <si>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</si>
  <si>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</si>
  <si>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</si>
  <si>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</si>
  <si>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</si>
  <si>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</si>
  <si>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</si>
  <si>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</si>
  <si>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</si>
  <si>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</si>
  <si>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</si>
  <si>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</si>
  <si>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</si>
  <si>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</si>
  <si>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</si>
  <si>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</si>
  <si>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</si>
  <si>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</si>
  <si>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</si>
  <si>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</si>
  <si>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</si>
  <si>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</si>
  <si>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</si>
  <si>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</si>
  <si>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</si>
  <si>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</si>
  <si>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</si>
  <si>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</si>
  <si>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</si>
  <si>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</si>
  <si>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</si>
  <si>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</si>
  <si>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</si>
  <si>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</si>
  <si>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</si>
  <si>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</si>
  <si>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</si>
  <si>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</si>
  <si>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</si>
  <si>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</si>
  <si>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</si>
  <si>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</si>
  <si>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</si>
  <si>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</si>
  <si>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</si>
  <si>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</si>
  <si>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</si>
  <si>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</si>
  <si>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</si>
  <si>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</si>
  <si>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</si>
  <si>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</si>
  <si>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</si>
  <si>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</si>
  <si>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</si>
  <si>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</si>
  <si>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</si>
  <si>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</si>
  <si>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</si>
  <si>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</si>
  <si>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</si>
  <si>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</si>
  <si>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</si>
  <si>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</si>
  <si>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</si>
  <si>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</si>
  <si>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</si>
  <si>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</si>
  <si>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</si>
  <si>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</si>
  <si>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</si>
  <si>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</si>
  <si>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</si>
  <si>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</si>
  <si>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</si>
  <si>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</si>
  <si>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</si>
  <si>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</si>
  <si>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</si>
  <si>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</si>
  <si>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</si>
  <si>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</si>
  <si>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</si>
  <si>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</si>
  <si>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</si>
  <si>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</si>
  <si>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</si>
  <si>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</si>
  <si>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</si>
  <si>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</si>
  <si>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</si>
  <si>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</si>
  <si>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</si>
  <si>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</si>
  <si>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</si>
  <si>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</si>
  <si>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</si>
  <si>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</si>
  <si>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</si>
  <si>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</si>
  <si>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</si>
  <si>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</si>
  <si>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</si>
  <si>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</si>
  <si>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</si>
  <si>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</si>
  <si>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</si>
  <si>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</si>
  <si>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</si>
  <si>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</si>
  <si>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</si>
  <si>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</si>
  <si>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</si>
  <si>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</si>
  <si>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</si>
  <si>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</si>
  <si>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</si>
  <si>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</si>
  <si>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</si>
  <si>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</si>
  <si>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</si>
  <si>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</si>
  <si>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</si>
  <si>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</si>
  <si>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</si>
  <si>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</si>
  <si>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</si>
  <si>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</si>
  <si>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</si>
  <si>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</si>
  <si>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</si>
  <si>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</si>
  <si>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</si>
  <si>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</si>
  <si>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</si>
  <si>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</si>
  <si>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</si>
  <si>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</si>
  <si>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</si>
  <si>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</si>
  <si>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</si>
  <si>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</si>
  <si>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</si>
  <si>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</si>
  <si>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</si>
  <si>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</si>
  <si>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</si>
  <si>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</si>
  <si>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</si>
  <si>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</si>
  <si>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</si>
  <si>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</si>
  <si>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</si>
  <si>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</si>
  <si>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</si>
  <si>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</si>
  <si>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</si>
  <si>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</si>
  <si>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</si>
  <si>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</si>
  <si>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</si>
  <si>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</si>
  <si>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</si>
  <si>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</si>
  <si>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</si>
  <si>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</si>
  <si>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</si>
  <si>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</si>
  <si>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</si>
  <si>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</si>
  <si>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</si>
  <si>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</si>
  <si>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</si>
  <si>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</si>
  <si>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</si>
  <si>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</si>
  <si>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</si>
  <si>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</si>
  <si>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</si>
  <si>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</si>
  <si>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</si>
  <si>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</si>
  <si>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</si>
  <si>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</si>
  <si>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</si>
  <si>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</si>
  <si>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</si>
  <si>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</si>
  <si>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</si>
  <si>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</si>
  <si>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</si>
  <si>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</si>
  <si>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</si>
  <si>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</si>
  <si>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</si>
  <si>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</si>
  <si>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</si>
  <si>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</si>
  <si>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</si>
  <si>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</si>
  <si>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</si>
  <si>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</si>
  <si>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</si>
  <si>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</si>
  <si>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</si>
  <si>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</si>
  <si>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</si>
  <si>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</si>
  <si>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</si>
  <si>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</si>
  <si>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</si>
  <si>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</si>
  <si>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</si>
  <si>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</si>
  <si>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</si>
  <si>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</si>
  <si>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</si>
  <si>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</si>
  <si>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</si>
  <si>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</si>
  <si>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</si>
  <si>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</si>
  <si>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</si>
  <si>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</si>
  <si>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</si>
  <si>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</si>
  <si>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</si>
  <si>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</si>
  <si>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</si>
  <si>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</si>
  <si>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</si>
  <si>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</si>
  <si>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</si>
  <si>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</si>
  <si>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</si>
  <si>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</si>
  <si>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</si>
  <si>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</si>
  <si>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</si>
  <si>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</si>
  <si>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</si>
  <si>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</si>
  <si>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</si>
  <si>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</si>
  <si>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</si>
  <si>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</si>
  <si>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</si>
  <si>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</si>
  <si>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</si>
  <si>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</si>
  <si>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</si>
  <si>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</si>
  <si>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</si>
  <si>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</si>
  <si>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</si>
  <si>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</si>
  <si>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</si>
  <si>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</si>
  <si>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</si>
  <si>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</si>
  <si>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</si>
  <si>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</si>
  <si>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</si>
  <si>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</si>
  <si>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</si>
  <si>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</si>
  <si>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</si>
  <si>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</si>
  <si>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</si>
  <si>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</si>
  <si>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</si>
  <si>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</si>
  <si>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</si>
  <si>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</si>
  <si>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</si>
  <si>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</si>
  <si>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</si>
  <si>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</si>
  <si>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</si>
  <si>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</si>
  <si>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</si>
  <si>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</si>
  <si>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</si>
  <si>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</si>
  <si>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</si>
  <si>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</si>
  <si>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</si>
  <si>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</si>
  <si>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</si>
  <si>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</si>
  <si>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</si>
  <si>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</si>
  <si>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</si>
  <si>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</si>
  <si>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</si>
  <si>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</si>
  <si>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</si>
  <si>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</si>
  <si>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</si>
  <si>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</si>
  <si>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</si>
  <si>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</si>
  <si>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</si>
  <si>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</si>
  <si>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</si>
  <si>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</si>
  <si>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</si>
  <si>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</si>
  <si>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</si>
  <si>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</si>
  <si>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</si>
  <si>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</si>
  <si>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</si>
  <si>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</si>
  <si>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</si>
  <si>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</si>
  <si>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</si>
  <si>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</si>
  <si>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</si>
  <si>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</si>
  <si>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</si>
  <si>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</si>
  <si>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</si>
  <si>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</si>
  <si>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</si>
  <si>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</si>
  <si>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</si>
  <si>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</si>
  <si>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</si>
  <si>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</si>
  <si>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</si>
  <si>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</si>
  <si>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</si>
  <si>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</si>
  <si>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</si>
  <si>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</si>
  <si>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</si>
  <si>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</si>
  <si>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</si>
  <si>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</si>
  <si>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</si>
  <si>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</si>
  <si>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</si>
  <si>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</si>
  <si>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</si>
  <si>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</si>
  <si>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</si>
  <si>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</si>
  <si>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</si>
  <si>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</si>
  <si>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</si>
  <si>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</si>
  <si>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</si>
  <si>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</si>
  <si>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</si>
  <si>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</si>
  <si>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</si>
  <si>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</si>
  <si>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</si>
  <si>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</si>
  <si>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</si>
  <si>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</si>
  <si>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</si>
  <si>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</si>
  <si>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</si>
  <si>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</si>
  <si>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</si>
  <si>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</si>
  <si>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</si>
  <si>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</si>
  <si>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</si>
  <si>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</si>
  <si>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</si>
  <si>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</si>
  <si>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</si>
  <si>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C:\Users\eloi.verge\OneDrive - EUROLEAGUE\Desktop\GAME REPORTS\25-26</t>
  </si>
  <si>
    <t>IOANNIS TRIANTAFYLLOU</t>
  </si>
  <si>
    <t>ELISAVET SAMARA</t>
  </si>
  <si>
    <t>VASILEIOS VOTSARIS</t>
  </si>
  <si>
    <t>TRIANTAFYLLIA KOSTOPOULOU</t>
  </si>
  <si>
    <t>RAMPANTI IAKOVOS</t>
  </si>
  <si>
    <t>ELOI VERGÉ</t>
  </si>
  <si>
    <t>05:35</t>
  </si>
  <si>
    <t>04:39</t>
  </si>
  <si>
    <t>00:01</t>
  </si>
  <si>
    <t>05:58</t>
  </si>
  <si>
    <t>02:19</t>
  </si>
  <si>
    <t>04:05</t>
  </si>
  <si>
    <t>03:56</t>
  </si>
  <si>
    <t>06:48</t>
  </si>
  <si>
    <t>03:44</t>
  </si>
  <si>
    <t>02:12</t>
  </si>
  <si>
    <t>I have the feeling that your focus on the game could have been higher as most of the corrections were (apparently) because of that: obviously the scoresheet corrections, but also some of the missidentity and timing corrections. I am 100% sure that just by improving the focus during all the game, the overall performance will be much much better.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</si>
</sst>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M4" sqref="M4:N6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09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09_084_ARI_CLU_U2025</v>
      </c>
      <c r="G1" s="5"/>
      <c r="H1" s="5"/>
      <c r="I1" s="5"/>
      <c r="J1" s="8" t="s">
        <v>707</v>
      </c>
      <c r="K1" s="121" t="s">
        <v>825</v>
      </c>
      <c r="L1" s="121"/>
      <c r="M1" s="122" t="s">
        <v>239</v>
      </c>
      <c r="N1" s="121" t="s">
        <v>825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84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45995.833333333336</v>
      </c>
      <c r="C3" s="178"/>
      <c r="D3" s="39">
        <v>615</v>
      </c>
      <c r="E3" s="29"/>
      <c r="F3" s="26">
        <f>SUBTOTAL(3,I17:I106)</f>
        <v>11</v>
      </c>
      <c r="G3" s="27">
        <f>IF(OR(D3="",D3=0),"",F3/D3)</f>
        <v>1.7886178861788619E-2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Aris Thessaloniki Betsson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ARI</v>
      </c>
      <c r="I4" s="5"/>
      <c r="J4" s="119" t="s">
        <v>714</v>
      </c>
      <c r="K4" s="54" t="s">
        <v>742</v>
      </c>
      <c r="L4" s="5"/>
      <c r="M4" s="185" t="s">
        <v>842</v>
      </c>
      <c r="N4" s="186"/>
      <c r="O4" s="2"/>
      <c r="P4" s="2"/>
      <c r="Q4" s="84" t="s">
        <v>175</v>
      </c>
      <c r="R4" s="94">
        <f>(IF(G3="",0,G3))</f>
        <v>1.7886178861788619E-2</v>
      </c>
      <c r="S4" s="61">
        <f>SUM(I13:M13)</f>
        <v>0</v>
      </c>
      <c r="T4" s="78"/>
      <c r="U4" s="61">
        <f>AC18</f>
        <v>1</v>
      </c>
      <c r="V4" s="61">
        <f>+AC22</f>
        <v>4</v>
      </c>
      <c r="W4" s="61">
        <f>AC24</f>
        <v>0</v>
      </c>
      <c r="X4" s="61">
        <f>AC29</f>
        <v>2</v>
      </c>
      <c r="Y4" s="61">
        <f>AC25</f>
        <v>0</v>
      </c>
      <c r="Z4" s="84">
        <f>AC23</f>
        <v>2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1</v>
      </c>
      <c r="AF4" s="61">
        <f>AC19</f>
        <v>1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U-BT Cluj-Napoca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CLU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1.788617886178862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4</v>
      </c>
      <c r="W5" s="70">
        <f t="shared" si="1"/>
        <v>0</v>
      </c>
      <c r="X5" s="70">
        <f t="shared" si="1"/>
        <v>2</v>
      </c>
      <c r="Y5" s="70">
        <f t="shared" si="1"/>
        <v>0</v>
      </c>
      <c r="Z5" s="89">
        <f t="shared" si="1"/>
        <v>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10</v>
      </c>
      <c r="AF5" s="70">
        <f t="shared" si="1"/>
        <v>15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826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827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38.288617886178862</v>
      </c>
      <c r="N7" s="58"/>
      <c r="O7" s="2"/>
      <c r="P7" s="2"/>
      <c r="Q7" s="86">
        <f>SUM(R5,S5,AC16)</f>
        <v>38.288617886178862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828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38.288617886178862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829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830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84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831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11</v>
      </c>
      <c r="J15" s="24">
        <f>SUBTOTAL(3,J17:J106)</f>
        <v>11</v>
      </c>
      <c r="K15" s="24">
        <f>SUBTOTAL(3,K17:K106)</f>
        <v>11</v>
      </c>
      <c r="L15" s="24">
        <f>SUBTOTAL(3,L17:L106)</f>
        <v>11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2</v>
      </c>
      <c r="X16" s="67" t="s">
        <v>58</v>
      </c>
      <c r="Y16" s="75">
        <f>SUM(Y17:Y24)</f>
        <v>11</v>
      </c>
      <c r="Z16" s="90" t="s">
        <v>110</v>
      </c>
      <c r="AA16" s="75">
        <f>SUM(AA17:AA24)</f>
        <v>11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36.5</v>
      </c>
      <c r="AD16" s="75">
        <f>SUM(AD17:AD24)</f>
        <v>45</v>
      </c>
      <c r="AE16" s="76" t="s">
        <v>42</v>
      </c>
      <c r="AF16" s="75">
        <f>SUM(AF17:AF24)</f>
        <v>5</v>
      </c>
      <c r="AG16" s="75">
        <f>SUM(AG17:AG21)</f>
        <v>11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84</v>
      </c>
      <c r="D17" s="32" t="s">
        <v>832</v>
      </c>
      <c r="E17" s="33">
        <v>1</v>
      </c>
      <c r="F17" s="36">
        <v>14</v>
      </c>
      <c r="G17" s="36">
        <v>10</v>
      </c>
      <c r="H17" s="38" t="str">
        <f>IF(I17="","",$I$14)</f>
        <v>SCOUTING</v>
      </c>
      <c r="I17" s="34">
        <v>60</v>
      </c>
      <c r="J17" s="13" t="s">
        <v>3</v>
      </c>
      <c r="K17" s="13" t="s">
        <v>63</v>
      </c>
      <c r="L17" s="13" t="s">
        <v>76</v>
      </c>
      <c r="M17" s="13" t="s">
        <v>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9</v>
      </c>
      <c r="Z17" s="105" t="s">
        <v>63</v>
      </c>
      <c r="AA17" s="62">
        <f>COUNTIF($K$17:$K$106,Z17)</f>
        <v>5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4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84</v>
      </c>
      <c r="D18" s="32" t="s">
        <v>832</v>
      </c>
      <c r="E18" s="33">
        <v>1</v>
      </c>
      <c r="F18" s="36">
        <v>14</v>
      </c>
      <c r="G18" s="36">
        <v>10</v>
      </c>
      <c r="H18" s="38" t="str">
        <f t="shared" ref="H18:H81" si="8">IF(I18="","",$I$14)</f>
        <v>SCOUTING</v>
      </c>
      <c r="I18" s="34">
        <v>61</v>
      </c>
      <c r="J18" s="13" t="s">
        <v>4</v>
      </c>
      <c r="K18" s="13" t="s">
        <v>62</v>
      </c>
      <c r="L18" s="13" t="s">
        <v>6</v>
      </c>
      <c r="M18" s="13" t="s">
        <v>22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2</v>
      </c>
      <c r="Z18" s="105" t="s">
        <v>62</v>
      </c>
      <c r="AA18" s="62">
        <f>COUNTIF($K$17:$K$106,Z18)</f>
        <v>5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84</v>
      </c>
      <c r="D19" s="32" t="s">
        <v>833</v>
      </c>
      <c r="E19" s="33">
        <v>1</v>
      </c>
      <c r="F19" s="36">
        <v>16</v>
      </c>
      <c r="G19" s="36">
        <v>12</v>
      </c>
      <c r="H19" s="38" t="str">
        <f t="shared" si="8"/>
        <v>SCOUTING</v>
      </c>
      <c r="I19" s="34">
        <v>72</v>
      </c>
      <c r="J19" s="13" t="s">
        <v>4</v>
      </c>
      <c r="K19" s="13" t="s">
        <v>62</v>
      </c>
      <c r="L19" s="13" t="s">
        <v>75</v>
      </c>
      <c r="M19" s="13" t="s">
        <v>78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2</v>
      </c>
      <c r="W19" s="75"/>
      <c r="X19" s="82"/>
      <c r="Y19" s="83"/>
      <c r="Z19" s="105" t="s">
        <v>61</v>
      </c>
      <c r="AA19" s="62">
        <f>COUNTIF($K$17:$K$106,Z19)</f>
        <v>1</v>
      </c>
      <c r="AB19" s="66" t="s">
        <v>76</v>
      </c>
      <c r="AC19" s="61">
        <f t="shared" si="5"/>
        <v>1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84</v>
      </c>
      <c r="D20" s="32" t="s">
        <v>834</v>
      </c>
      <c r="E20" s="33">
        <v>1</v>
      </c>
      <c r="F20" s="36">
        <v>21</v>
      </c>
      <c r="G20" s="36">
        <v>17</v>
      </c>
      <c r="H20" s="38" t="str">
        <f t="shared" si="8"/>
        <v>SCOUTING</v>
      </c>
      <c r="I20" s="34">
        <v>127</v>
      </c>
      <c r="J20" s="13" t="s">
        <v>4</v>
      </c>
      <c r="K20" s="13" t="s">
        <v>62</v>
      </c>
      <c r="L20" s="13" t="s">
        <v>6</v>
      </c>
      <c r="M20" s="13" t="s">
        <v>10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3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84</v>
      </c>
      <c r="D21" s="32" t="s">
        <v>835</v>
      </c>
      <c r="E21" s="33">
        <v>2</v>
      </c>
      <c r="F21" s="36">
        <v>32</v>
      </c>
      <c r="G21" s="36">
        <v>24</v>
      </c>
      <c r="H21" s="38" t="str">
        <f t="shared" si="8"/>
        <v>SCOUTING</v>
      </c>
      <c r="I21" s="34">
        <v>185</v>
      </c>
      <c r="J21" s="13" t="s">
        <v>4</v>
      </c>
      <c r="K21" s="13" t="s">
        <v>63</v>
      </c>
      <c r="L21" s="13" t="s">
        <v>75</v>
      </c>
      <c r="M21" s="13" t="s">
        <v>8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U2025</v>
      </c>
      <c r="C22" s="31">
        <f t="shared" si="3"/>
        <v>84</v>
      </c>
      <c r="D22" s="32" t="s">
        <v>836</v>
      </c>
      <c r="E22" s="33">
        <v>2</v>
      </c>
      <c r="F22" s="36">
        <v>37</v>
      </c>
      <c r="G22" s="36">
        <v>30</v>
      </c>
      <c r="H22" s="38" t="str">
        <f t="shared" si="8"/>
        <v>SCOUTING</v>
      </c>
      <c r="I22" s="34">
        <v>226</v>
      </c>
      <c r="J22" s="13" t="s">
        <v>4</v>
      </c>
      <c r="K22" s="13" t="s">
        <v>63</v>
      </c>
      <c r="L22" s="13" t="s">
        <v>6</v>
      </c>
      <c r="M22" s="13" t="s">
        <v>168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4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U2025</v>
      </c>
      <c r="C23" s="31">
        <f t="shared" si="3"/>
        <v>84</v>
      </c>
      <c r="D23" s="32" t="s">
        <v>837</v>
      </c>
      <c r="E23" s="33">
        <v>3</v>
      </c>
      <c r="F23" s="36">
        <v>54</v>
      </c>
      <c r="G23" s="36">
        <v>49</v>
      </c>
      <c r="H23" s="38" t="str">
        <f t="shared" si="8"/>
        <v>SCOUTING</v>
      </c>
      <c r="I23" s="34">
        <v>357</v>
      </c>
      <c r="J23" s="13" t="s">
        <v>4</v>
      </c>
      <c r="K23" s="13" t="s">
        <v>63</v>
      </c>
      <c r="L23" s="13" t="s">
        <v>7</v>
      </c>
      <c r="M23" s="13" t="s">
        <v>12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2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U2025</v>
      </c>
      <c r="C24" s="31">
        <f t="shared" si="3"/>
        <v>84</v>
      </c>
      <c r="D24" s="32" t="s">
        <v>838</v>
      </c>
      <c r="E24" s="33">
        <v>3</v>
      </c>
      <c r="F24" s="36">
        <v>54</v>
      </c>
      <c r="G24" s="36">
        <v>49</v>
      </c>
      <c r="H24" s="38" t="str">
        <f t="shared" si="8"/>
        <v>SCOUTING</v>
      </c>
      <c r="I24" s="34">
        <v>364</v>
      </c>
      <c r="J24" s="13" t="s">
        <v>4</v>
      </c>
      <c r="K24" s="13" t="s">
        <v>62</v>
      </c>
      <c r="L24" s="13" t="s">
        <v>6</v>
      </c>
      <c r="M24" s="13" t="s">
        <v>22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2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U2025</v>
      </c>
      <c r="C25" s="31">
        <f t="shared" si="3"/>
        <v>84</v>
      </c>
      <c r="D25" s="32" t="s">
        <v>839</v>
      </c>
      <c r="E25" s="33">
        <v>4</v>
      </c>
      <c r="F25" s="36">
        <v>66</v>
      </c>
      <c r="G25" s="36">
        <v>71</v>
      </c>
      <c r="H25" s="38" t="str">
        <f t="shared" si="8"/>
        <v>SCOUTING</v>
      </c>
      <c r="I25" s="34">
        <v>501</v>
      </c>
      <c r="J25" s="13" t="s">
        <v>4</v>
      </c>
      <c r="K25" s="13" t="s">
        <v>61</v>
      </c>
      <c r="L25" s="13" t="s">
        <v>7</v>
      </c>
      <c r="M25" s="13" t="s">
        <v>38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2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>U2025</v>
      </c>
      <c r="C26" s="31">
        <f t="shared" si="3"/>
        <v>84</v>
      </c>
      <c r="D26" s="32" t="s">
        <v>840</v>
      </c>
      <c r="E26" s="33">
        <v>4</v>
      </c>
      <c r="F26" s="36">
        <v>74</v>
      </c>
      <c r="G26" s="36">
        <v>81</v>
      </c>
      <c r="H26" s="38" t="str">
        <f t="shared" si="8"/>
        <v>SCOUTING</v>
      </c>
      <c r="I26" s="34">
        <v>536</v>
      </c>
      <c r="J26" s="13" t="s">
        <v>4</v>
      </c>
      <c r="K26" s="13" t="s">
        <v>63</v>
      </c>
      <c r="L26" s="13" t="s">
        <v>5</v>
      </c>
      <c r="M26" s="13" t="s">
        <v>11</v>
      </c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>U2025</v>
      </c>
      <c r="C27" s="31">
        <f t="shared" si="3"/>
        <v>84</v>
      </c>
      <c r="D27" s="32" t="s">
        <v>841</v>
      </c>
      <c r="E27" s="33">
        <v>4</v>
      </c>
      <c r="F27" s="36">
        <v>77</v>
      </c>
      <c r="G27" s="36">
        <v>81</v>
      </c>
      <c r="H27" s="38" t="str">
        <f t="shared" si="8"/>
        <v>SCOUTING</v>
      </c>
      <c r="I27" s="34">
        <v>560</v>
      </c>
      <c r="J27" s="13" t="s">
        <v>3</v>
      </c>
      <c r="K27" s="13" t="s">
        <v>62</v>
      </c>
      <c r="L27" s="13" t="s">
        <v>36</v>
      </c>
      <c r="M27" s="13" t="s">
        <v>36</v>
      </c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1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2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1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1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1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REPORT_U2025084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"U2025084"</v>
      </c>
      <c r="F3" s="45" t="str">
        <f t="shared" ref="F3:F16" si="0">""""&amp;B3&amp;"""" &amp; " : " &amp;C3&amp;","</f>
        <v>"name" : "U2025084",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"U084"</v>
      </c>
      <c r="F4" s="45" t="str">
        <f t="shared" si="0"/>
        <v>"cod" : "U084",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084</v>
      </c>
      <c r="F6" s="45" t="str">
        <f t="shared" si="0"/>
        <v>"number" : 084,</v>
      </c>
    </row>
    <row r="7" spans="2:6" x14ac:dyDescent="0.25">
      <c r="B7" s="43" t="s">
        <v>116</v>
      </c>
      <c r="C7" s="43" t="str">
        <f ca="1">""""&amp;TEXT('SCOUT &amp; LOGISTICS'!B3,"dd/mm/aaaa")&amp;""""</f>
        <v>"04/12/2025"</v>
      </c>
      <c r="F7" s="45" t="str">
        <f t="shared" ca="1" si="0"/>
        <v>"date" : "04/12/2025",</v>
      </c>
    </row>
    <row r="8" spans="2:6" x14ac:dyDescent="0.25">
      <c r="B8" s="43" t="s">
        <v>125</v>
      </c>
      <c r="C8" s="43" t="str">
        <f>""""&amp;'SCOUT &amp; LOGISTICS'!D4 &amp;""""</f>
        <v>"Aris Thessaloniki Betsson"</v>
      </c>
      <c r="F8" s="45" t="str">
        <f t="shared" si="0"/>
        <v>"home_team" : "Aris Thessaloniki Betsson",</v>
      </c>
    </row>
    <row r="9" spans="2:6" x14ac:dyDescent="0.25">
      <c r="B9" s="43" t="s">
        <v>126</v>
      </c>
      <c r="C9" s="43" t="str">
        <f>""""&amp;'SCOUT &amp; LOGISTICS'!D5&amp;""""</f>
        <v>"U-BT Cluj-Napoca"</v>
      </c>
      <c r="F9" s="45" t="str">
        <f t="shared" si="0"/>
        <v>"away_team" : "U-BT Cluj-Napoca",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"IOANNIS TRIANTAFYLLOU"</v>
      </c>
      <c r="F10" s="45" t="str">
        <f t="shared" si="0"/>
        <v>"Data_entry" : "IOANNIS TRIANTAFYLLOU",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"ELISAVET SAMARA"</v>
      </c>
      <c r="F11" s="45" t="str">
        <f t="shared" si="0"/>
        <v>"Caller_1" : "ELISAVET SAMARA",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"VASILEIOS VOTSARIS"</v>
      </c>
      <c r="F12" s="45" t="str">
        <f t="shared" si="0"/>
        <v>"Caller_2" : "VASILEIOS VOTSARIS",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"TRIANTAFYLLIA KOSTOPOULOU"</v>
      </c>
      <c r="F13" s="45" t="str">
        <f t="shared" si="0"/>
        <v>"Timerkeeper" : "TRIANTAFYLLIA KOSTOPOULOU",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"RAMPANTI IAKOVOS"</v>
      </c>
      <c r="F14" s="45" t="str">
        <f t="shared" si="0"/>
        <v>"Shotclock" : "RAMPANTI IAKOVOS",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VERGÉ"</v>
      </c>
      <c r="F16" s="45" t="str">
        <f t="shared" si="0"/>
        <v>"Live_Game_Manager" : "ELOI VERGÉ",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615</v>
      </c>
      <c r="F25" s="45" t="str">
        <f t="shared" ref="F25:F48" si="1">""""&amp;C25&amp;"""" &amp; " : " &amp;D25&amp;","</f>
        <v>"total_actions" : 615,</v>
      </c>
    </row>
    <row r="26" spans="2:6" x14ac:dyDescent="0.25">
      <c r="C26" s="43" t="s">
        <v>132</v>
      </c>
      <c r="D26" s="43">
        <f>'SCOUT &amp; LOGISTICS'!F3</f>
        <v>11</v>
      </c>
      <c r="F26" s="45" t="str">
        <f t="shared" si="1"/>
        <v>"total_correcions" : 11,</v>
      </c>
    </row>
    <row r="27" spans="2:6" x14ac:dyDescent="0.25">
      <c r="C27" s="43" t="s">
        <v>133</v>
      </c>
      <c r="D27" s="43" t="str">
        <f>""""&amp;IF(OR(D25="",D25=0),"",TEXT(D26/D25,"0,0%"))&amp;""""</f>
        <v>"1,8%"</v>
      </c>
      <c r="F27" s="45" t="str">
        <f t="shared" si="1"/>
        <v>"%_corrections" : "1,8%",</v>
      </c>
    </row>
    <row r="28" spans="2:6" x14ac:dyDescent="0.25">
      <c r="C28" s="43" t="s">
        <v>125</v>
      </c>
      <c r="D28" s="43">
        <f>IF('SCOUT &amp; LOGISTICS'!AA17="","",'SCOUT &amp; LOGISTICS'!AA17)</f>
        <v>5</v>
      </c>
      <c r="F28" s="45" t="str">
        <f t="shared" si="1"/>
        <v>"home_team" : 5,</v>
      </c>
    </row>
    <row r="29" spans="2:6" x14ac:dyDescent="0.25">
      <c r="C29" s="43" t="s">
        <v>134</v>
      </c>
      <c r="D29" s="43">
        <f>IF('SCOUT &amp; LOGISTICS'!AA18="","",'SCOUT &amp; LOGISTICS'!AA18)</f>
        <v>5</v>
      </c>
      <c r="F29" s="45" t="str">
        <f t="shared" si="1"/>
        <v>"no_team" : 5,</v>
      </c>
    </row>
    <row r="30" spans="2:6" x14ac:dyDescent="0.25">
      <c r="C30" s="43" t="s">
        <v>126</v>
      </c>
      <c r="D30" s="43">
        <f>IF('SCOUT &amp; LOGISTICS'!AA19="","",'SCOUT &amp; LOGISTICS'!AA19)</f>
        <v>1</v>
      </c>
      <c r="F30" s="45" t="str">
        <f t="shared" si="1"/>
        <v>"away_team" : 1,</v>
      </c>
    </row>
    <row r="31" spans="2:6" x14ac:dyDescent="0.25">
      <c r="C31" s="43" t="s">
        <v>135</v>
      </c>
      <c r="D31" s="43">
        <f>'SCOUT &amp; LOGISTICS'!AG17</f>
        <v>4</v>
      </c>
      <c r="F31" s="45" t="str">
        <f t="shared" si="1"/>
        <v>"q1" : 4,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3</v>
      </c>
      <c r="F34" s="45" t="str">
        <f t="shared" si="1"/>
        <v>"q4" : 3,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2</v>
      </c>
      <c r="F36" s="45" t="str">
        <f t="shared" si="1"/>
        <v>"boxscore_corrections" : 2,</v>
      </c>
    </row>
    <row r="37" spans="3:6" x14ac:dyDescent="0.25">
      <c r="C37" s="43" t="s">
        <v>140</v>
      </c>
      <c r="D37" s="43">
        <f>'SCOUT &amp; LOGISTICS'!Y16</f>
        <v>11</v>
      </c>
      <c r="F37" s="45" t="str">
        <f t="shared" si="1"/>
        <v>"scoresheet_corrections" : 11,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1</v>
      </c>
      <c r="F40" s="45" t="str">
        <f t="shared" si="1"/>
        <v>"missing" : 1,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1</v>
      </c>
      <c r="F42" s="45" t="str">
        <f t="shared" si="1"/>
        <v>"substitution" : 1,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2</v>
      </c>
      <c r="F46" s="45" t="str">
        <f t="shared" si="1"/>
        <v>"part_of_a_sequence" : 2,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2</v>
      </c>
      <c r="F48" s="45" t="str">
        <f t="shared" si="1"/>
        <v>"fouls" : 2,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"I have the feeling that your focus on the game could have been higher as most of the corrections were (apparently) because of that: obviously the scoresheet corrections, but also some of the missidentity and timing corrections. I am 100% sure that just by improving the focus during all the game, the overall performance will be much much better. Keep it up!"</v>
      </c>
      <c r="F51" s="45" t="str">
        <f>""""&amp;B51&amp;"""" &amp; " : " &amp;C51&amp;","</f>
        <v>"comments" : "I have the feeling that your focus on the game could have been higher as most of the corrections were (apparently) because of that: obviously the scoresheet corrections, but also some of the missidentity and timing corrections. I am 100% sure that just by improving the focus during all the game, the overall performance will be much much better. Keep it up!",</v>
      </c>
    </row>
    <row r="52" spans="2:6" x14ac:dyDescent="0.25">
      <c r="B52" s="43" t="s">
        <v>153</v>
      </c>
      <c r="C52" s="43" t="str">
        <f>TEXT('SCOUT &amp; LOGISTICS'!F1,"0,0")</f>
        <v>09_084_ARI_CLU_U2025</v>
      </c>
      <c r="F52" s="45" t="str">
        <f>""""&amp;B52&amp;"""" &amp; " : " &amp;C52</f>
        <v>"result" : 09_084_ARI_CLU_U2025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5">
      <c r="A3" s="48"/>
      <c r="B3" s="202" t="str">
        <f>"GAME: "&amp; LEFT('SCOUT &amp; LOGISTICS'!B2,1) &amp; TEXT('SCOUT &amp; LOGISTICS'!C2,"000") &amp; " " &amp; IF(LEFT('SCOUT &amp; LOGISTICS'!B2,1)="U","(EUROCUP)","(EUROLEAGUE)")</f>
        <v>GAME: U084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5">
      <c r="A4" s="48"/>
      <c r="B4" s="200" t="str">
        <f ca="1">"DATE: " &amp; TEXT('SCOUT &amp; LOGISTICS'!B3,"dd/mm")</f>
        <v>DATE: 04/12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5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5">
      <c r="A6" s="48"/>
      <c r="B6" s="197" t="str">
        <f>PROPER('SCOUT &amp; LOGISTICS'!D4)</f>
        <v>Aris Thessaloniki Betsson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U-Bt Cluj-Napoca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5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5">
      <c r="A8" s="48"/>
      <c r="B8" s="201" t="str">
        <f>IF('SCOUT &amp; LOGISTICS'!D6="","",'SCOUT &amp; LOGISTICS'!D6)</f>
        <v>IOANNIS TRIANTAFYLLOU</v>
      </c>
      <c r="C8" s="201"/>
      <c r="D8" s="201"/>
      <c r="E8" s="201"/>
      <c r="F8" s="201"/>
      <c r="G8" s="201" t="str">
        <f>IF('SCOUT &amp; LOGISTICS'!D7="","",'SCOUT &amp; LOGISTICS'!D7)</f>
        <v>ELISAVET SAMARA</v>
      </c>
      <c r="H8" s="201"/>
      <c r="I8" s="201"/>
      <c r="J8" s="201"/>
      <c r="K8" s="201"/>
      <c r="L8" s="201" t="str">
        <f>IF('SCOUT &amp; LOGISTICS'!D8="","",'SCOUT &amp; LOGISTICS'!D8)</f>
        <v>VASILEIOS VOTSARIS</v>
      </c>
      <c r="M8" s="201"/>
      <c r="N8" s="201"/>
      <c r="O8" s="201"/>
      <c r="P8" s="201"/>
      <c r="Q8" s="201" t="str">
        <f>IF('SCOUT &amp; LOGISTICS'!D9="","",'SCOUT &amp; LOGISTICS'!D9)</f>
        <v>TRIANTAFYLLIA KOSTOPOULOU</v>
      </c>
      <c r="R8" s="201"/>
      <c r="S8" s="201"/>
      <c r="T8" s="201"/>
      <c r="U8" s="201"/>
      <c r="V8" s="201" t="str">
        <f>IF('SCOUT &amp; LOGISTICS'!D10="","",'SCOUT &amp; LOGISTICS'!D10)</f>
        <v>RAMPANTI IAKOVOS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6" thickBot="1" x14ac:dyDescent="0.5">
      <c r="A9" s="48"/>
      <c r="B9" s="209" t="str">
        <f>IF(OR('SCOUT &amp; LOGISTICS'!D14="",'SCOUT &amp; LOGISTICS'!D14=0),"",'SCOUT &amp; LOGISTICS'!B14 &amp; ": " &amp; 'SCOUT &amp; LOGISTICS'!D14) &amp; "     "</f>
        <v xml:space="preserve">L G M: : ELOI VERGÉ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6" thickBot="1" x14ac:dyDescent="0.5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5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6" thickBot="1" x14ac:dyDescent="0.5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5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3">
        <f>'SCOUT &amp; LOGISTICS'!D3</f>
        <v>615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11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1.7886178861788619E-2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6" thickBot="1" x14ac:dyDescent="0.5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9">
        <f>IF('SCOUT &amp; LOGISTICS'!AA17="","",'SCOUT &amp; LOGISTICS'!AA17)</f>
        <v>5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5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1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9">
        <f>'SCOUT &amp; LOGISTICS'!AG17</f>
        <v>4</v>
      </c>
      <c r="C22" s="199"/>
      <c r="D22" s="199"/>
      <c r="E22" s="199"/>
      <c r="F22" s="199"/>
      <c r="G22" s="199"/>
      <c r="H22" s="199">
        <f>'SCOUT &amp; LOGISTICS'!AG18</f>
        <v>2</v>
      </c>
      <c r="I22" s="199"/>
      <c r="J22" s="199"/>
      <c r="K22" s="199"/>
      <c r="L22" s="199"/>
      <c r="M22" s="199"/>
      <c r="N22" s="199">
        <f>'SCOUT &amp; LOGISTICS'!AG19</f>
        <v>2</v>
      </c>
      <c r="O22" s="199"/>
      <c r="P22" s="199"/>
      <c r="Q22" s="199"/>
      <c r="R22" s="199"/>
      <c r="S22" s="199"/>
      <c r="T22" s="199">
        <f>'SCOUT &amp; LOGISTICS'!AG20</f>
        <v>3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6" thickBot="1" x14ac:dyDescent="0.5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9">
        <f>'SCOUT &amp; LOGISTICS'!Y17</f>
        <v>9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2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9">
        <f>'SCOUT &amp; LOGISTICS'!AC18</f>
        <v>1</v>
      </c>
      <c r="C27" s="199"/>
      <c r="D27" s="199"/>
      <c r="E27" s="199"/>
      <c r="F27" s="199"/>
      <c r="G27" s="199">
        <f>'SCOUT &amp; LOGISTICS'!AC22</f>
        <v>4</v>
      </c>
      <c r="H27" s="199"/>
      <c r="I27" s="199"/>
      <c r="J27" s="199"/>
      <c r="K27" s="199"/>
      <c r="L27" s="199">
        <f>'SCOUT &amp; LOGISTICS'!AC23</f>
        <v>2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2</v>
      </c>
      <c r="M29" s="199"/>
      <c r="N29" s="199"/>
      <c r="O29" s="199"/>
      <c r="P29" s="199"/>
      <c r="Q29" s="199">
        <f>'SCOUT &amp; LOGISTICS'!AC28</f>
        <v>1</v>
      </c>
      <c r="R29" s="199"/>
      <c r="S29" s="199"/>
      <c r="T29" s="199"/>
      <c r="U29" s="199"/>
      <c r="V29" s="199">
        <f>'SCOUT &amp; LOGISTICS'!AC19</f>
        <v>1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6" thickBot="1" x14ac:dyDescent="0.5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5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5">
      <c r="A32" s="48"/>
      <c r="B32" s="211" t="str">
        <f>IF('SCOUT &amp; LOGISTICS'!M4="","",'SCOUT &amp; LOGISTICS'!M4)</f>
        <v>I have the feeling that your focus on the game could have been higher as most of the corrections were (apparently) because of that: obviously the scoresheet corrections, but also some of the missidentity and timing corrections. I am 100% sure that just by improving the focus during all the game, the overall performance will be much much better. Keep it up!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5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5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212">
        <f>'SCOUT &amp; LOGISTICS'!M7</f>
        <v>38.288617886178862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7B82BE6-0E93-4696-94EB-1A5E193ED809}"/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2025-12-04T16:52:26Z</cp:lastPrinted>
  <dcterms:created xsi:type="dcterms:W3CDTF">2023-09-19T19:50:35Z</dcterms:created>
  <dcterms:modified xsi:type="dcterms:W3CDTF">2025-12-05T16:45:39Z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