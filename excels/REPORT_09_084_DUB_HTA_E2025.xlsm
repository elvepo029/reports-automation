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1" documentId="8_{AAE22346-2F8C-432E-BDC2-B054E6B2B16A}" xr6:coauthVersionLast="47" xr6:coauthVersionMax="47" xr10:uidLastSave="{89AF256F-AACB-49BA-A4C6-F0373D0860FC}"/>
  <bookViews>
    <workbookView minimized="1" xWindow="-60" yWindow="-14985" windowWidth="22230" windowHeight="135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<sst xmlns="http://schemas.openxmlformats.org/spreadsheetml/2006/main" count="3265" uniqueCount="761">
  <si>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</si>
  <si>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</si>
  <si>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</si>
  <si>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</si>
  <si>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</si>
  <si>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</si>
  <si>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</si>
  <si>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</si>
  <si>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</si>
  <si>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</si>
  <si>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</si>
  <si>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</si>
  <si>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</si>
  <si>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</si>
  <si>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</si>
  <si>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</si>
  <si>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</si>
  <si>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</si>
  <si>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</si>
  <si>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</si>
  <si>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</si>
  <si>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</si>
  <si>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</si>
  <si>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</si>
  <si>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</si>
  <si>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</si>
  <si>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</si>
  <si>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</si>
  <si>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</si>
  <si>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</si>
  <si>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</si>
  <si>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</si>
  <si>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</si>
  <si>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</si>
  <si>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</si>
  <si>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</si>
  <si>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</si>
  <si>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</si>
  <si>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</si>
  <si>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</si>
  <si>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</si>
  <si>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</si>
  <si>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</si>
  <si>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</si>
  <si>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</si>
  <si>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</si>
  <si>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</si>
  <si>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</si>
  <si>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</si>
  <si>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</si>
  <si>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</si>
  <si>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</si>
  <si>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</si>
  <si>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</si>
  <si>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</si>
  <si>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</si>
  <si>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</si>
  <si>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</si>
  <si>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</si>
  <si>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</si>
  <si>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</si>
  <si>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</si>
  <si>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</si>
  <si>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</si>
  <si>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</si>
  <si>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</si>
  <si>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</si>
  <si>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</si>
  <si>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</si>
  <si>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</si>
  <si>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</si>
  <si>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</si>
  <si>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</si>
  <si>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</si>
  <si>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</si>
  <si>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</si>
  <si>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</si>
  <si>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</si>
  <si>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</si>
  <si>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</si>
  <si>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</si>
  <si>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</si>
  <si>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</si>
  <si>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</si>
  <si>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</si>
  <si>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</si>
  <si>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</si>
  <si>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</si>
  <si>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</si>
  <si>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</si>
  <si>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</si>
  <si>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</si>
  <si>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</si>
  <si>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</si>
  <si>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</si>
  <si>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</si>
  <si>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</si>
  <si>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</si>
  <si>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</si>
  <si>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</si>
  <si>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</si>
  <si>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</si>
  <si>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</si>
  <si>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</si>
  <si>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</si>
  <si>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</si>
  <si>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</si>
  <si>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</si>
  <si>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</si>
  <si>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</si>
  <si>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</si>
  <si>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</si>
  <si>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</si>
  <si>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</si>
  <si>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</si>
  <si>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</si>
  <si>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</si>
  <si>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</si>
  <si>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</si>
  <si>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</si>
  <si>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</si>
  <si>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</si>
  <si>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</si>
  <si>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</si>
  <si>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</si>
  <si>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</si>
  <si>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</si>
  <si>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</si>
  <si>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</si>
  <si>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</si>
  <si>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</si>
  <si>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</si>
  <si>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</si>
  <si>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</si>
  <si>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</si>
  <si>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</si>
  <si>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</si>
  <si>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</si>
  <si>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</si>
  <si>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</si>
  <si>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</si>
  <si>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</si>
  <si>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</si>
  <si>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</si>
  <si>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</si>
  <si>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</si>
  <si>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</si>
  <si>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</si>
  <si>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</si>
  <si>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</si>
  <si>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</si>
  <si>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</si>
  <si>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</si>
  <si>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</si>
  <si>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</si>
  <si>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</si>
  <si>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</si>
  <si>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</si>
  <si>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</si>
  <si>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</si>
  <si>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</si>
  <si>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</si>
  <si>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</si>
  <si>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</si>
  <si>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</si>
  <si>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</si>
  <si>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</si>
  <si>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</si>
  <si>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</si>
  <si>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</si>
  <si>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</si>
  <si>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</si>
  <si>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</si>
  <si>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</si>
  <si>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</si>
  <si>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</si>
  <si>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</si>
  <si>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</si>
  <si>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</si>
  <si>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</si>
  <si>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</si>
  <si>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</si>
  <si>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</si>
  <si>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</si>
  <si>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</si>
  <si>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</si>
  <si>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</si>
  <si>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</si>
  <si>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</si>
  <si>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</si>
  <si>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</si>
  <si>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</si>
  <si>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</si>
  <si>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</si>
  <si>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</si>
  <si>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</si>
  <si>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</si>
  <si>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</si>
  <si>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</si>
  <si>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</si>
  <si>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</si>
  <si>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</si>
  <si>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</si>
  <si>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</si>
  <si>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</si>
  <si>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</si>
  <si>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</si>
  <si>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</si>
  <si>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</si>
  <si>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</si>
  <si>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</si>
  <si>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</si>
  <si>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</si>
  <si>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</si>
  <si>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</si>
  <si>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</si>
  <si>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</si>
  <si>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</si>
  <si>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</si>
  <si>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</si>
  <si>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</si>
  <si>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</si>
  <si>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</si>
  <si>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</si>
  <si>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</si>
  <si>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</si>
  <si>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</si>
  <si>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</si>
  <si>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</si>
  <si>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</si>
  <si>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</si>
  <si>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</si>
  <si>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</si>
  <si>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</si>
  <si>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</si>
  <si>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</si>
  <si>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</si>
  <si>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</si>
  <si>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</si>
  <si>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</si>
  <si>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</si>
  <si>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</si>
  <si>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</si>
  <si>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</si>
  <si>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</si>
  <si>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</si>
  <si>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</si>
  <si>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</si>
  <si>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</si>
  <si>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</si>
  <si>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</si>
  <si>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</si>
  <si>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</si>
  <si>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</si>
  <si>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</si>
  <si>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</si>
  <si>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</si>
  <si>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</si>
  <si>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</si>
  <si>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</si>
  <si>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</si>
  <si>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</si>
  <si>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</si>
  <si>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</si>
  <si>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</si>
  <si>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</si>
  <si>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</si>
  <si>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</si>
  <si>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</si>
  <si>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</si>
  <si>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</si>
  <si>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</si>
  <si>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</si>
  <si>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</si>
  <si>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</si>
  <si>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</si>
  <si>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</si>
  <si>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</si>
  <si>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</si>
  <si>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</si>
  <si>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</si>
  <si>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</si>
  <si>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</si>
  <si>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</si>
  <si>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</si>
  <si>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</si>
  <si>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</si>
  <si>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</si>
  <si>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</si>
  <si>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</si>
  <si>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</si>
  <si>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</si>
  <si>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</si>
  <si>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</si>
  <si>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</si>
  <si>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</si>
  <si>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</si>
  <si>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</si>
  <si>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</si>
  <si>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</si>
  <si>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</si>
  <si>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</si>
  <si>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</si>
  <si>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</si>
  <si>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</si>
  <si>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</si>
  <si>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</si>
  <si>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</si>
  <si>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</si>
  <si>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</si>
  <si>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</si>
  <si>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</si>
  <si>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</si>
  <si>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</si>
  <si>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</si>
  <si>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</si>
  <si>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</si>
  <si>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</si>
  <si>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</si>
  <si>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</si>
  <si>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</si>
  <si>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</si>
  <si>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</si>
  <si>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</si>
  <si>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</si>
  <si>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</si>
  <si>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</si>
  <si>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</si>
  <si>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</si>
  <si>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</si>
  <si>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</si>
  <si>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</si>
  <si>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</si>
  <si>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</si>
  <si>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</si>
  <si>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</si>
  <si>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</si>
  <si>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</si>
  <si>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</si>
  <si>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</si>
  <si>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</si>
  <si>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</si>
  <si>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</si>
  <si>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</si>
  <si>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</si>
  <si>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</si>
  <si>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</si>
  <si>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</si>
  <si>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</si>
  <si>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</si>
  <si>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</si>
  <si>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</si>
  <si>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</si>
  <si>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</si>
  <si>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</si>
  <si>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</si>
  <si>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</si>
  <si>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</si>
  <si>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</si>
  <si>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</si>
  <si>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</si>
  <si>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</si>
  <si>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</si>
  <si>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</si>
  <si>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</si>
  <si>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</si>
  <si>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</si>
  <si>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</si>
  <si>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</si>
  <si>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</si>
  <si>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</si>
  <si>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</si>
  <si>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</si>
  <si>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</si>
  <si>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</si>
  <si>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</si>
  <si>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</si>
  <si>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</si>
  <si>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</si>
  <si>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</si>
  <si>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</si>
  <si>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</si>
  <si>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</si>
  <si>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</si>
  <si>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</si>
  <si>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</si>
  <si>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</si>
  <si>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</si>
  <si>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</si>
  <si>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</si>
  <si>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</si>
  <si>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</si>
  <si>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</si>
  <si>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</si>
  <si>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</si>
  <si>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</si>
  <si>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</si>
  <si>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</si>
  <si>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</si>
  <si>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</si>
  <si>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</si>
  <si>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</si>
  <si>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</si>
  <si>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</si>
  <si>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</si>
  <si>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</si>
  <si>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</si>
  <si>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</si>
  <si>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</si>
  <si>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</si>
  <si>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</si>
  <si>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</si>
  <si>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</si>
  <si>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</si>
  <si>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</si>
  <si>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</si>
  <si>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</si>
  <si>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</si>
  <si>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</si>
  <si>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</si>
  <si>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</si>
  <si>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</si>
  <si>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</si>
  <si>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</si>
  <si>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</si>
  <si>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</si>
  <si>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</si>
  <si>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</si>
  <si>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</si>
  <si>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</si>
  <si>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</si>
  <si>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</si>
  <si>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</si>
  <si>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</si>
  <si>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</si>
  <si>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</si>
  <si>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</si>
  <si>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</si>
  <si>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</si>
  <si>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</si>
  <si>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</si>
  <si>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</si>
  <si>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</si>
  <si>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</si>
  <si>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</si>
  <si>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</si>
  <si>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</si>
  <si>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</si>
  <si>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</si>
  <si>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</si>
  <si>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</si>
  <si>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</si>
  <si>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</si>
  <si>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</si>
  <si>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</si>
  <si>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</si>
  <si>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</si>
  <si>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</si>
  <si>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</si>
  <si>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</si>
  <si>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</si>
  <si>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</si>
  <si>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</si>
  <si>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</si>
  <si>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</si>
  <si>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</si>
  <si>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</si>
  <si>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</si>
  <si>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</si>
  <si>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</si>
  <si>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</si>
  <si>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</si>
  <si>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</si>
  <si>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</si>
  <si>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</si>
  <si>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</si>
  <si>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</si>
  <si>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</si>
  <si>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</si>
  <si>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</si>
  <si>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</si>
  <si>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</si>
  <si>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</si>
  <si>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</si>
  <si>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</si>
  <si>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</si>
  <si>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</si>
  <si>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</si>
  <si>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</si>
  <si>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</si>
  <si>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</si>
  <si>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</si>
  <si>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</si>
  <si>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</si>
  <si>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</si>
  <si>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</si>
  <si>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</si>
  <si>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</si>
  <si>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</si>
  <si>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</si>
  <si>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</si>
  <si>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</si>
  <si>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</si>
  <si>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</si>
  <si>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</si>
  <si>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</si>
  <si>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</si>
  <si>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</si>
  <si>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</si>
  <si>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</si>
  <si>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</si>
  <si>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</si>
  <si>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</si>
  <si>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</si>
  <si>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</si>
  <si>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</si>
  <si>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</si>
  <si>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</si>
  <si>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</si>
  <si>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</si>
  <si>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</si>
  <si>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</si>
  <si>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</si>
  <si>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</si>
  <si>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</si>
  <si>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</si>
  <si>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</si>
  <si>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</si>
  <si>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</si>
  <si>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</si>
  <si>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</si>
  <si>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</si>
  <si>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</si>
  <si>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</si>
  <si>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</si>
  <si>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</si>
  <si>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</si>
  <si>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</si>
  <si>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</si>
  <si>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</si>
  <si>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</si>
  <si>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</si>
  <si>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</si>
  <si>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</si>
  <si>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</si>
  <si>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</si>
  <si>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</si>
  <si>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</si>
  <si>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</si>
  <si>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</si>
  <si>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</si>
  <si>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</si>
  <si>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</si>
  <si>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</si>
  <si>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</si>
  <si>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</si>
  <si>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</si>
  <si>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</si>
  <si>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</si>
  <si>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</si>
  <si>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</si>
  <si>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</si>
  <si>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</si>
  <si>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</si>
  <si>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</si>
  <si>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</si>
  <si>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</si>
  <si>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</si>
  <si>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</si>
  <si>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</si>
  <si>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</si>
  <si>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</si>
  <si>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</si>
  <si>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</si>
  <si>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</si>
  <si>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</si>
  <si>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</si>
  <si>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</si>
  <si>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</si>
  <si>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</si>
  <si>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</si>
  <si>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</si>
  <si>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</si>
  <si>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</si>
  <si>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</si>
  <si>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</si>
  <si>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</si>
  <si>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</si>
  <si>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</si>
  <si>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</si>
  <si>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</si>
  <si>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</si>
  <si>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</si>
  <si>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</si>
  <si>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</si>
  <si>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</si>
  <si>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</si>
  <si>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</si>
  <si>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</si>
  <si>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</si>
  <si>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</si>
  <si>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</si>
  <si>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</si>
  <si>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</si>
  <si>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</si>
  <si>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</si>
  <si>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</si>
  <si>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</si>
  <si>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</si>
  <si>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</si>
  <si>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</si>
  <si>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</si>
  <si>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</si>
  <si>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</si>
  <si>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</si>
  <si>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</si>
  <si>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</si>
  <si>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</si>
  <si>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</si>
  <si>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</si>
  <si>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</si>
  <si>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</si>
  <si>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</si>
  <si>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</si>
  <si>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</si>
  <si>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</si>
  <si>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</si>
  <si>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</si>
  <si>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</si>
  <si>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</si>
  <si>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</si>
  <si>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</si>
  <si>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</si>
  <si>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</si>
  <si>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</si>
  <si>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</si>
  <si>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</si>
  <si>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</si>
  <si>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</si>
  <si>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</si>
  <si>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</si>
  <si>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</si>
  <si>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</si>
  <si>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</si>
  <si>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</si>
  <si>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</si>
  <si>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</si>
  <si>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</si>
  <si>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</si>
  <si>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</si>
  <si>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</si>
  <si>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</si>
  <si>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</si>
  <si>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</si>
  <si>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</si>
  <si>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</si>
  <si>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</si>
  <si>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</si>
  <si>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</si>
  <si>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</si>
  <si>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</si>
  <si>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</si>
  <si>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</si>
  <si>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</si>
  <si>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</si>
  <si>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</si>
  <si>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</si>
  <si>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</si>
  <si>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</si>
  <si>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</si>
  <si>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</si>
  <si>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</si>
  <si>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</si>
  <si>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</si>
  <si>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</si>
  <si>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</si>
  <si>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</si>
  <si>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</si>
  <si>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</si>
  <si>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</si>
  <si>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</si>
  <si>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</si>
  <si>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</si>
  <si>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</si>
  <si>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</si>
  <si>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</si>
  <si>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</si>
  <si>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</si>
  <si>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</si>
  <si>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</si>
  <si>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</si>
  <si>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</si>
  <si>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</si>
  <si>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</si>
  <si>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</si>
  <si>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</si>
  <si>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</si>
  <si>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</si>
  <si>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</si>
  <si>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</si>
  <si>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</si>
  <si>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</si>
  <si>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</si>
  <si>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</si>
  <si>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</si>
  <si>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</si>
  <si>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</si>
  <si>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</si>
  <si>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</si>
  <si>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</si>
  <si>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</si>
  <si>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</si>
  <si>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</si>
  <si>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</si>
  <si>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</si>
  <si>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</si>
  <si>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</si>
  <si>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</si>
  <si>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</si>
  <si>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</si>
  <si>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</si>
  <si>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</si>
  <si>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</si>
  <si>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</si>
  <si>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</si>
  <si>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</si>
  <si>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</si>
  <si>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</si>
  <si>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</si>
  <si>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</si>
  <si>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</si>
  <si>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</si>
  <si>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</si>
  <si>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</si>
  <si>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</si>
  <si>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</si>
  <si>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</si>
  <si>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</si>
  <si>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</si>
  <si>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</si>
  <si>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</si>
  <si>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</si>
  <si>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</si>
  <si>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</si>
  <si>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</si>
  <si>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</si>
  <si>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</si>
  <si>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</si>
  <si>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</si>
  <si>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</si>
  <si>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06:17</t>
  </si>
  <si>
    <t>05:05</t>
  </si>
  <si>
    <t>DANILO VESOVIC</t>
  </si>
  <si>
    <t>LUKA ANDRIC</t>
  </si>
  <si>
    <t>MARKO LEPOVIC</t>
  </si>
  <si>
    <t>JOVANA KRIVOKUCA-MILOVANOVIC</t>
  </si>
  <si>
    <t>SONJA STANKOVIC</t>
  </si>
  <si>
    <t>BILJANA KOSTRES</t>
  </si>
  <si>
    <t>ELOI VERGÉ</t>
  </si>
  <si>
    <t>00:39</t>
  </si>
  <si>
    <t>Really good job, it was a great game on your side. Just be a bit more careful and make sure you are deleting the correct actions.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</si>
</sst>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3" sqref="D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09_084_DUB_HTA_E2025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84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45967.833333333336</v>
      </c>
      <c r="C3" s="178"/>
      <c r="D3" s="39">
        <v>578</v>
      </c>
      <c r="E3" s="29"/>
      <c r="F3" s="26">
        <f>SUBTOTAL(3,I17:I106)</f>
        <v>4</v>
      </c>
      <c r="G3" s="27">
        <f>IF(OR(D3="",D3=0),"",F3/D3)</f>
        <v>6.920415224913495E-3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Dubai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742</v>
      </c>
      <c r="L4" s="5"/>
      <c r="M4" s="185" t="s">
        <v>760</v>
      </c>
      <c r="N4" s="186"/>
      <c r="O4" s="2"/>
      <c r="P4" s="2"/>
      <c r="Q4" s="84" t="s">
        <v>175</v>
      </c>
      <c r="R4" s="94">
        <f>(IF(G3="",0,G3))</f>
        <v>6.920415224913495E-3</v>
      </c>
      <c r="S4" s="61">
        <f>SUM(I13:M13)</f>
        <v>1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1</v>
      </c>
      <c r="Y4" s="61">
        <f>AC25</f>
        <v>1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IBI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0.69204152249134954</v>
      </c>
      <c r="S5" s="70">
        <f t="shared" ref="S5" si="0">S4*S3</f>
        <v>1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1</v>
      </c>
      <c r="Y5" s="70">
        <f t="shared" si="1"/>
        <v>2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752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753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9.6920415224913494</v>
      </c>
      <c r="N7" s="58"/>
      <c r="O7" s="2"/>
      <c r="P7" s="2"/>
      <c r="Q7" s="86">
        <f>SUM(R5,S5,AC16)</f>
        <v>9.6920415224913494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754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9.6920415224913494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755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757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84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758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84</v>
      </c>
      <c r="D17" s="32" t="s">
        <v>53</v>
      </c>
      <c r="E17" s="33">
        <v>1</v>
      </c>
      <c r="F17" s="36">
        <v>26</v>
      </c>
      <c r="G17" s="36">
        <v>25</v>
      </c>
      <c r="H17" s="38" t="str">
        <f>IF(I17="","",$I$14)</f>
        <v>SCOUTING</v>
      </c>
      <c r="I17" s="34">
        <v>122</v>
      </c>
      <c r="J17" s="13" t="s">
        <v>4</v>
      </c>
      <c r="K17" s="13" t="s">
        <v>63</v>
      </c>
      <c r="L17" s="13" t="s">
        <v>7</v>
      </c>
      <c r="M17" s="13" t="s">
        <v>26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84</v>
      </c>
      <c r="D18" s="32" t="s">
        <v>750</v>
      </c>
      <c r="E18" s="33">
        <v>2</v>
      </c>
      <c r="F18" s="36">
        <v>33</v>
      </c>
      <c r="G18" s="36">
        <v>29</v>
      </c>
      <c r="H18" s="38" t="str">
        <f t="shared" ref="H18:H81" si="8">IF(I18="","",$I$14)</f>
        <v>SCOUTING</v>
      </c>
      <c r="I18" s="34">
        <v>175</v>
      </c>
      <c r="J18" s="13" t="s">
        <v>4</v>
      </c>
      <c r="K18" s="13" t="s">
        <v>61</v>
      </c>
      <c r="L18" s="13" t="s">
        <v>7</v>
      </c>
      <c r="M18" s="13" t="s">
        <v>38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84</v>
      </c>
      <c r="D19" s="32" t="s">
        <v>751</v>
      </c>
      <c r="E19" s="33">
        <v>2</v>
      </c>
      <c r="F19" s="36">
        <v>38</v>
      </c>
      <c r="G19" s="36">
        <v>32</v>
      </c>
      <c r="H19" s="38" t="str">
        <f t="shared" si="8"/>
        <v>SCOUTING</v>
      </c>
      <c r="I19" s="34">
        <v>200</v>
      </c>
      <c r="J19" s="13" t="s">
        <v>4</v>
      </c>
      <c r="K19" s="13" t="s">
        <v>62</v>
      </c>
      <c r="L19" s="13" t="s">
        <v>75</v>
      </c>
      <c r="M19" s="13" t="s">
        <v>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E2025</v>
      </c>
      <c r="C20" s="31">
        <f t="shared" si="3"/>
        <v>84</v>
      </c>
      <c r="D20" s="32" t="s">
        <v>759</v>
      </c>
      <c r="E20" s="33">
        <v>3</v>
      </c>
      <c r="F20" s="36">
        <v>67</v>
      </c>
      <c r="G20" s="36">
        <v>80</v>
      </c>
      <c r="H20" s="38" t="str">
        <f t="shared" si="8"/>
        <v>SCOUTING</v>
      </c>
      <c r="I20" s="34">
        <v>403</v>
      </c>
      <c r="J20" s="13" t="s">
        <v>4</v>
      </c>
      <c r="K20" s="13" t="s">
        <v>62</v>
      </c>
      <c r="L20" s="13" t="s">
        <v>48</v>
      </c>
      <c r="M20" s="13" t="s">
        <v>27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1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REPORT_E2025084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"E2025084"</v>
      </c>
      <c r="F3" s="45" t="str">
        <f t="shared" ref="F3:F16" si="0">""""&amp;B3&amp;"""" &amp; " : " &amp;C3&amp;","</f>
        <v>"name" : "E2025084",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"E084"</v>
      </c>
      <c r="F4" s="45" t="str">
        <f t="shared" si="0"/>
        <v>"cod" : "E084",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084</v>
      </c>
      <c r="F6" s="45" t="str">
        <f t="shared" si="0"/>
        <v>"number" : 084,</v>
      </c>
    </row>
    <row r="7" spans="2:6" x14ac:dyDescent="0.2">
      <c r="B7" s="43" t="s">
        <v>116</v>
      </c>
      <c r="C7" s="43" t="str">
        <f ca="1">""""&amp;TEXT('SCOUT &amp; LOGISTICS'!B3,"dd/mm/aaaa")&amp;""""</f>
        <v>"06/11/Thursday"</v>
      </c>
      <c r="F7" s="45" t="str">
        <f t="shared" ca="1" si="0"/>
        <v>"date" : "06/11/Thursday",</v>
      </c>
    </row>
    <row r="8" spans="2:6" x14ac:dyDescent="0.2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"DANILO VESOVIC"</v>
      </c>
      <c r="F10" s="45" t="str">
        <f t="shared" si="0"/>
        <v>"Data_entry" : "DANILO VESOVIC",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"LUKA ANDRIC"</v>
      </c>
      <c r="F11" s="45" t="str">
        <f t="shared" si="0"/>
        <v>"Caller_1" : "LUKA ANDRIC",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"MARKO LEPOVIC"</v>
      </c>
      <c r="F12" s="45" t="str">
        <f t="shared" si="0"/>
        <v>"Caller_2" : "MARKO LEPOVIC",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"JOVANA KRIVOKUCA-MILOVANOVIC"</v>
      </c>
      <c r="F13" s="45" t="str">
        <f t="shared" si="0"/>
        <v>"Timerkeeper" : "JOVANA KRIVOKUCA-MILOVANOVIC",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"SONJA STANKOVIC"</v>
      </c>
      <c r="F14" s="45" t="str">
        <f t="shared" si="0"/>
        <v>"Shotclock" : "SONJA STANKOVIC",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"BILJANA KOSTRES"</v>
      </c>
      <c r="F15" s="45" t="str">
        <f t="shared" si="0"/>
        <v>"IRS" : "BILJANA KOSTRES",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578</v>
      </c>
      <c r="F25" s="45" t="str">
        <f t="shared" ref="F25:F48" si="1">""""&amp;C25&amp;"""" &amp; " : " &amp;D25&amp;","</f>
        <v>"total_actions" : 578,</v>
      </c>
    </row>
    <row r="26" spans="2:6" x14ac:dyDescent="0.2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">
      <c r="C27" s="43" t="s">
        <v>133</v>
      </c>
      <c r="D27" s="43" t="str">
        <f>""""&amp;IF(OR(D25="",D25=0),"",TEXT(D26/D25,"0,0%"))&amp;""""</f>
        <v>"0,7%"</v>
      </c>
      <c r="F27" s="45" t="str">
        <f t="shared" si="1"/>
        <v>"%_corrections" : "0,7%",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1</v>
      </c>
      <c r="F42" s="45" t="str">
        <f t="shared" si="1"/>
        <v>"substitution" : 1,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"Really good job, it was a great game on your side. Just be a bit more careful and make sure you are deleting the correct actions."</v>
      </c>
      <c r="F51" s="45" t="str">
        <f>""""&amp;B51&amp;"""" &amp; " : " &amp;C51&amp;","</f>
        <v>"comments" : "Really good job, it was a great game on your side. Just be a bit more careful and make sure you are deleting the correct actions.",</v>
      </c>
    </row>
    <row r="52" spans="2:6" x14ac:dyDescent="0.2">
      <c r="B52" s="43" t="s">
        <v>153</v>
      </c>
      <c r="C52" s="43" t="str">
        <f>TEXT('SCOUT &amp; LOGISTICS'!F1,"0,0")</f>
        <v>09_084_DUB_HTA_E2025</v>
      </c>
      <c r="F52" s="45" t="str">
        <f>""""&amp;B52&amp;"""" &amp; " : " &amp;C52</f>
        <v>"result" : 09_084_DUB_HTA_E2025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E084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Dubai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Ibi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DANILO VESOVIC</v>
      </c>
      <c r="C8" s="201"/>
      <c r="D8" s="201"/>
      <c r="E8" s="201"/>
      <c r="F8" s="201"/>
      <c r="G8" s="201" t="str">
        <f>IF('SCOUT &amp; LOGISTICS'!D7="","",'SCOUT &amp; LOGISTICS'!D7)</f>
        <v>LUKA ANDRIC</v>
      </c>
      <c r="H8" s="201"/>
      <c r="I8" s="201"/>
      <c r="J8" s="201"/>
      <c r="K8" s="201"/>
      <c r="L8" s="201" t="str">
        <f>IF('SCOUT &amp; LOGISTICS'!D8="","",'SCOUT &amp; LOGISTICS'!D8)</f>
        <v>MARKO LEPOVIC</v>
      </c>
      <c r="M8" s="201"/>
      <c r="N8" s="201"/>
      <c r="O8" s="201"/>
      <c r="P8" s="201"/>
      <c r="Q8" s="201" t="str">
        <f>IF('SCOUT &amp; LOGISTICS'!D9="","",'SCOUT &amp; LOGISTICS'!D9)</f>
        <v>JOVANA KRIVOKUCA-MILOVANOVIC</v>
      </c>
      <c r="R8" s="201"/>
      <c r="S8" s="201"/>
      <c r="T8" s="201"/>
      <c r="U8" s="201"/>
      <c r="V8" s="201" t="str">
        <f>IF('SCOUT &amp; LOGISTICS'!D10="","",'SCOUT &amp; LOGISTICS'!D10)</f>
        <v>SONJA STANKOVIC</v>
      </c>
      <c r="W8" s="201"/>
      <c r="X8" s="201"/>
      <c r="Y8" s="201"/>
      <c r="Z8" s="201"/>
      <c r="AA8" s="201" t="str">
        <f>IF('SCOUT &amp; LOGISTICS'!D11="","",'SCOUT &amp; LOGISTICS'!D11)</f>
        <v>BILJANA KOSTRES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VERGÉ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OK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578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6.920415224913495E-3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2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1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Really good job, it was a great game on your side. Just be a bit more careful and make sure you are deleting the correct actions.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9.6920415224913494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CAAEFAF-C105-4515-840F-8A3EEC27826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2025-11-21T20:45:30Z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