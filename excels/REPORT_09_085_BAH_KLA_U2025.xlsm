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7EBFA082-C030-433A-866A-E8DD64F4667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<sst xmlns="http://schemas.openxmlformats.org/spreadsheetml/2006/main" count="3342" uniqueCount="842">
  <si>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</si>
  <si>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</si>
  <si>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</si>
  <si>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</si>
  <si>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</si>
  <si>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</si>
  <si>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</si>
  <si>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</si>
  <si>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</si>
  <si>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</si>
  <si>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</si>
  <si>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</si>
  <si>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</si>
  <si>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</si>
  <si>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</si>
  <si>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</si>
  <si>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</si>
  <si>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</si>
  <si>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</si>
  <si>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</si>
  <si>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</si>
  <si>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</si>
  <si>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</si>
  <si>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</si>
  <si>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</si>
  <si>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</si>
  <si>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</si>
  <si>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</si>
  <si>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</si>
  <si>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</si>
  <si>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</si>
  <si>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</si>
  <si>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</si>
  <si>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</si>
  <si>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</si>
  <si>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</si>
  <si>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</si>
  <si>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</si>
  <si>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</si>
  <si>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</si>
  <si>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</si>
  <si>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</si>
  <si>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</si>
  <si>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</si>
  <si>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</si>
  <si>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</si>
  <si>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</si>
  <si>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</si>
  <si>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</si>
  <si>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</si>
  <si>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</si>
  <si>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</si>
  <si>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</si>
  <si>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</si>
  <si>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</si>
  <si>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</si>
  <si>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</si>
  <si>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</si>
  <si>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</si>
  <si>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</si>
  <si>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</si>
  <si>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</si>
  <si>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</si>
  <si>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</si>
  <si>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</si>
  <si>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</si>
  <si>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</si>
  <si>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</si>
  <si>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</si>
  <si>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</si>
  <si>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</si>
  <si>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</si>
  <si>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</si>
  <si>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</si>
  <si>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</si>
  <si>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</si>
  <si>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</si>
  <si>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</si>
  <si>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</si>
  <si>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</si>
  <si>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</si>
  <si>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</si>
  <si>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</si>
  <si>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</si>
  <si>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</si>
  <si>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</si>
  <si>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</si>
  <si>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</si>
  <si>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</si>
  <si>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</si>
  <si>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</si>
  <si>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</si>
  <si>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</si>
  <si>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</si>
  <si>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</si>
  <si>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</si>
  <si>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</si>
  <si>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</si>
  <si>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</si>
  <si>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</si>
  <si>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</si>
  <si>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</si>
  <si>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</si>
  <si>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</si>
  <si>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</si>
  <si>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</si>
  <si>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</si>
  <si>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</si>
  <si>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</si>
  <si>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</si>
  <si>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</si>
  <si>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</si>
  <si>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</si>
  <si>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</si>
  <si>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</si>
  <si>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</si>
  <si>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</si>
  <si>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</si>
  <si>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</si>
  <si>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</si>
  <si>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</si>
  <si>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</si>
  <si>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</si>
  <si>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</si>
  <si>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</si>
  <si>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</si>
  <si>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</si>
  <si>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</si>
  <si>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</si>
  <si>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</si>
  <si>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</si>
  <si>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</si>
  <si>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</si>
  <si>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</si>
  <si>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</si>
  <si>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</si>
  <si>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</si>
  <si>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</si>
  <si>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</si>
  <si>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</si>
  <si>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</si>
  <si>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</si>
  <si>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</si>
  <si>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</si>
  <si>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</si>
  <si>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</si>
  <si>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</si>
  <si>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</si>
  <si>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</si>
  <si>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</si>
  <si>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</si>
  <si>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</si>
  <si>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</si>
  <si>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</si>
  <si>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</si>
  <si>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</si>
  <si>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</si>
  <si>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</si>
  <si>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</si>
  <si>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</si>
  <si>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</si>
  <si>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</si>
  <si>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</si>
  <si>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</si>
  <si>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</si>
  <si>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</si>
  <si>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</si>
  <si>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</si>
  <si>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</si>
  <si>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</si>
  <si>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</si>
  <si>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</si>
  <si>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</si>
  <si>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</si>
  <si>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</si>
  <si>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</si>
  <si>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</si>
  <si>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</si>
  <si>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</si>
  <si>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</si>
  <si>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</si>
  <si>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</si>
  <si>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</si>
  <si>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</si>
  <si>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</si>
  <si>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</si>
  <si>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</si>
  <si>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</si>
  <si>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</si>
  <si>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</si>
  <si>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</si>
  <si>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</si>
  <si>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</si>
  <si>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</si>
  <si>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</si>
  <si>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</si>
  <si>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</si>
  <si>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</si>
  <si>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</si>
  <si>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</si>
  <si>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</si>
  <si>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</si>
  <si>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</si>
  <si>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</si>
  <si>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</si>
  <si>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</si>
  <si>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</si>
  <si>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</si>
  <si>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</si>
  <si>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</si>
  <si>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</si>
  <si>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</si>
  <si>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</si>
  <si>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</si>
  <si>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</si>
  <si>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</si>
  <si>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</si>
  <si>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</si>
  <si>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</si>
  <si>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</si>
  <si>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</si>
  <si>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</si>
  <si>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</si>
  <si>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</si>
  <si>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</si>
  <si>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</si>
  <si>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</si>
  <si>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</si>
  <si>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</si>
  <si>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</si>
  <si>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</si>
  <si>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</si>
  <si>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</si>
  <si>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</si>
  <si>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</si>
  <si>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</si>
  <si>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</si>
  <si>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</si>
  <si>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</si>
  <si>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</si>
  <si>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</si>
  <si>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</si>
  <si>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</si>
  <si>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</si>
  <si>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</si>
  <si>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</si>
  <si>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</si>
  <si>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</si>
  <si>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</si>
  <si>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</si>
  <si>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</si>
  <si>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</si>
  <si>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</si>
  <si>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</si>
  <si>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</si>
  <si>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</si>
  <si>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</si>
  <si>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</si>
  <si>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</si>
  <si>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</si>
  <si>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</si>
  <si>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</si>
  <si>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</si>
  <si>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</si>
  <si>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</si>
  <si>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</si>
  <si>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</si>
  <si>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</si>
  <si>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</si>
  <si>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</si>
  <si>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</si>
  <si>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</si>
  <si>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</si>
  <si>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</si>
  <si>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</si>
  <si>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</si>
  <si>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</si>
  <si>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</si>
  <si>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</si>
  <si>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</si>
  <si>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</si>
  <si>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</si>
  <si>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</si>
  <si>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</si>
  <si>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</si>
  <si>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</si>
  <si>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</si>
  <si>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</si>
  <si>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</si>
  <si>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</si>
  <si>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</si>
  <si>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</si>
  <si>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</si>
  <si>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</si>
  <si>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</si>
  <si>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</si>
  <si>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</si>
  <si>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</si>
  <si>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</si>
  <si>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</si>
  <si>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</si>
  <si>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</si>
  <si>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</si>
  <si>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</si>
  <si>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</si>
  <si>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</si>
  <si>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</si>
  <si>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</si>
  <si>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</si>
  <si>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</si>
  <si>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</si>
  <si>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</si>
  <si>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</si>
  <si>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</si>
  <si>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</si>
  <si>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</si>
  <si>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</si>
  <si>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</si>
  <si>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</si>
  <si>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</si>
  <si>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</si>
  <si>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</si>
  <si>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</si>
  <si>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</si>
  <si>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</si>
  <si>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</si>
  <si>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</si>
  <si>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</si>
  <si>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</si>
  <si>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</si>
  <si>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</si>
  <si>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</si>
  <si>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</si>
  <si>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</si>
  <si>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</si>
  <si>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</si>
  <si>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</si>
  <si>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</si>
  <si>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</si>
  <si>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</si>
  <si>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</si>
  <si>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</si>
  <si>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</si>
  <si>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</si>
  <si>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</si>
  <si>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</si>
  <si>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</si>
  <si>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</si>
  <si>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</si>
  <si>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</si>
  <si>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</si>
  <si>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</si>
  <si>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</si>
  <si>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</si>
  <si>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</si>
  <si>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</si>
  <si>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</si>
  <si>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</si>
  <si>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</si>
  <si>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</si>
  <si>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</si>
  <si>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</si>
  <si>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</si>
  <si>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</si>
  <si>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</si>
  <si>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</si>
  <si>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</si>
  <si>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</si>
  <si>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</si>
  <si>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</si>
  <si>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</si>
  <si>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</si>
  <si>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</si>
  <si>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</si>
  <si>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</si>
  <si>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</si>
  <si>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</si>
  <si>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</si>
  <si>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</si>
  <si>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</si>
  <si>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</si>
  <si>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</si>
  <si>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</si>
  <si>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</si>
  <si>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</si>
  <si>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</si>
  <si>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</si>
  <si>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</si>
  <si>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</si>
  <si>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</si>
  <si>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</si>
  <si>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</si>
  <si>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</si>
  <si>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</si>
  <si>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</si>
  <si>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</si>
  <si>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</si>
  <si>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</si>
  <si>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</si>
  <si>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</si>
  <si>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</si>
  <si>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</si>
  <si>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</si>
  <si>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</si>
  <si>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</si>
  <si>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</si>
  <si>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</si>
  <si>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</si>
  <si>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</si>
  <si>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</si>
  <si>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</si>
  <si>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</si>
  <si>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</si>
  <si>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</si>
  <si>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</si>
  <si>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</si>
  <si>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</si>
  <si>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</si>
  <si>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</si>
  <si>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</si>
  <si>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</si>
  <si>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</si>
  <si>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</si>
  <si>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</si>
  <si>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</si>
  <si>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</si>
  <si>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</si>
  <si>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</si>
  <si>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</si>
  <si>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</si>
  <si>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</si>
  <si>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</si>
  <si>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</si>
  <si>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</si>
  <si>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</si>
  <si>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</si>
  <si>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</si>
  <si>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</si>
  <si>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</si>
  <si>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</si>
  <si>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</si>
  <si>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</si>
  <si>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</si>
  <si>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</si>
  <si>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</si>
  <si>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</si>
  <si>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</si>
  <si>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</si>
  <si>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</si>
  <si>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</si>
  <si>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</si>
  <si>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</si>
  <si>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</si>
  <si>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</si>
  <si>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</si>
  <si>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</si>
  <si>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</si>
  <si>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</si>
  <si>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</si>
  <si>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</si>
  <si>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</si>
  <si>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</si>
  <si>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</si>
  <si>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</si>
  <si>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</si>
  <si>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</si>
  <si>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</si>
  <si>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</si>
  <si>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</si>
  <si>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</si>
  <si>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</si>
  <si>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</si>
  <si>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</si>
  <si>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</si>
  <si>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</si>
  <si>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</si>
  <si>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</si>
  <si>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</si>
  <si>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</si>
  <si>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</si>
  <si>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</si>
  <si>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</si>
  <si>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</si>
  <si>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</si>
  <si>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</si>
  <si>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</si>
  <si>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</si>
  <si>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</si>
  <si>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</si>
  <si>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</si>
  <si>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</si>
  <si>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</si>
  <si>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</si>
  <si>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</si>
  <si>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</si>
  <si>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</si>
  <si>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</si>
  <si>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</si>
  <si>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</si>
  <si>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</si>
  <si>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</si>
  <si>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</si>
  <si>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</si>
  <si>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</si>
  <si>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</si>
  <si>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</si>
  <si>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</si>
  <si>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</si>
  <si>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</si>
  <si>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</si>
  <si>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</si>
  <si>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</si>
  <si>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</si>
  <si>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</si>
  <si>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</si>
  <si>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</si>
  <si>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</si>
  <si>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</si>
  <si>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</si>
  <si>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</si>
  <si>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</si>
  <si>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</si>
  <si>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</si>
  <si>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</si>
  <si>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</si>
  <si>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</si>
  <si>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</si>
  <si>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</si>
  <si>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</si>
  <si>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</si>
  <si>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</si>
  <si>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</si>
  <si>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</si>
  <si>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</si>
  <si>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</si>
  <si>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</si>
  <si>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</si>
  <si>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</si>
  <si>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</si>
  <si>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</si>
  <si>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</si>
  <si>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</si>
  <si>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</si>
  <si>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</si>
  <si>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</si>
  <si>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</si>
  <si>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</si>
  <si>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</si>
  <si>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</si>
  <si>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</si>
  <si>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</si>
  <si>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</si>
  <si>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</si>
  <si>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</si>
  <si>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</si>
  <si>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</si>
  <si>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</si>
  <si>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</si>
  <si>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</si>
  <si>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</si>
  <si>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</si>
  <si>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</si>
  <si>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</si>
  <si>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</si>
  <si>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</si>
  <si>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</si>
  <si>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</si>
  <si>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</si>
  <si>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</si>
  <si>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</si>
  <si>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</si>
  <si>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</si>
  <si>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</si>
  <si>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</si>
  <si>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</si>
  <si>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</si>
  <si>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</si>
  <si>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</si>
  <si>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</si>
  <si>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</si>
  <si>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</si>
  <si>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</si>
  <si>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</si>
  <si>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</si>
  <si>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</si>
  <si>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</si>
  <si>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</si>
  <si>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</si>
  <si>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</si>
  <si>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</si>
  <si>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</si>
  <si>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</si>
  <si>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</si>
  <si>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</si>
  <si>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</si>
  <si>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</si>
  <si>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</si>
  <si>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</si>
  <si>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</si>
  <si>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</si>
  <si>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</si>
  <si>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</si>
  <si>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</si>
  <si>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</si>
  <si>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</si>
  <si>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</si>
  <si>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</si>
  <si>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</si>
  <si>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</si>
  <si>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</si>
  <si>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</si>
  <si>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</si>
  <si>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</si>
  <si>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</si>
  <si>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</si>
  <si>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</si>
  <si>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</si>
  <si>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</si>
  <si>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</si>
  <si>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</si>
  <si>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</si>
  <si>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</si>
  <si>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</si>
  <si>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</si>
  <si>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</si>
  <si>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</si>
  <si>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</si>
  <si>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</si>
  <si>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</si>
  <si>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</si>
  <si>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</si>
  <si>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</si>
  <si>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</si>
  <si>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</si>
  <si>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</si>
  <si>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</si>
  <si>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</si>
  <si>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</si>
  <si>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</si>
  <si>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</si>
  <si>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</si>
  <si>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</si>
  <si>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</si>
  <si>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</si>
  <si>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</si>
  <si>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</si>
  <si>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</si>
  <si>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</si>
  <si>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</si>
  <si>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</si>
  <si>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</si>
  <si>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</si>
  <si>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</si>
  <si>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</si>
  <si>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</si>
  <si>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</si>
  <si>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</si>
  <si>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</si>
  <si>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</si>
  <si>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</si>
  <si>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</si>
  <si>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</si>
  <si>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</si>
  <si>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</si>
  <si>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</si>
  <si>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</si>
  <si>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</si>
  <si>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</si>
  <si>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</si>
  <si>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</si>
  <si>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</si>
  <si>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</si>
  <si>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</si>
  <si>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</si>
  <si>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</si>
  <si>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</si>
  <si>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</si>
  <si>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</si>
  <si>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</si>
  <si>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</si>
  <si>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</si>
  <si>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</si>
  <si>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</si>
  <si>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</si>
  <si>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</si>
  <si>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</si>
  <si>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</si>
  <si>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</si>
  <si>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</si>
  <si>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</si>
  <si>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</si>
  <si>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</si>
  <si>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</si>
  <si>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</si>
  <si>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</si>
  <si>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</si>
  <si>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</si>
  <si>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</si>
  <si>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</si>
  <si>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</si>
  <si>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</si>
  <si>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</si>
  <si>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</si>
  <si>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</si>
  <si>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</si>
  <si>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</si>
  <si>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</si>
  <si>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</si>
  <si>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</si>
  <si>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</si>
  <si>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</si>
  <si>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</si>
  <si>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</si>
  <si>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</si>
  <si>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</si>
  <si>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</si>
  <si>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</si>
  <si>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</si>
  <si>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</si>
  <si>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</si>
  <si>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</si>
  <si>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</si>
  <si>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</si>
  <si>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</si>
  <si>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</si>
  <si>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</si>
  <si>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</si>
  <si>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</si>
  <si>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</si>
  <si>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</si>
  <si>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</si>
  <si>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</si>
  <si>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</si>
  <si>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</si>
  <si>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</si>
  <si>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</si>
  <si>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</si>
  <si>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</si>
  <si>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</si>
  <si>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</si>
  <si>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</si>
  <si>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</si>
  <si>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</si>
  <si>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</si>
  <si>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</si>
  <si>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</si>
  <si>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</si>
  <si>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</si>
  <si>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</si>
  <si>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</si>
  <si>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</si>
  <si>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</si>
  <si>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</si>
  <si>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</si>
  <si>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</si>
  <si>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</si>
  <si>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</si>
  <si>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</si>
  <si>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</si>
  <si>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</si>
  <si>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</si>
  <si>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</si>
  <si>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</si>
  <si>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</si>
  <si>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</si>
  <si>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</si>
  <si>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</si>
  <si>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</si>
  <si>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</si>
  <si>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</si>
  <si>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</si>
  <si>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</si>
  <si>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</si>
  <si>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</si>
  <si>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</si>
  <si>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</si>
  <si>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</si>
  <si>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</si>
  <si>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</si>
  <si>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</si>
  <si>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</si>
  <si>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</si>
  <si>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</si>
  <si>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</si>
  <si>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</si>
  <si>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</si>
  <si>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</si>
  <si>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</si>
  <si>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</si>
  <si>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</si>
  <si>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</si>
  <si>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</si>
  <si>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</si>
  <si>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</si>
  <si>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</si>
  <si>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</si>
  <si>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</si>
  <si>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</si>
  <si>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</si>
  <si>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</si>
  <si>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</si>
  <si>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</si>
  <si>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</si>
  <si>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</si>
  <si>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</si>
  <si>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</si>
  <si>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</si>
  <si>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</si>
  <si>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</si>
  <si>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</si>
  <si>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</si>
  <si>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</si>
  <si>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</si>
  <si>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</si>
  <si>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</si>
  <si>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</si>
  <si>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</si>
  <si>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</si>
  <si>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</si>
  <si>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</si>
  <si>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</si>
  <si>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</si>
  <si>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</si>
  <si>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</si>
  <si>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</si>
  <si>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</si>
  <si>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</si>
  <si>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AHMET GEZINTI</t>
  </si>
  <si>
    <t>KIVILCIM KORKMAZ</t>
  </si>
  <si>
    <t>YUKSEL NAZLIGUL</t>
  </si>
  <si>
    <t>TUGCE KAYA</t>
  </si>
  <si>
    <t>161 170 10 00:01 18 32 Bahcesehir 28 PONITKA, M. Turnover 0 0 0</t>
  </si>
  <si>
    <t>numb 22</t>
  </si>
  <si>
    <t>193 202 12 08:05 21 37 Neptunas 8 GIRDZIUNAS, M. Block 0 0 0</t>
  </si>
  <si>
    <t>numb 21</t>
  </si>
  <si>
    <t>297 306 18 02:23 31 50 Bahcesehir 55 SIPAHI, K. Off Rebound 0 0 0</t>
  </si>
  <si>
    <t>404 414 25 05:29 43 65 Bahcesehir 22 FLYNN, MALACHI Def Rebound 0 0 0</t>
  </si>
  <si>
    <t>umb 8</t>
  </si>
  <si>
    <t>34, 55 no control</t>
  </si>
  <si>
    <t>554 566 34 06:02 64 89 Neptunas 24 WATERMAN, ZANE Foul 0 2 0 4 6</t>
  </si>
  <si>
    <t>262 missed two pointer 24 +off reb 24, between the two blocks</t>
  </si>
  <si>
    <t>Nothing to say. Good vibes, good work.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</si>
</sst>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09_085_BAH_KLA_U2025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45995.791666666664</v>
      </c>
      <c r="C3" s="178"/>
      <c r="D3" s="39">
        <v>663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743</v>
      </c>
      <c r="L4" s="5"/>
      <c r="M4" s="185" t="s">
        <v>841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772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0DED-6D74-46EE-9545-79BED446BC8C}">
  <dimension ref="B2:K7"/>
  <sheetViews>
    <sheetView workbookViewId="0">
      <selection activeCell="B2" sqref="B2:B7"/>
    </sheetView>
  </sheetViews>
  <sheetFormatPr defaultRowHeight="12.75" x14ac:dyDescent="0.2"/>
  <cols>
    <col min="2" max="2" width="80.85546875" bestFit="1" customWidth="1"/>
  </cols>
  <sheetData>
    <row r="2" spans="2:11" ht="15" x14ac:dyDescent="0.2">
      <c r="B2" s="3" t="s">
        <v>831</v>
      </c>
      <c r="K2" s="91" t="s">
        <v>832</v>
      </c>
    </row>
    <row r="3" spans="2:11" ht="15" x14ac:dyDescent="0.2">
      <c r="B3" s="3" t="s">
        <v>833</v>
      </c>
      <c r="K3" s="91" t="s">
        <v>834</v>
      </c>
    </row>
    <row r="4" spans="2:11" ht="15" x14ac:dyDescent="0.2">
      <c r="B4" s="3" t="s">
        <v>840</v>
      </c>
    </row>
    <row r="5" spans="2:11" ht="15" x14ac:dyDescent="0.2">
      <c r="B5" s="3" t="s">
        <v>835</v>
      </c>
      <c r="K5" s="3" t="s">
        <v>838</v>
      </c>
    </row>
    <row r="6" spans="2:11" ht="15" x14ac:dyDescent="0.2">
      <c r="B6" s="3" t="s">
        <v>836</v>
      </c>
      <c r="K6" s="91" t="s">
        <v>837</v>
      </c>
    </row>
    <row r="7" spans="2:11" ht="15" x14ac:dyDescent="0.2">
      <c r="B7" s="3" t="s">
        <v>839</v>
      </c>
      <c r="K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REPORT_U2025085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"U2025085"</v>
      </c>
      <c r="F3" s="45" t="str">
        <f t="shared" ref="F3:F16" si="0">""""&amp;B3&amp;"""" &amp; " : " &amp;C3&amp;","</f>
        <v>"name" : "U2025085",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"U085"</v>
      </c>
      <c r="F4" s="45" t="str">
        <f t="shared" si="0"/>
        <v>"cod" : "U085",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085</v>
      </c>
      <c r="F6" s="45" t="str">
        <f t="shared" si="0"/>
        <v>"number" : 085,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"SERTAC DOSTEL"</v>
      </c>
      <c r="F10" s="45" t="str">
        <f t="shared" si="0"/>
        <v>"Data_entry" : "SERTAC DOSTEL",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"AHMET GEZINTI"</v>
      </c>
      <c r="F11" s="45" t="str">
        <f t="shared" si="0"/>
        <v>"Caller_1" : "AHMET GEZINTI",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"KIVILCIM KORKMAZ"</v>
      </c>
      <c r="F12" s="45" t="str">
        <f t="shared" si="0"/>
        <v>"Caller_2" : "KIVILCIM KORKMAZ",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663</v>
      </c>
      <c r="F25" s="45" t="str">
        <f t="shared" ref="F25:F48" si="1">""""&amp;C25&amp;"""" &amp; " : " &amp;D25&amp;","</f>
        <v>"total_actions" : 663,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"Nothing to say. Good vibes, good work."</v>
      </c>
      <c r="F51" s="45" t="str">
        <f>""""&amp;B51&amp;"""" &amp; " : " &amp;C51&amp;","</f>
        <v>"comments" : "Nothing to say. Good vibes, good work.",</v>
      </c>
    </row>
    <row r="52" spans="2:6" x14ac:dyDescent="0.2">
      <c r="B52" s="43" t="s">
        <v>153</v>
      </c>
      <c r="C52" s="43" t="str">
        <f>TEXT('SCOUT &amp; LOGISTICS'!F1,"0,0")</f>
        <v>09_085_BAH_KLA_U2025</v>
      </c>
      <c r="F52" s="45" t="str">
        <f>""""&amp;B52&amp;"""" &amp; " : " &amp;C52</f>
        <v>"result" : 09_085_BAH_KLA_U2025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U085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SERTAC DOSTEL</v>
      </c>
      <c r="C8" s="201"/>
      <c r="D8" s="201"/>
      <c r="E8" s="201"/>
      <c r="F8" s="201"/>
      <c r="G8" s="201" t="str">
        <f>IF('SCOUT &amp; LOGISTICS'!D7="","",'SCOUT &amp; LOGISTICS'!D7)</f>
        <v>AHMET GEZINTI</v>
      </c>
      <c r="H8" s="201"/>
      <c r="I8" s="201"/>
      <c r="J8" s="201"/>
      <c r="K8" s="201"/>
      <c r="L8" s="201" t="str">
        <f>IF('SCOUT &amp; LOGISTICS'!D8="","",'SCOUT &amp; LOGISTICS'!D8)</f>
        <v>KIVILCIM KORKMAZ</v>
      </c>
      <c r="M8" s="201"/>
      <c r="N8" s="201"/>
      <c r="O8" s="201"/>
      <c r="P8" s="201"/>
      <c r="Q8" s="201" t="str">
        <f>IF('SCOUT &amp; LOGISTICS'!D9="","",'SCOUT &amp; LOGISTICS'!D9)</f>
        <v>YUKSEL NAZLIGUL</v>
      </c>
      <c r="R8" s="201"/>
      <c r="S8" s="201"/>
      <c r="T8" s="201"/>
      <c r="U8" s="201"/>
      <c r="V8" s="201" t="str">
        <f>IF('SCOUT &amp; LOGISTICS'!D10="","",'SCOUT &amp; LOGISTICS'!D10)</f>
        <v>TUGCE KAYA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663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Nothing to say. Good vibes, good work.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C6B8404-E4E4-49F7-A92E-966CE81726DF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2025-12-14T21:30:00Z</cp:lastPrinted>
  <dcterms:created xsi:type="dcterms:W3CDTF">2023-09-19T19:50:35Z</dcterms:created>
  <dcterms:modified xsi:type="dcterms:W3CDTF">2025-12-14T21:30:06Z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