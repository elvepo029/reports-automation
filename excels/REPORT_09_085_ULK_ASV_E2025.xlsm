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3" documentId="8_{63BEE5C2-5421-412F-B42B-9DF225EE55FE}" xr6:coauthVersionLast="47" xr6:coauthVersionMax="47" xr10:uidLastSave="{1E2D6560-C463-4F59-B50D-ABA3B774608C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<sst xmlns="http://schemas.openxmlformats.org/spreadsheetml/2006/main" count="3255" uniqueCount="757">
  <si>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</si>
  <si>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</si>
  <si>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</si>
  <si>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</si>
  <si>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</si>
  <si>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</si>
  <si>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</si>
  <si>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</si>
  <si>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</si>
  <si>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</si>
  <si>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</si>
  <si>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</si>
  <si>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</si>
  <si>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</si>
  <si>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</si>
  <si>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</si>
  <si>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</si>
  <si>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</si>
  <si>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</si>
  <si>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</si>
  <si>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</si>
  <si>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</si>
  <si>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</si>
  <si>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</si>
  <si>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</si>
  <si>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</si>
  <si>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</si>
  <si>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</si>
  <si>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</si>
  <si>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</si>
  <si>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</si>
  <si>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</si>
  <si>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</si>
  <si>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</si>
  <si>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</si>
  <si>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</si>
  <si>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</si>
  <si>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</si>
  <si>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</si>
  <si>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</si>
  <si>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</si>
  <si>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</si>
  <si>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</si>
  <si>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</si>
  <si>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</si>
  <si>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</si>
  <si>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</si>
  <si>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</si>
  <si>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</si>
  <si>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</si>
  <si>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</si>
  <si>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</si>
  <si>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</si>
  <si>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</si>
  <si>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</si>
  <si>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</si>
  <si>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</si>
  <si>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</si>
  <si>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</si>
  <si>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</si>
  <si>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</si>
  <si>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</si>
  <si>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</si>
  <si>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</si>
  <si>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</si>
  <si>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</si>
  <si>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</si>
  <si>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</si>
  <si>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</si>
  <si>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</si>
  <si>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</si>
  <si>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</si>
  <si>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</si>
  <si>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</si>
  <si>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</si>
  <si>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</si>
  <si>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</si>
  <si>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</si>
  <si>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</si>
  <si>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</si>
  <si>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</si>
  <si>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</si>
  <si>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</si>
  <si>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</si>
  <si>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</si>
  <si>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</si>
  <si>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</si>
  <si>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</si>
  <si>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</si>
  <si>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</si>
  <si>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</si>
  <si>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</si>
  <si>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</si>
  <si>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</si>
  <si>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</si>
  <si>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</si>
  <si>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</si>
  <si>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</si>
  <si>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</si>
  <si>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</si>
  <si>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</si>
  <si>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</si>
  <si>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</si>
  <si>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</si>
  <si>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</si>
  <si>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</si>
  <si>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</si>
  <si>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</si>
  <si>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</si>
  <si>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</si>
  <si>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</si>
  <si>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</si>
  <si>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</si>
  <si>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</si>
  <si>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</si>
  <si>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</si>
  <si>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</si>
  <si>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</si>
  <si>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</si>
  <si>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</si>
  <si>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</si>
  <si>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</si>
  <si>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</si>
  <si>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</si>
  <si>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</si>
  <si>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</si>
  <si>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</si>
  <si>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</si>
  <si>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</si>
  <si>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</si>
  <si>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</si>
  <si>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</si>
  <si>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</si>
  <si>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</si>
  <si>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</si>
  <si>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</si>
  <si>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</si>
  <si>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</si>
  <si>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</si>
  <si>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</si>
  <si>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</si>
  <si>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</si>
  <si>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</si>
  <si>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</si>
  <si>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</si>
  <si>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</si>
  <si>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</si>
  <si>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</si>
  <si>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</si>
  <si>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</si>
  <si>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</si>
  <si>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</si>
  <si>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</si>
  <si>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</si>
  <si>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</si>
  <si>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</si>
  <si>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</si>
  <si>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</si>
  <si>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</si>
  <si>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</si>
  <si>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</si>
  <si>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</si>
  <si>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</si>
  <si>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</si>
  <si>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</si>
  <si>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</si>
  <si>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</si>
  <si>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</si>
  <si>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</si>
  <si>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</si>
  <si>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</si>
  <si>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</si>
  <si>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</si>
  <si>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</si>
  <si>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</si>
  <si>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</si>
  <si>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</si>
  <si>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</si>
  <si>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</si>
  <si>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</si>
  <si>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</si>
  <si>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</si>
  <si>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</si>
  <si>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</si>
  <si>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</si>
  <si>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</si>
  <si>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</si>
  <si>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</si>
  <si>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</si>
  <si>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</si>
  <si>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</si>
  <si>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</si>
  <si>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</si>
  <si>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</si>
  <si>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</si>
  <si>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</si>
  <si>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</si>
  <si>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</si>
  <si>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</si>
  <si>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</si>
  <si>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</si>
  <si>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</si>
  <si>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</si>
  <si>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</si>
  <si>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</si>
  <si>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</si>
  <si>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</si>
  <si>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</si>
  <si>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</si>
  <si>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</si>
  <si>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</si>
  <si>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</si>
  <si>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</si>
  <si>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</si>
  <si>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</si>
  <si>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</si>
  <si>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</si>
  <si>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</si>
  <si>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</si>
  <si>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</si>
  <si>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</si>
  <si>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</si>
  <si>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</si>
  <si>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</si>
  <si>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</si>
  <si>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</si>
  <si>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</si>
  <si>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</si>
  <si>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</si>
  <si>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</si>
  <si>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</si>
  <si>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</si>
  <si>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</si>
  <si>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</si>
  <si>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</si>
  <si>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</si>
  <si>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</si>
  <si>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</si>
  <si>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</si>
  <si>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</si>
  <si>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</si>
  <si>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</si>
  <si>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</si>
  <si>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</si>
  <si>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</si>
  <si>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</si>
  <si>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</si>
  <si>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</si>
  <si>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</si>
  <si>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</si>
  <si>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</si>
  <si>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</si>
  <si>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</si>
  <si>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</si>
  <si>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</si>
  <si>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</si>
  <si>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</si>
  <si>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</si>
  <si>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</si>
  <si>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</si>
  <si>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</si>
  <si>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</si>
  <si>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</si>
  <si>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</si>
  <si>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</si>
  <si>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</si>
  <si>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</si>
  <si>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</si>
  <si>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</si>
  <si>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</si>
  <si>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</si>
  <si>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</si>
  <si>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</si>
  <si>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</si>
  <si>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</si>
  <si>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</si>
  <si>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</si>
  <si>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</si>
  <si>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</si>
  <si>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</si>
  <si>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</si>
  <si>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</si>
  <si>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</si>
  <si>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</si>
  <si>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</si>
  <si>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</si>
  <si>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</si>
  <si>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</si>
  <si>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</si>
  <si>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</si>
  <si>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</si>
  <si>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</si>
  <si>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</si>
  <si>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</si>
  <si>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</si>
  <si>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</si>
  <si>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</si>
  <si>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</si>
  <si>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</si>
  <si>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</si>
  <si>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</si>
  <si>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</si>
  <si>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</si>
  <si>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</si>
  <si>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</si>
  <si>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</si>
  <si>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</si>
  <si>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</si>
  <si>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</si>
  <si>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</si>
  <si>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</si>
  <si>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</si>
  <si>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</si>
  <si>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</si>
  <si>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</si>
  <si>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</si>
  <si>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</si>
  <si>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</si>
  <si>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</si>
  <si>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</si>
  <si>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</si>
  <si>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</si>
  <si>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</si>
  <si>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</si>
  <si>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</si>
  <si>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</si>
  <si>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</si>
  <si>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</si>
  <si>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</si>
  <si>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</si>
  <si>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</si>
  <si>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</si>
  <si>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</si>
  <si>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</si>
  <si>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</si>
  <si>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</si>
  <si>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</si>
  <si>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</si>
  <si>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</si>
  <si>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</si>
  <si>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</si>
  <si>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</si>
  <si>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</si>
  <si>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</si>
  <si>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</si>
  <si>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</si>
  <si>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</si>
  <si>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</si>
  <si>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</si>
  <si>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</si>
  <si>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</si>
  <si>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</si>
  <si>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</si>
  <si>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</si>
  <si>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</si>
  <si>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</si>
  <si>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</si>
  <si>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</si>
  <si>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</si>
  <si>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</si>
  <si>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</si>
  <si>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</si>
  <si>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</si>
  <si>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</si>
  <si>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</si>
  <si>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</si>
  <si>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</si>
  <si>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</si>
  <si>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</si>
  <si>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</si>
  <si>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</si>
  <si>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</si>
  <si>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</si>
  <si>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</si>
  <si>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</si>
  <si>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</si>
  <si>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</si>
  <si>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</si>
  <si>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</si>
  <si>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</si>
  <si>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</si>
  <si>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</si>
  <si>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</si>
  <si>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</si>
  <si>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</si>
  <si>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</si>
  <si>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</si>
  <si>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</si>
  <si>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</si>
  <si>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</si>
  <si>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</si>
  <si>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</si>
  <si>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</si>
  <si>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</si>
  <si>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</si>
  <si>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</si>
  <si>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</si>
  <si>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</si>
  <si>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</si>
  <si>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</si>
  <si>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</si>
  <si>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</si>
  <si>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</si>
  <si>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</si>
  <si>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</si>
  <si>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</si>
  <si>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</si>
  <si>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</si>
  <si>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</si>
  <si>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</si>
  <si>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</si>
  <si>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</si>
  <si>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</si>
  <si>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</si>
  <si>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</si>
  <si>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</si>
  <si>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</si>
  <si>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</si>
  <si>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</si>
  <si>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</si>
  <si>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</si>
  <si>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</si>
  <si>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</si>
  <si>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</si>
  <si>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</si>
  <si>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</si>
  <si>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</si>
  <si>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</si>
  <si>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</si>
  <si>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</si>
  <si>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</si>
  <si>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</si>
  <si>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</si>
  <si>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</si>
  <si>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</si>
  <si>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</si>
  <si>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</si>
  <si>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</si>
  <si>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</si>
  <si>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</si>
  <si>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</si>
  <si>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</si>
  <si>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</si>
  <si>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</si>
  <si>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</si>
  <si>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</si>
  <si>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</si>
  <si>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</si>
  <si>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</si>
  <si>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</si>
  <si>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</si>
  <si>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</si>
  <si>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</si>
  <si>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</si>
  <si>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</si>
  <si>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</si>
  <si>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</si>
  <si>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</si>
  <si>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</si>
  <si>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</si>
  <si>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</si>
  <si>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</si>
  <si>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</si>
  <si>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</si>
  <si>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</si>
  <si>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</si>
  <si>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</si>
  <si>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</si>
  <si>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</si>
  <si>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</si>
  <si>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</si>
  <si>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</si>
  <si>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</si>
  <si>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</si>
  <si>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</si>
  <si>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</si>
  <si>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</si>
  <si>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</si>
  <si>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</si>
  <si>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</si>
  <si>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</si>
  <si>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</si>
  <si>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</si>
  <si>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</si>
  <si>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</si>
  <si>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</si>
  <si>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</si>
  <si>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</si>
  <si>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</si>
  <si>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</si>
  <si>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</si>
  <si>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</si>
  <si>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</si>
  <si>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</si>
  <si>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</si>
  <si>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</si>
  <si>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</si>
  <si>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</si>
  <si>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</si>
  <si>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</si>
  <si>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</si>
  <si>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</si>
  <si>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</si>
  <si>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</si>
  <si>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</si>
  <si>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</si>
  <si>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</si>
  <si>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</si>
  <si>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</si>
  <si>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</si>
  <si>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</si>
  <si>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</si>
  <si>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</si>
  <si>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</si>
  <si>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</si>
  <si>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</si>
  <si>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</si>
  <si>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</si>
  <si>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</si>
  <si>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</si>
  <si>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</si>
  <si>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</si>
  <si>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</si>
  <si>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</si>
  <si>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</si>
  <si>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</si>
  <si>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</si>
  <si>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</si>
  <si>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</si>
  <si>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</si>
  <si>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</si>
  <si>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</si>
  <si>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</si>
  <si>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</si>
  <si>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</si>
  <si>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</si>
  <si>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</si>
  <si>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</si>
  <si>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</si>
  <si>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</si>
  <si>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</si>
  <si>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</si>
  <si>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</si>
  <si>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</si>
  <si>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</si>
  <si>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</si>
  <si>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</si>
  <si>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</si>
  <si>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</si>
  <si>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</si>
  <si>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</si>
  <si>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</si>
  <si>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</si>
  <si>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</si>
  <si>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</si>
  <si>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</si>
  <si>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</si>
  <si>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</si>
  <si>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</si>
  <si>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</si>
  <si>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</si>
  <si>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</si>
  <si>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</si>
  <si>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</si>
  <si>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</si>
  <si>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</si>
  <si>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</si>
  <si>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</si>
  <si>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</si>
  <si>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</si>
  <si>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</si>
  <si>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</si>
  <si>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</si>
  <si>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</si>
  <si>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</si>
  <si>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</si>
  <si>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</si>
  <si>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</si>
  <si>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</si>
  <si>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</si>
  <si>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</si>
  <si>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</si>
  <si>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</si>
  <si>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</si>
  <si>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</si>
  <si>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</si>
  <si>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</si>
  <si>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</si>
  <si>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</si>
  <si>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</si>
  <si>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</si>
  <si>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</si>
  <si>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</si>
  <si>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</si>
  <si>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</si>
  <si>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</si>
  <si>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</si>
  <si>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</si>
  <si>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</si>
  <si>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</si>
  <si>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</si>
  <si>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</si>
  <si>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</si>
  <si>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</si>
  <si>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</si>
  <si>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</si>
  <si>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</si>
  <si>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</si>
  <si>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</si>
  <si>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</si>
  <si>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</si>
  <si>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</si>
  <si>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</si>
  <si>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</si>
  <si>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</si>
  <si>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</si>
  <si>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</si>
  <si>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</si>
  <si>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</si>
  <si>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</si>
  <si>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</si>
  <si>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</si>
  <si>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</si>
  <si>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</si>
  <si>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</si>
  <si>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</si>
  <si>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</si>
  <si>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</si>
  <si>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</si>
  <si>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</si>
  <si>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</si>
  <si>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</si>
  <si>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</si>
  <si>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</si>
  <si>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</si>
  <si>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</si>
  <si>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</si>
  <si>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</si>
  <si>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</si>
  <si>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</si>
  <si>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</si>
  <si>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</si>
  <si>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</si>
  <si>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</si>
  <si>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</si>
  <si>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</si>
  <si>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</si>
  <si>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</si>
  <si>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</si>
  <si>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</si>
  <si>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</si>
  <si>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</si>
  <si>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</si>
  <si>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</si>
  <si>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</si>
  <si>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</si>
  <si>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</si>
  <si>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</si>
  <si>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</si>
  <si>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</si>
  <si>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</si>
  <si>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</si>
  <si>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</si>
  <si>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</si>
  <si>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</si>
  <si>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</si>
  <si>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</si>
  <si>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</si>
  <si>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</si>
  <si>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</si>
  <si>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</si>
  <si>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</si>
  <si>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</si>
  <si>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</si>
  <si>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</si>
  <si>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</si>
  <si>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</si>
  <si>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</si>
  <si>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</si>
  <si>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</si>
  <si>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</si>
  <si>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</si>
  <si>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</si>
  <si>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</si>
  <si>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</si>
  <si>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</si>
  <si>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</si>
  <si>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</si>
  <si>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</si>
  <si>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</si>
  <si>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</si>
  <si>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</si>
  <si>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</si>
  <si>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</si>
  <si>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</si>
  <si>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</si>
  <si>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</si>
  <si>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</si>
  <si>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</si>
  <si>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</si>
  <si>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</si>
  <si>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</si>
  <si>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</si>
  <si>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</si>
  <si>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</si>
  <si>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</si>
  <si>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</si>
  <si>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</si>
  <si>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</si>
  <si>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</si>
  <si>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</si>
  <si>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</si>
  <si>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</si>
  <si>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</si>
  <si>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</si>
  <si>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</si>
  <si>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</si>
  <si>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</si>
  <si>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</si>
  <si>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</si>
  <si>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</si>
  <si>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</si>
  <si>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</si>
  <si>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</si>
  <si>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</si>
  <si>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</si>
  <si>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</si>
  <si>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</si>
  <si>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</si>
  <si>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</si>
  <si>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</si>
  <si>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</si>
  <si>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</si>
  <si>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</si>
  <si>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</si>
  <si>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</si>
  <si>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</si>
  <si>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</si>
  <si>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</si>
  <si>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</si>
  <si>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</si>
  <si>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</si>
  <si>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</si>
  <si>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</si>
  <si>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</si>
  <si>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</si>
  <si>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</si>
  <si>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</si>
  <si>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</si>
  <si>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</si>
  <si>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SERTAC DOSTEL</t>
  </si>
  <si>
    <t>ORHAN YENIHAYAT</t>
  </si>
  <si>
    <t>XAVI MATEU</t>
  </si>
  <si>
    <t>C:\Users\xavi.mateu\OneDrive - EUROLEAGUE\Desktop</t>
  </si>
  <si>
    <t>Excellent job!</t>
  </si>
  <si>
    <t>05:51</t>
  </si>
  <si>
    <t>7:54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</si>
</sst>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09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09_085_ULK_ASV_E2025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85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45967.864583333336</v>
      </c>
      <c r="C3" s="178"/>
      <c r="D3" s="39">
        <v>571</v>
      </c>
      <c r="E3" s="29"/>
      <c r="F3" s="26">
        <f>SUBTOTAL(3,I17:I106)</f>
        <v>2</v>
      </c>
      <c r="G3" s="27">
        <f>IF(OR(D3="",D3=0),"",F3/D3)</f>
        <v>3.5026269702276708E-3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754</v>
      </c>
      <c r="N4" s="186"/>
      <c r="O4" s="2"/>
      <c r="P4" s="2"/>
      <c r="Q4" s="84" t="s">
        <v>175</v>
      </c>
      <c r="R4" s="94">
        <f>(IF(G3="",0,G3))</f>
        <v>3.5026269702276708E-3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0.35026269702276708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1.3502626970227671</v>
      </c>
      <c r="N7" s="58"/>
      <c r="O7" s="2"/>
      <c r="P7" s="2"/>
      <c r="Q7" s="86">
        <f>SUM(R5,S5,AC16)</f>
        <v>1.3502626970227671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1.3502626970227671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738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739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740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85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752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85</v>
      </c>
      <c r="D17" s="32" t="s">
        <v>755</v>
      </c>
      <c r="E17" s="33">
        <v>1</v>
      </c>
      <c r="F17" s="36">
        <v>6</v>
      </c>
      <c r="G17" s="36">
        <v>8</v>
      </c>
      <c r="H17" s="38" t="str">
        <f>IF(I17="","",$I$14)</f>
        <v>SCOUTING</v>
      </c>
      <c r="I17" s="34">
        <v>64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85</v>
      </c>
      <c r="D18" s="32" t="s">
        <v>756</v>
      </c>
      <c r="E18" s="33">
        <v>2</v>
      </c>
      <c r="F18" s="36">
        <v>22</v>
      </c>
      <c r="G18" s="36">
        <v>14</v>
      </c>
      <c r="H18" s="38" t="str">
        <f t="shared" ref="H18:H81" si="8">IF(I18="","",$I$14)</f>
        <v>SCOUTING</v>
      </c>
      <c r="I18" s="34">
        <v>149</v>
      </c>
      <c r="J18" s="13" t="s">
        <v>4</v>
      </c>
      <c r="K18" s="13" t="s">
        <v>63</v>
      </c>
      <c r="L18" s="13" t="s">
        <v>5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REPORT_E2025085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"E2025085"</v>
      </c>
      <c r="F3" s="45" t="str">
        <f t="shared" ref="F3:F16" si="0">""""&amp;B3&amp;"""" &amp; " : " &amp;C3&amp;","</f>
        <v>"name" : "E2025085",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"E085"</v>
      </c>
      <c r="F4" s="45" t="str">
        <f t="shared" si="0"/>
        <v>"cod" : "E085",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085</v>
      </c>
      <c r="F6" s="45" t="str">
        <f t="shared" si="0"/>
        <v>"number" : 085,</v>
      </c>
    </row>
    <row r="7" spans="2:6" x14ac:dyDescent="0.25">
      <c r="B7" s="43" t="s">
        <v>116</v>
      </c>
      <c r="C7" s="43" t="str">
        <f ca="1">""""&amp;TEXT('SCOUT &amp; LOGISTICS'!B3,"dd/mm/aaaa")&amp;""""</f>
        <v>"06/11/Thursday"</v>
      </c>
      <c r="F7" s="45" t="str">
        <f t="shared" ca="1" si="0"/>
        <v>"date" : "06/11/Thursday",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"SERHAT LEVENT"</v>
      </c>
      <c r="F13" s="45" t="str">
        <f t="shared" si="0"/>
        <v>"Timerkeeper" : "SERHAT LEVENT",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"AHMET ERKASAP"</v>
      </c>
      <c r="F14" s="45" t="str">
        <f t="shared" si="0"/>
        <v>"Shotclock" : "AHMET ERKASAP",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571</v>
      </c>
      <c r="F25" s="45" t="str">
        <f t="shared" ref="F25:F48" si="1">""""&amp;C25&amp;"""" &amp; " : " &amp;D25&amp;","</f>
        <v>"total_actions" : 571,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job!"</v>
      </c>
      <c r="F51" s="45" t="str">
        <f>""""&amp;B51&amp;"""" &amp; " : " &amp;C51&amp;","</f>
        <v>"comments" : "Excellent job!",</v>
      </c>
    </row>
    <row r="52" spans="2:6" x14ac:dyDescent="0.25">
      <c r="B52" s="43" t="s">
        <v>153</v>
      </c>
      <c r="C52" s="43" t="str">
        <f>TEXT('SCOUT &amp; LOGISTICS'!F1,"0,0")</f>
        <v>09_085_ULK_ASV_E2025</v>
      </c>
      <c r="F52" s="45" t="str">
        <f>""""&amp;B52&amp;"""" &amp; " : " &amp;C52</f>
        <v>"result" : 09_085_ULK_ASV_E2025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E085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06/11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SERTAC DOSTEL</v>
      </c>
      <c r="H8" s="201"/>
      <c r="I8" s="201"/>
      <c r="J8" s="201"/>
      <c r="K8" s="201"/>
      <c r="L8" s="201" t="str">
        <f>IF('SCOUT &amp; LOGISTICS'!D8="","",'SCOUT &amp; LOGISTICS'!D8)</f>
        <v>ORHAN YENIHAYAT</v>
      </c>
      <c r="M8" s="201"/>
      <c r="N8" s="201"/>
      <c r="O8" s="201"/>
      <c r="P8" s="201"/>
      <c r="Q8" s="201" t="str">
        <f>IF('SCOUT &amp; LOGISTICS'!D9="","",'SCOUT &amp; LOGISTICS'!D9)</f>
        <v>SERHAT LEVENT</v>
      </c>
      <c r="R8" s="201"/>
      <c r="S8" s="201"/>
      <c r="T8" s="201"/>
      <c r="U8" s="201"/>
      <c r="V8" s="201" t="str">
        <f>IF('SCOUT &amp; LOGISTICS'!D10="","",'SCOUT &amp; LOGISTICS'!D10)</f>
        <v>AHMET ERKASAP</v>
      </c>
      <c r="W8" s="201"/>
      <c r="X8" s="201"/>
      <c r="Y8" s="201"/>
      <c r="Z8" s="201"/>
      <c r="AA8" s="201" t="str">
        <f>IF('SCOUT &amp; LOGISTICS'!D11="","",'SCOUT &amp; LOGISTICS'!D11)</f>
        <v>MURAT KUS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571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3.5026269702276708E-3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Excellent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1.3502626970227671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957660-AB62-41F2-8BCE-EA9FA95ECFD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2025-11-07T15:17:41Z</cp:lastPrinted>
  <dcterms:created xsi:type="dcterms:W3CDTF">2023-09-19T19:50:35Z</dcterms:created>
  <dcterms:modified xsi:type="dcterms:W3CDTF">2025-11-07T15:17:47Z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