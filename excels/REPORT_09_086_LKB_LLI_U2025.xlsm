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1" documentId="8_{439BEFC5-C211-4BD7-8418-8C87765BEC68}" xr6:coauthVersionLast="47" xr6:coauthVersionMax="47" xr10:uidLastSave="{C11547C7-A57D-4980-811B-2B2E0D9A13D2}"/>
  <bookViews>
    <workbookView xWindow="574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<sst xmlns="http://schemas.openxmlformats.org/spreadsheetml/2006/main" count="3343" uniqueCount="834">
  <si>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</si>
  <si>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</si>
  <si>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</si>
  <si>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</si>
  <si>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</si>
  <si>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</si>
  <si>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</si>
  <si>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</si>
  <si>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</si>
  <si>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</si>
  <si>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</si>
  <si>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</si>
  <si>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</si>
  <si>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</si>
  <si>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</si>
  <si>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</si>
  <si>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</si>
  <si>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</si>
  <si>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</si>
  <si>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</si>
  <si>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</si>
  <si>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</si>
  <si>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</si>
  <si>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</si>
  <si>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</si>
  <si>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</si>
  <si>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</si>
  <si>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</si>
  <si>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</si>
  <si>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</si>
  <si>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</si>
  <si>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</si>
  <si>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</si>
  <si>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</si>
  <si>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</si>
  <si>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</si>
  <si>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</si>
  <si>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</si>
  <si>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</si>
  <si>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</si>
  <si>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</si>
  <si>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</si>
  <si>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</si>
  <si>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</si>
  <si>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</si>
  <si>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</si>
  <si>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</si>
  <si>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</si>
  <si>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</si>
  <si>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</si>
  <si>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</si>
  <si>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</si>
  <si>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</si>
  <si>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</si>
  <si>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</si>
  <si>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</si>
  <si>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</si>
  <si>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</si>
  <si>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</si>
  <si>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</si>
  <si>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</si>
  <si>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</si>
  <si>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</si>
  <si>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</si>
  <si>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</si>
  <si>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</si>
  <si>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</si>
  <si>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</si>
  <si>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</si>
  <si>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</si>
  <si>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</si>
  <si>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</si>
  <si>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</si>
  <si>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</si>
  <si>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</si>
  <si>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</si>
  <si>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</si>
  <si>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</si>
  <si>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</si>
  <si>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</si>
  <si>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</si>
  <si>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</si>
  <si>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</si>
  <si>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</si>
  <si>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</si>
  <si>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</si>
  <si>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</si>
  <si>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</si>
  <si>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</si>
  <si>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</si>
  <si>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</si>
  <si>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</si>
  <si>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</si>
  <si>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</si>
  <si>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</si>
  <si>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</si>
  <si>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</si>
  <si>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</si>
  <si>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</si>
  <si>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</si>
  <si>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</si>
  <si>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</si>
  <si>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</si>
  <si>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</si>
  <si>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</si>
  <si>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</si>
  <si>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</si>
  <si>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</si>
  <si>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</si>
  <si>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</si>
  <si>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</si>
  <si>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</si>
  <si>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</si>
  <si>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</si>
  <si>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</si>
  <si>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</si>
  <si>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</si>
  <si>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</si>
  <si>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</si>
  <si>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</si>
  <si>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</si>
  <si>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</si>
  <si>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</si>
  <si>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</si>
  <si>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</si>
  <si>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</si>
  <si>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</si>
  <si>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</si>
  <si>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</si>
  <si>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</si>
  <si>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</si>
  <si>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</si>
  <si>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</si>
  <si>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</si>
  <si>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</si>
  <si>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</si>
  <si>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</si>
  <si>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</si>
  <si>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</si>
  <si>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</si>
  <si>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</si>
  <si>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</si>
  <si>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</si>
  <si>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</si>
  <si>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</si>
  <si>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</si>
  <si>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</si>
  <si>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</si>
  <si>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</si>
  <si>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</si>
  <si>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</si>
  <si>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</si>
  <si>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</si>
  <si>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</si>
  <si>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</si>
  <si>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</si>
  <si>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</si>
  <si>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</si>
  <si>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</si>
  <si>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</si>
  <si>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</si>
  <si>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</si>
  <si>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</si>
  <si>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</si>
  <si>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</si>
  <si>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</si>
  <si>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</si>
  <si>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</si>
  <si>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</si>
  <si>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</si>
  <si>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</si>
  <si>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</si>
  <si>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</si>
  <si>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</si>
  <si>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</si>
  <si>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</si>
  <si>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</si>
  <si>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</si>
  <si>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</si>
  <si>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</si>
  <si>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</si>
  <si>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</si>
  <si>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</si>
  <si>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</si>
  <si>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</si>
  <si>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</si>
  <si>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</si>
  <si>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</si>
  <si>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</si>
  <si>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</si>
  <si>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</si>
  <si>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</si>
  <si>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</si>
  <si>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</si>
  <si>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</si>
  <si>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</si>
  <si>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</si>
  <si>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</si>
  <si>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</si>
  <si>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</si>
  <si>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</si>
  <si>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</si>
  <si>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</si>
  <si>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</si>
  <si>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</si>
  <si>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</si>
  <si>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</si>
  <si>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</si>
  <si>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</si>
  <si>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</si>
  <si>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</si>
  <si>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</si>
  <si>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</si>
  <si>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</si>
  <si>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</si>
  <si>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</si>
  <si>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</si>
  <si>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</si>
  <si>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</si>
  <si>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</si>
  <si>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</si>
  <si>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</si>
  <si>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</si>
  <si>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</si>
  <si>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</si>
  <si>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</si>
  <si>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</si>
  <si>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</si>
  <si>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</si>
  <si>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</si>
  <si>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</si>
  <si>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</si>
  <si>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</si>
  <si>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</si>
  <si>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</si>
  <si>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</si>
  <si>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</si>
  <si>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</si>
  <si>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</si>
  <si>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</si>
  <si>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</si>
  <si>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</si>
  <si>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</si>
  <si>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</si>
  <si>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</si>
  <si>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</si>
  <si>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</si>
  <si>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</si>
  <si>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</si>
  <si>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</si>
  <si>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</si>
  <si>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</si>
  <si>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</si>
  <si>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</si>
  <si>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</si>
  <si>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</si>
  <si>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</si>
  <si>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</si>
  <si>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</si>
  <si>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</si>
  <si>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</si>
  <si>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</si>
  <si>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</si>
  <si>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</si>
  <si>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</si>
  <si>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</si>
  <si>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</si>
  <si>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</si>
  <si>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</si>
  <si>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</si>
  <si>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</si>
  <si>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</si>
  <si>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</si>
  <si>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</si>
  <si>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</si>
  <si>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</si>
  <si>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</si>
  <si>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</si>
  <si>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</si>
  <si>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</si>
  <si>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</si>
  <si>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</si>
  <si>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</si>
  <si>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</si>
  <si>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</si>
  <si>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</si>
  <si>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</si>
  <si>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</si>
  <si>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</si>
  <si>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</si>
  <si>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</si>
  <si>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</si>
  <si>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</si>
  <si>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</si>
  <si>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</si>
  <si>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</si>
  <si>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</si>
  <si>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</si>
  <si>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</si>
  <si>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</si>
  <si>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</si>
  <si>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</si>
  <si>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</si>
  <si>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</si>
  <si>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</si>
  <si>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</si>
  <si>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</si>
  <si>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</si>
  <si>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</si>
  <si>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</si>
  <si>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</si>
  <si>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</si>
  <si>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</si>
  <si>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</si>
  <si>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</si>
  <si>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</si>
  <si>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</si>
  <si>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</si>
  <si>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</si>
  <si>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</si>
  <si>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</si>
  <si>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</si>
  <si>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</si>
  <si>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</si>
  <si>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</si>
  <si>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</si>
  <si>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</si>
  <si>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</si>
  <si>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</si>
  <si>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</si>
  <si>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</si>
  <si>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</si>
  <si>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</si>
  <si>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</si>
  <si>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</si>
  <si>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</si>
  <si>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</si>
  <si>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</si>
  <si>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</si>
  <si>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</si>
  <si>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</si>
  <si>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</si>
  <si>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</si>
  <si>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</si>
  <si>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</si>
  <si>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</si>
  <si>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</si>
  <si>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</si>
  <si>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</si>
  <si>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</si>
  <si>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</si>
  <si>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</si>
  <si>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</si>
  <si>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</si>
  <si>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</si>
  <si>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</si>
  <si>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</si>
  <si>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</si>
  <si>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</si>
  <si>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</si>
  <si>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</si>
  <si>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</si>
  <si>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</si>
  <si>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</si>
  <si>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</si>
  <si>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</si>
  <si>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</si>
  <si>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</si>
  <si>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</si>
  <si>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</si>
  <si>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</si>
  <si>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</si>
  <si>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</si>
  <si>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</si>
  <si>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</si>
  <si>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</si>
  <si>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</si>
  <si>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</si>
  <si>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</si>
  <si>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</si>
  <si>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</si>
  <si>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</si>
  <si>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</si>
  <si>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</si>
  <si>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</si>
  <si>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</si>
  <si>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</si>
  <si>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</si>
  <si>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</si>
  <si>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</si>
  <si>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</si>
  <si>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</si>
  <si>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</si>
  <si>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</si>
  <si>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</si>
  <si>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</si>
  <si>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</si>
  <si>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</si>
  <si>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</si>
  <si>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</si>
  <si>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</si>
  <si>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</si>
  <si>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</si>
  <si>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</si>
  <si>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</si>
  <si>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</si>
  <si>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</si>
  <si>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</si>
  <si>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</si>
  <si>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</si>
  <si>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</si>
  <si>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</si>
  <si>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</si>
  <si>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</si>
  <si>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</si>
  <si>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</si>
  <si>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</si>
  <si>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</si>
  <si>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</si>
  <si>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</si>
  <si>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</si>
  <si>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</si>
  <si>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</si>
  <si>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</si>
  <si>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</si>
  <si>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</si>
  <si>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</si>
  <si>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</si>
  <si>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</si>
  <si>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</si>
  <si>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</si>
  <si>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</si>
  <si>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</si>
  <si>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</si>
  <si>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</si>
  <si>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</si>
  <si>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</si>
  <si>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</si>
  <si>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</si>
  <si>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</si>
  <si>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</si>
  <si>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</si>
  <si>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</si>
  <si>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</si>
  <si>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</si>
  <si>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</si>
  <si>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</si>
  <si>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</si>
  <si>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</si>
  <si>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</si>
  <si>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</si>
  <si>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</si>
  <si>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</si>
  <si>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</si>
  <si>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</si>
  <si>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</si>
  <si>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</si>
  <si>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</si>
  <si>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</si>
  <si>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</si>
  <si>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</si>
  <si>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</si>
  <si>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</si>
  <si>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</si>
  <si>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</si>
  <si>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</si>
  <si>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</si>
  <si>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</si>
  <si>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</si>
  <si>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</si>
  <si>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</si>
  <si>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</si>
  <si>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</si>
  <si>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</si>
  <si>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</si>
  <si>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</si>
  <si>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</si>
  <si>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</si>
  <si>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</si>
  <si>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</si>
  <si>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</si>
  <si>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</si>
  <si>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</si>
  <si>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</si>
  <si>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</si>
  <si>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</si>
  <si>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</si>
  <si>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</si>
  <si>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</si>
  <si>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</si>
  <si>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</si>
  <si>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</si>
  <si>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</si>
  <si>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</si>
  <si>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</si>
  <si>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</si>
  <si>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</si>
  <si>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</si>
  <si>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</si>
  <si>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</si>
  <si>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</si>
  <si>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</si>
  <si>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</si>
  <si>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</si>
  <si>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</si>
  <si>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</si>
  <si>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</si>
  <si>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</si>
  <si>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</si>
  <si>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</si>
  <si>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</si>
  <si>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</si>
  <si>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</si>
  <si>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</si>
  <si>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</si>
  <si>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</si>
  <si>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</si>
  <si>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</si>
  <si>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</si>
  <si>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</si>
  <si>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</si>
  <si>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</si>
  <si>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</si>
  <si>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</si>
  <si>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</si>
  <si>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</si>
  <si>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</si>
  <si>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</si>
  <si>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</si>
  <si>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</si>
  <si>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</si>
  <si>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</si>
  <si>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</si>
  <si>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</si>
  <si>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</si>
  <si>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</si>
  <si>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</si>
  <si>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</si>
  <si>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</si>
  <si>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</si>
  <si>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</si>
  <si>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</si>
  <si>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</si>
  <si>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</si>
  <si>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</si>
  <si>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</si>
  <si>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</si>
  <si>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</si>
  <si>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</si>
  <si>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</si>
  <si>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</si>
  <si>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</si>
  <si>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</si>
  <si>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</si>
  <si>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</si>
  <si>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</si>
  <si>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</si>
  <si>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</si>
  <si>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</si>
  <si>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</si>
  <si>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</si>
  <si>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</si>
  <si>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</si>
  <si>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</si>
  <si>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</si>
  <si>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</si>
  <si>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</si>
  <si>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</si>
  <si>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</si>
  <si>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</si>
  <si>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</si>
  <si>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</si>
  <si>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</si>
  <si>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</si>
  <si>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</si>
  <si>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</si>
  <si>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</si>
  <si>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</si>
  <si>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</si>
  <si>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</si>
  <si>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</si>
  <si>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</si>
  <si>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</si>
  <si>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</si>
  <si>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</si>
  <si>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</si>
  <si>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</si>
  <si>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</si>
  <si>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</si>
  <si>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</si>
  <si>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</si>
  <si>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</si>
  <si>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</si>
  <si>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</si>
  <si>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</si>
  <si>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</si>
  <si>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</si>
  <si>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</si>
  <si>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</si>
  <si>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</si>
  <si>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</si>
  <si>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</si>
  <si>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</si>
  <si>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</si>
  <si>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</si>
  <si>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</si>
  <si>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</si>
  <si>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</si>
  <si>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</si>
  <si>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</si>
  <si>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</si>
  <si>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</si>
  <si>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</si>
  <si>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</si>
  <si>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</si>
  <si>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</si>
  <si>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</si>
  <si>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</si>
  <si>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</si>
  <si>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</si>
  <si>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</si>
  <si>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</si>
  <si>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</si>
  <si>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</si>
  <si>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</si>
  <si>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</si>
  <si>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</si>
  <si>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</si>
  <si>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</si>
  <si>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</si>
  <si>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</si>
  <si>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</si>
  <si>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</si>
  <si>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</si>
  <si>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</si>
  <si>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</si>
  <si>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</si>
  <si>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</si>
  <si>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</si>
  <si>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</si>
  <si>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</si>
  <si>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</si>
  <si>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</si>
  <si>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</si>
  <si>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</si>
  <si>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</si>
  <si>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</si>
  <si>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</si>
  <si>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</si>
  <si>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</si>
  <si>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</si>
  <si>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</si>
  <si>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</si>
  <si>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</si>
  <si>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</si>
  <si>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</si>
  <si>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</si>
  <si>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</si>
  <si>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</si>
  <si>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</si>
  <si>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</si>
  <si>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</si>
  <si>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</si>
  <si>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</si>
  <si>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</si>
  <si>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</si>
  <si>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</si>
  <si>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</si>
  <si>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</si>
  <si>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</si>
  <si>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</si>
  <si>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</si>
  <si>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</si>
  <si>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</si>
  <si>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</si>
  <si>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</si>
  <si>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</si>
  <si>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</si>
  <si>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</si>
  <si>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</si>
  <si>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</si>
  <si>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</si>
  <si>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</si>
  <si>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</si>
  <si>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</si>
  <si>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</si>
  <si>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</si>
  <si>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</si>
  <si>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</si>
  <si>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</si>
  <si>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</si>
  <si>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</si>
  <si>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</si>
  <si>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</si>
  <si>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</si>
  <si>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</si>
  <si>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</si>
  <si>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</si>
  <si>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</si>
  <si>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</si>
  <si>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</si>
  <si>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</si>
  <si>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</si>
  <si>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</si>
  <si>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</si>
  <si>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</si>
  <si>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</si>
  <si>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</si>
  <si>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</si>
  <si>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</si>
  <si>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</si>
  <si>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</si>
  <si>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</si>
  <si>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</si>
  <si>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</si>
  <si>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</si>
  <si>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</si>
  <si>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</si>
  <si>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</si>
  <si>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</si>
  <si>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</si>
  <si>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</si>
  <si>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</si>
  <si>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</si>
  <si>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</si>
  <si>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</si>
  <si>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</si>
  <si>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</si>
  <si>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</si>
  <si>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</si>
  <si>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</si>
  <si>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</si>
  <si>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</si>
  <si>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</si>
  <si>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</si>
  <si>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</si>
  <si>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</si>
  <si>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</si>
  <si>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</si>
  <si>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</si>
  <si>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</si>
  <si>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</si>
  <si>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</si>
  <si>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</si>
  <si>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</si>
  <si>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</si>
  <si>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</si>
  <si>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</si>
  <si>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</si>
  <si>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</si>
  <si>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</si>
  <si>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</si>
  <si>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</si>
  <si>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</si>
  <si>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</si>
  <si>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</si>
  <si>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</si>
  <si>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</si>
  <si>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</si>
  <si>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</si>
  <si>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</si>
  <si>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</si>
  <si>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</si>
  <si>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</si>
  <si>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</si>
  <si>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</si>
  <si>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</si>
  <si>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</si>
  <si>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</si>
  <si>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</si>
  <si>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</si>
  <si>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</si>
  <si>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</si>
  <si>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</si>
  <si>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</si>
  <si>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</si>
  <si>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</si>
  <si>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</si>
  <si>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</si>
  <si>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</si>
  <si>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</si>
  <si>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</si>
  <si>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</si>
  <si>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</si>
  <si>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</si>
  <si>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</si>
  <si>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</si>
  <si>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</si>
  <si>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</si>
  <si>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</si>
  <si>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</si>
  <si>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</si>
  <si>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</si>
  <si>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</si>
  <si>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</si>
  <si>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</si>
  <si>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</si>
  <si>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</si>
  <si>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</si>
  <si>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</si>
  <si>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</si>
  <si>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</si>
  <si>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</si>
  <si>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</si>
  <si>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</si>
  <si>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</si>
  <si>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</si>
  <si>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</si>
  <si>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</si>
  <si>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</si>
  <si>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</si>
  <si>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</si>
  <si>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</si>
  <si>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</si>
  <si>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</si>
  <si>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</si>
  <si>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</si>
  <si>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</si>
  <si>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</si>
  <si>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</si>
  <si>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</si>
  <si>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</si>
  <si>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</si>
  <si>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</si>
  <si>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</si>
  <si>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</si>
  <si>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 VENTURA</t>
  </si>
  <si>
    <t>DOVILE RUSONYTE</t>
  </si>
  <si>
    <t>ODETA DULIENE</t>
  </si>
  <si>
    <t>VIDAS MACYS</t>
  </si>
  <si>
    <t xml:space="preserve">GOOD AND EFFICIENT PRE-GAME </t>
  </si>
  <si>
    <t>VERY VERY GOOD GAME. NOT MISTAKES OR "WRONG" DATA EDITED REALLY REALLY FAST!! JUST DON'T LELAY TOO MUCH ON EDITING IF WE CAN GET IT RIGHT AT FIRST ;)</t>
  </si>
  <si>
    <t>04:50</t>
  </si>
  <si>
    <t>09:52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</si>
</sst>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30" sqref="L30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09_086_LKB_LLI_U2025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86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45995.833333333336</v>
      </c>
      <c r="C3" s="157"/>
      <c r="D3" s="39">
        <v>588</v>
      </c>
      <c r="E3" s="29"/>
      <c r="F3" s="26">
        <f>SUBTOTAL(3,I17:I106)</f>
        <v>2</v>
      </c>
      <c r="G3" s="27">
        <f>IF(OR(D3="",D3=0),"",F3/D3)</f>
        <v>3.4013605442176869E-3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Lietkabelis Panevezys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LKB</v>
      </c>
      <c r="I4" s="5"/>
      <c r="J4" s="119" t="s">
        <v>714</v>
      </c>
      <c r="K4" s="54" t="s">
        <v>743</v>
      </c>
      <c r="L4" s="5"/>
      <c r="M4" s="167" t="s">
        <v>831</v>
      </c>
      <c r="N4" s="168"/>
      <c r="O4" s="2"/>
      <c r="P4" s="2"/>
      <c r="Q4" s="84" t="s">
        <v>175</v>
      </c>
      <c r="R4" s="94">
        <f>(IF(G3="",0,G3))</f>
        <v>3.4013605442176869E-3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London Lions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LLI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0.3401360544217687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799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3.8401360544217686</v>
      </c>
      <c r="N7" s="58"/>
      <c r="O7" s="2"/>
      <c r="P7" s="2"/>
      <c r="Q7" s="86">
        <f>SUM(R5,S5,AC16)</f>
        <v>3.8401360544217686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801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3.8401360544217686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828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829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86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830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86</v>
      </c>
      <c r="D17" s="32" t="s">
        <v>832</v>
      </c>
      <c r="E17" s="33">
        <v>1</v>
      </c>
      <c r="F17" s="36">
        <v>7</v>
      </c>
      <c r="G17" s="36">
        <v>8</v>
      </c>
      <c r="H17" s="38" t="str">
        <f>IF(I17="","",$I$14)</f>
        <v>SCOUTING</v>
      </c>
      <c r="I17" s="34">
        <v>76</v>
      </c>
      <c r="J17" s="13" t="s">
        <v>4</v>
      </c>
      <c r="K17" s="13" t="s">
        <v>63</v>
      </c>
      <c r="L17" s="13" t="s">
        <v>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86</v>
      </c>
      <c r="D18" s="32" t="s">
        <v>833</v>
      </c>
      <c r="E18" s="33">
        <v>4</v>
      </c>
      <c r="F18" s="36">
        <v>49</v>
      </c>
      <c r="G18" s="36">
        <v>61</v>
      </c>
      <c r="H18" s="38" t="str">
        <f t="shared" ref="H18:H81" si="8">IF(I18="","",$I$14)</f>
        <v>SCOUTING</v>
      </c>
      <c r="I18" s="34">
        <v>434</v>
      </c>
      <c r="J18" s="13" t="s">
        <v>4</v>
      </c>
      <c r="K18" s="13" t="s">
        <v>62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REPORT_U2025086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"U2025086"</v>
      </c>
      <c r="F3" s="45" t="str">
        <f t="shared" ref="F3:F16" si="0">""""&amp;B3&amp;"""" &amp; " : " &amp;C3&amp;","</f>
        <v>"name" : "U2025086",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"U086"</v>
      </c>
      <c r="F4" s="45" t="str">
        <f t="shared" si="0"/>
        <v>"cod" : "U086",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086</v>
      </c>
      <c r="F6" s="45" t="str">
        <f t="shared" si="0"/>
        <v>"number" : 086,</v>
      </c>
    </row>
    <row r="7" spans="2:6" x14ac:dyDescent="0.2">
      <c r="B7" s="43" t="s">
        <v>116</v>
      </c>
      <c r="C7" s="43" t="str">
        <f ca="1">""""&amp;TEXT('SCOUT &amp; LOGISTICS'!B3,"dd/mm/aaaa")&amp;""""</f>
        <v>"04/12/2025"</v>
      </c>
      <c r="F7" s="45" t="str">
        <f t="shared" ca="1" si="0"/>
        <v>"date" : "04/12/2025",</v>
      </c>
    </row>
    <row r="8" spans="2:6" x14ac:dyDescent="0.2">
      <c r="B8" s="43" t="s">
        <v>125</v>
      </c>
      <c r="C8" s="43" t="str">
        <f>""""&amp;'SCOUT &amp; LOGISTICS'!D4 &amp;""""</f>
        <v>"Lietkabelis Panevezys"</v>
      </c>
      <c r="F8" s="45" t="str">
        <f t="shared" si="0"/>
        <v>"home_team" : "Lietkabelis Panevezys",</v>
      </c>
    </row>
    <row r="9" spans="2:6" x14ac:dyDescent="0.2">
      <c r="B9" s="43" t="s">
        <v>126</v>
      </c>
      <c r="C9" s="43" t="str">
        <f>""""&amp;'SCOUT &amp; LOGISTICS'!D5&amp;""""</f>
        <v>"London Lions"</v>
      </c>
      <c r="F9" s="45" t="str">
        <f t="shared" si="0"/>
        <v>"away_team" : "London Lions",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"DOVILE RUSONYTE"</v>
      </c>
      <c r="F10" s="45" t="str">
        <f t="shared" si="0"/>
        <v>"Data_entry" : "DOVILE RUSONYTE",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"GINTARE BUKARTAITE"</v>
      </c>
      <c r="F12" s="45" t="str">
        <f t="shared" si="0"/>
        <v>"Caller_2" : "GINTARE BUKARTAITE",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"ODETA DULIENE"</v>
      </c>
      <c r="F13" s="45" t="str">
        <f t="shared" si="0"/>
        <v>"Timerkeeper" : "ODETA DULIENE",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"VIDAS MACYS"</v>
      </c>
      <c r="F14" s="45" t="str">
        <f t="shared" si="0"/>
        <v>"Shotclock" : "VIDAS MACYS",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 VENTURA"</v>
      </c>
      <c r="F16" s="45" t="str">
        <f t="shared" si="0"/>
        <v>"Live_Game_Manager" : "MAR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588</v>
      </c>
      <c r="F25" s="45" t="str">
        <f t="shared" ref="F25:F48" si="1">""""&amp;C25&amp;"""" &amp; " : " &amp;D25&amp;","</f>
        <v>"total_actions" : 588,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VERY GOOD GAME. NOT MISTAKES OR "WRONG" DATA EDITED REALLY REALLY FAST!! JUST DON'T LELAY TOO MUCH ON EDITING IF WE CAN GET IT RIGHT AT FIRST ;)"</v>
      </c>
      <c r="F51" s="45" t="str">
        <f>""""&amp;B51&amp;"""" &amp; " : " &amp;C51&amp;","</f>
        <v>"comments" : "VERY VERY GOOD GAME. NOT MISTAKES OR "WRONG" DATA EDITED REALLY REALLY FAST!! JUST DON'T LELAY TOO MUCH ON EDITING IF WE CAN GET IT RIGHT AT FIRST ;)",</v>
      </c>
    </row>
    <row r="52" spans="2:6" x14ac:dyDescent="0.2">
      <c r="B52" s="43" t="s">
        <v>153</v>
      </c>
      <c r="C52" s="43" t="str">
        <f>TEXT('SCOUT &amp; LOGISTICS'!F1,"0,0")</f>
        <v>09_086_LKB_LLI_U2025</v>
      </c>
      <c r="F52" s="45" t="str">
        <f>""""&amp;B52&amp;"""" &amp; " : " &amp;C52</f>
        <v>"result" : 09_086_LKB_LLI_U2025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U086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Lietkabelis Panevezys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London Lions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DOVILE RUSONYTE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GINTARE BUKARTAITE</v>
      </c>
      <c r="M8" s="206"/>
      <c r="N8" s="206"/>
      <c r="O8" s="206"/>
      <c r="P8" s="206"/>
      <c r="Q8" s="206" t="str">
        <f>IF('SCOUT &amp; LOGISTICS'!D9="","",'SCOUT &amp; LOGISTICS'!D9)</f>
        <v>ODETA DULIENE</v>
      </c>
      <c r="R8" s="206"/>
      <c r="S8" s="206"/>
      <c r="T8" s="206"/>
      <c r="U8" s="206"/>
      <c r="V8" s="206" t="str">
        <f>IF('SCOUT &amp; LOGISTICS'!D10="","",'SCOUT &amp; LOGISTICS'!D10)</f>
        <v>VIDAS MACYS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588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3.4013605442176869E-3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VERY GOOD GAME. NOT MISTAKES OR "WRONG" DATA EDITED REALLY REALLY FAST!! JUST DON'T LELAY TOO MUCH ON EDITING IF WE CAN GET IT RIGHT AT FIRST 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3.8401360544217686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EEC62A-47EF-4B5A-8552-757C474EE573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2025-12-04T16:52:38Z</cp:lastPrinted>
  <dcterms:created xsi:type="dcterms:W3CDTF">2023-09-19T19:50:35Z</dcterms:created>
  <dcterms:modified xsi:type="dcterms:W3CDTF">2025-12-09T16:46:51Z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