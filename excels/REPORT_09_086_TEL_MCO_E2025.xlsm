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3" documentId="8_{E0EAED69-D4FC-4C2D-B24B-A090725948AB}" xr6:coauthVersionLast="47" xr6:coauthVersionMax="47" xr10:uidLastSave="{CB663605-31E6-4B1C-A424-846B3FB63397}"/>
  <bookViews>
    <workbookView minimized="1" xWindow="-5490" yWindow="-15465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<sst xmlns="http://schemas.openxmlformats.org/spreadsheetml/2006/main" count="3244" uniqueCount="757">
  <si>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</si>
  <si>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</si>
  <si>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</si>
  <si>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</si>
  <si>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</si>
  <si>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</si>
  <si>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</si>
  <si>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</si>
  <si>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</si>
  <si>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</si>
  <si>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</si>
  <si>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</si>
  <si>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</si>
  <si>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</si>
  <si>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</si>
  <si>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</si>
  <si>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</si>
  <si>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</si>
  <si>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</si>
  <si>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</si>
  <si>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</si>
  <si>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</si>
  <si>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</si>
  <si>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</si>
  <si>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</si>
  <si>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</si>
  <si>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</si>
  <si>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</si>
  <si>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</si>
  <si>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</si>
  <si>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</si>
  <si>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</si>
  <si>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</si>
  <si>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</si>
  <si>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</si>
  <si>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</si>
  <si>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</si>
  <si>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</si>
  <si>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</si>
  <si>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</si>
  <si>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</si>
  <si>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</si>
  <si>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</si>
  <si>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</si>
  <si>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</si>
  <si>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</si>
  <si>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</si>
  <si>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</si>
  <si>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</si>
  <si>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</si>
  <si>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</si>
  <si>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</si>
  <si>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</si>
  <si>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</si>
  <si>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</si>
  <si>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</si>
  <si>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</si>
  <si>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</si>
  <si>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</si>
  <si>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</si>
  <si>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</si>
  <si>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</si>
  <si>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</si>
  <si>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</si>
  <si>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</si>
  <si>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</si>
  <si>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</si>
  <si>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</si>
  <si>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</si>
  <si>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</si>
  <si>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</si>
  <si>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</si>
  <si>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</si>
  <si>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</si>
  <si>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</si>
  <si>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</si>
  <si>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</si>
  <si>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</si>
  <si>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</si>
  <si>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</si>
  <si>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</si>
  <si>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</si>
  <si>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</si>
  <si>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</si>
  <si>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</si>
  <si>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</si>
  <si>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</si>
  <si>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</si>
  <si>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</si>
  <si>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</si>
  <si>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</si>
  <si>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</si>
  <si>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</si>
  <si>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</si>
  <si>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</si>
  <si>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</si>
  <si>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</si>
  <si>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</si>
  <si>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</si>
  <si>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</si>
  <si>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</si>
  <si>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</si>
  <si>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</si>
  <si>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</si>
  <si>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</si>
  <si>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</si>
  <si>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</si>
  <si>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</si>
  <si>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</si>
  <si>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</si>
  <si>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</si>
  <si>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</si>
  <si>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</si>
  <si>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</si>
  <si>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</si>
  <si>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</si>
  <si>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</si>
  <si>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</si>
  <si>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</si>
  <si>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</si>
  <si>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</si>
  <si>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</si>
  <si>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</si>
  <si>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</si>
  <si>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</si>
  <si>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</si>
  <si>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</si>
  <si>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</si>
  <si>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</si>
  <si>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</si>
  <si>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</si>
  <si>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</si>
  <si>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</si>
  <si>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</si>
  <si>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</si>
  <si>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</si>
  <si>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</si>
  <si>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</si>
  <si>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</si>
  <si>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</si>
  <si>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</si>
  <si>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</si>
  <si>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</si>
  <si>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</si>
  <si>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</si>
  <si>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</si>
  <si>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</si>
  <si>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</si>
  <si>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</si>
  <si>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</si>
  <si>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</si>
  <si>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</si>
  <si>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</si>
  <si>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</si>
  <si>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</si>
  <si>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</si>
  <si>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</si>
  <si>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</si>
  <si>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</si>
  <si>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</si>
  <si>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</si>
  <si>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</si>
  <si>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</si>
  <si>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</si>
  <si>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</si>
  <si>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</si>
  <si>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</si>
  <si>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</si>
  <si>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</si>
  <si>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</si>
  <si>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</si>
  <si>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</si>
  <si>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</si>
  <si>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</si>
  <si>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</si>
  <si>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</si>
  <si>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</si>
  <si>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</si>
  <si>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</si>
  <si>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</si>
  <si>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</si>
  <si>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</si>
  <si>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</si>
  <si>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</si>
  <si>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</si>
  <si>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</si>
  <si>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</si>
  <si>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</si>
  <si>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</si>
  <si>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</si>
  <si>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</si>
  <si>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</si>
  <si>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</si>
  <si>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</si>
  <si>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</si>
  <si>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</si>
  <si>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</si>
  <si>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</si>
  <si>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</si>
  <si>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</si>
  <si>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</si>
  <si>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</si>
  <si>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</si>
  <si>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</si>
  <si>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</si>
  <si>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</si>
  <si>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</si>
  <si>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</si>
  <si>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</si>
  <si>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</si>
  <si>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</si>
  <si>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</si>
  <si>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</si>
  <si>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</si>
  <si>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</si>
  <si>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</si>
  <si>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</si>
  <si>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</si>
  <si>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</si>
  <si>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</si>
  <si>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</si>
  <si>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</si>
  <si>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</si>
  <si>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</si>
  <si>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</si>
  <si>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</si>
  <si>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</si>
  <si>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</si>
  <si>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</si>
  <si>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</si>
  <si>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</si>
  <si>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</si>
  <si>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</si>
  <si>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</si>
  <si>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</si>
  <si>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</si>
  <si>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</si>
  <si>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</si>
  <si>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</si>
  <si>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</si>
  <si>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</si>
  <si>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</si>
  <si>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</si>
  <si>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</si>
  <si>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</si>
  <si>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</si>
  <si>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</si>
  <si>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</si>
  <si>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</si>
  <si>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</si>
  <si>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</si>
  <si>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</si>
  <si>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</si>
  <si>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</si>
  <si>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</si>
  <si>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</si>
  <si>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</si>
  <si>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</si>
  <si>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</si>
  <si>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</si>
  <si>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</si>
  <si>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</si>
  <si>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</si>
  <si>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</si>
  <si>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</si>
  <si>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</si>
  <si>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</si>
  <si>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</si>
  <si>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</si>
  <si>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</si>
  <si>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</si>
  <si>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</si>
  <si>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</si>
  <si>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</si>
  <si>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</si>
  <si>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</si>
  <si>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</si>
  <si>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</si>
  <si>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</si>
  <si>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</si>
  <si>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</si>
  <si>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</si>
  <si>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</si>
  <si>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</si>
  <si>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</si>
  <si>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</si>
  <si>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</si>
  <si>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</si>
  <si>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</si>
  <si>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</si>
  <si>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</si>
  <si>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</si>
  <si>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</si>
  <si>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</si>
  <si>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</si>
  <si>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</si>
  <si>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</si>
  <si>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</si>
  <si>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</si>
  <si>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</si>
  <si>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</si>
  <si>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</si>
  <si>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</si>
  <si>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</si>
  <si>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</si>
  <si>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</si>
  <si>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</si>
  <si>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</si>
  <si>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</si>
  <si>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</si>
  <si>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</si>
  <si>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</si>
  <si>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</si>
  <si>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</si>
  <si>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</si>
  <si>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</si>
  <si>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</si>
  <si>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</si>
  <si>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</si>
  <si>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</si>
  <si>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</si>
  <si>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</si>
  <si>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</si>
  <si>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</si>
  <si>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</si>
  <si>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</si>
  <si>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</si>
  <si>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</si>
  <si>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</si>
  <si>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</si>
  <si>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</si>
  <si>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</si>
  <si>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</si>
  <si>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</si>
  <si>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</si>
  <si>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</si>
  <si>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</si>
  <si>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</si>
  <si>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</si>
  <si>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</si>
  <si>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</si>
  <si>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</si>
  <si>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</si>
  <si>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</si>
  <si>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</si>
  <si>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</si>
  <si>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</si>
  <si>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</si>
  <si>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</si>
  <si>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</si>
  <si>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</si>
  <si>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</si>
  <si>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</si>
  <si>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</si>
  <si>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</si>
  <si>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</si>
  <si>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</si>
  <si>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</si>
  <si>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</si>
  <si>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</si>
  <si>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</si>
  <si>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</si>
  <si>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</si>
  <si>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</si>
  <si>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</si>
  <si>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</si>
  <si>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</si>
  <si>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</si>
  <si>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</si>
  <si>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</si>
  <si>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</si>
  <si>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</si>
  <si>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</si>
  <si>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</si>
  <si>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</si>
  <si>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</si>
  <si>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</si>
  <si>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</si>
  <si>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</si>
  <si>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</si>
  <si>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</si>
  <si>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</si>
  <si>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</si>
  <si>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</si>
  <si>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</si>
  <si>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</si>
  <si>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</si>
  <si>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</si>
  <si>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</si>
  <si>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</si>
  <si>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</si>
  <si>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</si>
  <si>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</si>
  <si>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</si>
  <si>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</si>
  <si>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</si>
  <si>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</si>
  <si>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</si>
  <si>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</si>
  <si>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</si>
  <si>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</si>
  <si>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</si>
  <si>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</si>
  <si>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</si>
  <si>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</si>
  <si>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</si>
  <si>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</si>
  <si>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</si>
  <si>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</si>
  <si>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</si>
  <si>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</si>
  <si>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</si>
  <si>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</si>
  <si>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</si>
  <si>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</si>
  <si>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</si>
  <si>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</si>
  <si>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</si>
  <si>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</si>
  <si>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</si>
  <si>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</si>
  <si>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</si>
  <si>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</si>
  <si>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</si>
  <si>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</si>
  <si>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</si>
  <si>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</si>
  <si>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</si>
  <si>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</si>
  <si>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</si>
  <si>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</si>
  <si>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</si>
  <si>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</si>
  <si>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</si>
  <si>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</si>
  <si>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</si>
  <si>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</si>
  <si>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</si>
  <si>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</si>
  <si>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</si>
  <si>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</si>
  <si>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</si>
  <si>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</si>
  <si>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</si>
  <si>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</si>
  <si>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</si>
  <si>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</si>
  <si>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</si>
  <si>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</si>
  <si>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</si>
  <si>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</si>
  <si>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</si>
  <si>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</si>
  <si>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</si>
  <si>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</si>
  <si>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</si>
  <si>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</si>
  <si>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</si>
  <si>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</si>
  <si>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</si>
  <si>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</si>
  <si>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</si>
  <si>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</si>
  <si>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</si>
  <si>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</si>
  <si>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</si>
  <si>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</si>
  <si>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</si>
  <si>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</si>
  <si>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</si>
  <si>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</si>
  <si>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</si>
  <si>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</si>
  <si>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</si>
  <si>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</si>
  <si>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</si>
  <si>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</si>
  <si>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</si>
  <si>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</si>
  <si>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</si>
  <si>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</si>
  <si>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</si>
  <si>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</si>
  <si>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</si>
  <si>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</si>
  <si>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</si>
  <si>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</si>
  <si>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</si>
  <si>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</si>
  <si>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</si>
  <si>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</si>
  <si>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</si>
  <si>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</si>
  <si>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</si>
  <si>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</si>
  <si>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</si>
  <si>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</si>
  <si>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</si>
  <si>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</si>
  <si>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</si>
  <si>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</si>
  <si>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</si>
  <si>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</si>
  <si>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</si>
  <si>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</si>
  <si>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</si>
  <si>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</si>
  <si>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</si>
  <si>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</si>
  <si>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</si>
  <si>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</si>
  <si>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</si>
  <si>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</si>
  <si>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</si>
  <si>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</si>
  <si>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</si>
  <si>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</si>
  <si>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</si>
  <si>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</si>
  <si>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</si>
  <si>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</si>
  <si>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</si>
  <si>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</si>
  <si>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</si>
  <si>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</si>
  <si>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</si>
  <si>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</si>
  <si>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</si>
  <si>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</si>
  <si>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</si>
  <si>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</si>
  <si>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</si>
  <si>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</si>
  <si>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</si>
  <si>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</si>
  <si>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</si>
  <si>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</si>
  <si>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</si>
  <si>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</si>
  <si>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</si>
  <si>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</si>
  <si>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</si>
  <si>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</si>
  <si>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</si>
  <si>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</si>
  <si>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</si>
  <si>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</si>
  <si>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</si>
  <si>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</si>
  <si>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</si>
  <si>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</si>
  <si>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</si>
  <si>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</si>
  <si>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</si>
  <si>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</si>
  <si>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</si>
  <si>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</si>
  <si>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</si>
  <si>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</si>
  <si>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</si>
  <si>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</si>
  <si>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</si>
  <si>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</si>
  <si>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</si>
  <si>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</si>
  <si>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</si>
  <si>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</si>
  <si>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</si>
  <si>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</si>
  <si>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</si>
  <si>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</si>
  <si>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</si>
  <si>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</si>
  <si>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</si>
  <si>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</si>
  <si>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</si>
  <si>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</si>
  <si>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</si>
  <si>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</si>
  <si>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</si>
  <si>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</si>
  <si>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</si>
  <si>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</si>
  <si>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</si>
  <si>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</si>
  <si>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</si>
  <si>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</si>
  <si>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</si>
  <si>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</si>
  <si>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</si>
  <si>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</si>
  <si>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</si>
  <si>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</si>
  <si>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</si>
  <si>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</si>
  <si>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</si>
  <si>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</si>
  <si>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</si>
  <si>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</si>
  <si>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</si>
  <si>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</si>
  <si>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</si>
  <si>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</si>
  <si>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</si>
  <si>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</si>
  <si>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</si>
  <si>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</si>
  <si>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</si>
  <si>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</si>
  <si>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</si>
  <si>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</si>
  <si>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</si>
  <si>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</si>
  <si>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</si>
  <si>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</si>
  <si>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</si>
  <si>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</si>
  <si>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</si>
  <si>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</si>
  <si>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</si>
  <si>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</si>
  <si>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</si>
  <si>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</si>
  <si>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</si>
  <si>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</si>
  <si>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</si>
  <si>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</si>
  <si>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</si>
  <si>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</si>
  <si>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</si>
  <si>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</si>
  <si>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</si>
  <si>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</si>
  <si>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</si>
  <si>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</si>
  <si>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</si>
  <si>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</si>
  <si>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</si>
  <si>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</si>
  <si>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</si>
  <si>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</si>
  <si>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</si>
  <si>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</si>
  <si>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</si>
  <si>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</si>
  <si>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</si>
  <si>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</si>
  <si>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</si>
  <si>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</si>
  <si>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</si>
  <si>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</si>
  <si>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</si>
  <si>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</si>
  <si>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</si>
  <si>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</si>
  <si>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</si>
  <si>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</si>
  <si>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</si>
  <si>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</si>
  <si>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</si>
  <si>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</si>
  <si>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</si>
  <si>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</si>
  <si>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</si>
  <si>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</si>
  <si>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</si>
  <si>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</si>
  <si>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</si>
  <si>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</si>
  <si>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</si>
  <si>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</si>
  <si>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</si>
  <si>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</si>
  <si>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</si>
  <si>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</si>
  <si>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</si>
  <si>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</si>
  <si>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</si>
  <si>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</si>
  <si>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</si>
  <si>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</si>
  <si>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</si>
  <si>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</si>
  <si>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</si>
  <si>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</si>
  <si>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</si>
  <si>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</si>
  <si>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</si>
  <si>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</si>
  <si>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</si>
  <si>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</si>
  <si>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</si>
  <si>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</si>
  <si>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</si>
  <si>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</si>
  <si>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</si>
  <si>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</si>
  <si>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</si>
  <si>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</si>
  <si>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</si>
  <si>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</si>
  <si>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</si>
  <si>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</si>
  <si>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</si>
  <si>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</si>
  <si>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</si>
  <si>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</si>
  <si>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</si>
  <si>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</si>
  <si>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</si>
  <si>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</si>
  <si>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</si>
  <si>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</si>
  <si>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</si>
  <si>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</si>
  <si>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</si>
  <si>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</si>
  <si>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</si>
  <si>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</si>
  <si>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</si>
  <si>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</si>
  <si>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</si>
  <si>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</si>
  <si>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</si>
  <si>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</si>
  <si>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</si>
  <si>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</si>
  <si>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</si>
  <si>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</si>
  <si>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</si>
  <si>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</si>
  <si>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</si>
  <si>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</si>
  <si>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</si>
  <si>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</si>
  <si>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</si>
  <si>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</si>
  <si>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</si>
  <si>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</si>
  <si>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</si>
  <si>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</si>
  <si>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</si>
  <si>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</si>
  <si>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</si>
  <si>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</si>
  <si>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</si>
  <si>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</si>
  <si>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</si>
  <si>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</si>
  <si>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</si>
  <si>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</si>
  <si>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</si>
  <si>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VASILJEVIC, PETAR</t>
  </si>
  <si>
    <t>PRPA, IVANA</t>
  </si>
  <si>
    <t>KRSTIC, ANA</t>
  </si>
  <si>
    <t>VASILJEVIC, IVANA</t>
  </si>
  <si>
    <t>VASILJEVIC, PREDRAG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</si>
</sst>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6" sqref="D6:G10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09_086_TEL_MCO_E2025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86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45967.836805555555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755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756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REPORT_E2025086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"E2025086"</v>
      </c>
      <c r="F3" s="45" t="str">
        <f t="shared" ref="F3:F16" si="0">""""&amp;B3&amp;"""" &amp; " : " &amp;C3&amp;","</f>
        <v>"name" : "E2025086",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"E086"</v>
      </c>
      <c r="F4" s="45" t="str">
        <f t="shared" si="0"/>
        <v>"cod" : "E086",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086</v>
      </c>
      <c r="F6" s="45" t="str">
        <f t="shared" si="0"/>
        <v>"number" : 086,</v>
      </c>
    </row>
    <row r="7" spans="2:6" x14ac:dyDescent="0.2">
      <c r="B7" s="43" t="s">
        <v>116</v>
      </c>
      <c r="C7" s="43" t="str">
        <f ca="1">""""&amp;TEXT('SCOUT &amp; LOGISTICS'!B3,"dd/mm/aaaa")&amp;""""</f>
        <v>"06/11/Thursday"</v>
      </c>
      <c r="F7" s="45" t="str">
        <f t="shared" ca="1" si="0"/>
        <v>"date" : "06/11/Thursday",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"VASILJEVIC, PETAR"</v>
      </c>
      <c r="F10" s="45" t="str">
        <f t="shared" si="0"/>
        <v>"Data_entry" : "VASILJEVIC, PETAR",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"VASILJEVIC, IVANA"</v>
      </c>
      <c r="F11" s="45" t="str">
        <f t="shared" si="0"/>
        <v>"Caller_1" : "VASILJEVIC, IVANA",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"VASILJEVIC, PREDRAG"</v>
      </c>
      <c r="F12" s="45" t="str">
        <f t="shared" si="0"/>
        <v>"Caller_2" : "VASILJEVIC, PREDRAG",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"PRPA, IVANA"</v>
      </c>
      <c r="F13" s="45" t="str">
        <f t="shared" si="0"/>
        <v>"Timerkeeper" : "PRPA, IVANA",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"KRSTIC, ANA"</v>
      </c>
      <c r="F14" s="45" t="str">
        <f t="shared" si="0"/>
        <v>"Shotclock" : "KRSTIC, ANA",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09_086_TEL_MCO_E2025</v>
      </c>
      <c r="F52" s="45" t="str">
        <f>""""&amp;B52&amp;"""" &amp; " : " &amp;C52</f>
        <v>"result" : 09_086_TEL_MCO_E2025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E086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VASILJEVIC, PETAR</v>
      </c>
      <c r="C8" s="201"/>
      <c r="D8" s="201"/>
      <c r="E8" s="201"/>
      <c r="F8" s="201"/>
      <c r="G8" s="201" t="str">
        <f>IF('SCOUT &amp; LOGISTICS'!D7="","",'SCOUT &amp; LOGISTICS'!D7)</f>
        <v>VASILJEVIC, IVANA</v>
      </c>
      <c r="H8" s="201"/>
      <c r="I8" s="201"/>
      <c r="J8" s="201"/>
      <c r="K8" s="201"/>
      <c r="L8" s="201" t="str">
        <f>IF('SCOUT &amp; LOGISTICS'!D8="","",'SCOUT &amp; LOGISTICS'!D8)</f>
        <v>VASILJEVIC, PREDRAG</v>
      </c>
      <c r="M8" s="201"/>
      <c r="N8" s="201"/>
      <c r="O8" s="201"/>
      <c r="P8" s="201"/>
      <c r="Q8" s="201" t="str">
        <f>IF('SCOUT &amp; LOGISTICS'!D9="","",'SCOUT &amp; LOGISTICS'!D9)</f>
        <v>PRPA, IVANA</v>
      </c>
      <c r="R8" s="201"/>
      <c r="S8" s="201"/>
      <c r="T8" s="201"/>
      <c r="U8" s="201"/>
      <c r="V8" s="201" t="str">
        <f>IF('SCOUT &amp; LOGISTICS'!D10="","",'SCOUT &amp; LOGISTICS'!D10)</f>
        <v>KRSTIC, ANA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D8ED321-6237-404E-914A-081288692459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2025-11-21T21:53:40Z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