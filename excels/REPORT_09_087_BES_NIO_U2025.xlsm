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6" documentId="8_{5C7E1C55-121E-4EB0-A137-371DDC6AFA55}" xr6:coauthVersionLast="47" xr6:coauthVersionMax="47" xr10:uidLastSave="{37595670-2706-410E-BD58-B11C6425EDE2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<sst xmlns="http://schemas.openxmlformats.org/spreadsheetml/2006/main" count="3363" uniqueCount="839">
  <si>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</si>
  <si>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</si>
  <si>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</si>
  <si>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</si>
  <si>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</si>
  <si>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</si>
  <si>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</si>
  <si>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</si>
  <si>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</si>
  <si>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</si>
  <si>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</si>
  <si>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</si>
  <si>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</si>
  <si>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</si>
  <si>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</si>
  <si>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</si>
  <si>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</si>
  <si>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</si>
  <si>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</si>
  <si>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</si>
  <si>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</si>
  <si>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</si>
  <si>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</si>
  <si>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</si>
  <si>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</si>
  <si>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</si>
  <si>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</si>
  <si>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</si>
  <si>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</si>
  <si>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</si>
  <si>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</si>
  <si>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</si>
  <si>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</si>
  <si>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</si>
  <si>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</si>
  <si>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</si>
  <si>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</si>
  <si>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</si>
  <si>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</si>
  <si>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</si>
  <si>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</si>
  <si>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</si>
  <si>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</si>
  <si>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</si>
  <si>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</si>
  <si>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</si>
  <si>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</si>
  <si>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</si>
  <si>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</si>
  <si>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</si>
  <si>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</si>
  <si>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</si>
  <si>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</si>
  <si>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</si>
  <si>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</si>
  <si>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</si>
  <si>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</si>
  <si>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</si>
  <si>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</si>
  <si>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</si>
  <si>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</si>
  <si>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</si>
  <si>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</si>
  <si>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</si>
  <si>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</si>
  <si>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</si>
  <si>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</si>
  <si>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</si>
  <si>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</si>
  <si>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</si>
  <si>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</si>
  <si>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</si>
  <si>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</si>
  <si>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</si>
  <si>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</si>
  <si>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</si>
  <si>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</si>
  <si>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</si>
  <si>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</si>
  <si>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</si>
  <si>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</si>
  <si>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</si>
  <si>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</si>
  <si>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</si>
  <si>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</si>
  <si>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</si>
  <si>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</si>
  <si>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</si>
  <si>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</si>
  <si>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</si>
  <si>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</si>
  <si>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</si>
  <si>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</si>
  <si>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</si>
  <si>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</si>
  <si>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</si>
  <si>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</si>
  <si>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</si>
  <si>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</si>
  <si>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</si>
  <si>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</si>
  <si>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</si>
  <si>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</si>
  <si>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</si>
  <si>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</si>
  <si>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</si>
  <si>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</si>
  <si>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</si>
  <si>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</si>
  <si>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</si>
  <si>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</si>
  <si>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</si>
  <si>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</si>
  <si>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</si>
  <si>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</si>
  <si>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</si>
  <si>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</si>
  <si>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</si>
  <si>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</si>
  <si>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</si>
  <si>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</si>
  <si>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</si>
  <si>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</si>
  <si>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</si>
  <si>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</si>
  <si>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</si>
  <si>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</si>
  <si>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</si>
  <si>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</si>
  <si>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</si>
  <si>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</si>
  <si>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</si>
  <si>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</si>
  <si>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</si>
  <si>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</si>
  <si>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</si>
  <si>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</si>
  <si>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</si>
  <si>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</si>
  <si>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</si>
  <si>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</si>
  <si>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</si>
  <si>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</si>
  <si>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</si>
  <si>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</si>
  <si>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</si>
  <si>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</si>
  <si>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</si>
  <si>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</si>
  <si>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</si>
  <si>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</si>
  <si>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</si>
  <si>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</si>
  <si>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</si>
  <si>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</si>
  <si>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</si>
  <si>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</si>
  <si>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</si>
  <si>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</si>
  <si>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</si>
  <si>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</si>
  <si>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</si>
  <si>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</si>
  <si>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</si>
  <si>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</si>
  <si>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</si>
  <si>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</si>
  <si>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</si>
  <si>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</si>
  <si>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</si>
  <si>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</si>
  <si>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</si>
  <si>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</si>
  <si>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</si>
  <si>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</si>
  <si>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</si>
  <si>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</si>
  <si>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</si>
  <si>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</si>
  <si>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</si>
  <si>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</si>
  <si>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</si>
  <si>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</si>
  <si>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</si>
  <si>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</si>
  <si>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</si>
  <si>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</si>
  <si>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</si>
  <si>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</si>
  <si>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</si>
  <si>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</si>
  <si>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</si>
  <si>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</si>
  <si>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</si>
  <si>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</si>
  <si>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</si>
  <si>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</si>
  <si>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</si>
  <si>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</si>
  <si>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</si>
  <si>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</si>
  <si>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</si>
  <si>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</si>
  <si>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</si>
  <si>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</si>
  <si>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</si>
  <si>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</si>
  <si>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</si>
  <si>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</si>
  <si>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</si>
  <si>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</si>
  <si>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</si>
  <si>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</si>
  <si>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</si>
  <si>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</si>
  <si>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</si>
  <si>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</si>
  <si>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</si>
  <si>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</si>
  <si>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</si>
  <si>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</si>
  <si>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</si>
  <si>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</si>
  <si>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</si>
  <si>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</si>
  <si>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</si>
  <si>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</si>
  <si>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</si>
  <si>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</si>
  <si>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</si>
  <si>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</si>
  <si>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</si>
  <si>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</si>
  <si>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</si>
  <si>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</si>
  <si>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</si>
  <si>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</si>
  <si>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</si>
  <si>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</si>
  <si>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</si>
  <si>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</si>
  <si>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</si>
  <si>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</si>
  <si>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</si>
  <si>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</si>
  <si>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</si>
  <si>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</si>
  <si>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</si>
  <si>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</si>
  <si>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</si>
  <si>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</si>
  <si>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</si>
  <si>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</si>
  <si>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</si>
  <si>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</si>
  <si>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</si>
  <si>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</si>
  <si>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</si>
  <si>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</si>
  <si>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</si>
  <si>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</si>
  <si>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</si>
  <si>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</si>
  <si>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</si>
  <si>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</si>
  <si>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</si>
  <si>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</si>
  <si>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</si>
  <si>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</si>
  <si>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</si>
  <si>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</si>
  <si>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</si>
  <si>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</si>
  <si>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</si>
  <si>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</si>
  <si>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</si>
  <si>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</si>
  <si>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</si>
  <si>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</si>
  <si>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</si>
  <si>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</si>
  <si>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</si>
  <si>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</si>
  <si>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</si>
  <si>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</si>
  <si>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</si>
  <si>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</si>
  <si>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</si>
  <si>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</si>
  <si>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</si>
  <si>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</si>
  <si>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</si>
  <si>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</si>
  <si>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</si>
  <si>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</si>
  <si>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</si>
  <si>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</si>
  <si>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</si>
  <si>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</si>
  <si>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</si>
  <si>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</si>
  <si>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</si>
  <si>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</si>
  <si>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</si>
  <si>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</si>
  <si>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</si>
  <si>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</si>
  <si>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</si>
  <si>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</si>
  <si>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</si>
  <si>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</si>
  <si>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</si>
  <si>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</si>
  <si>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</si>
  <si>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</si>
  <si>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</si>
  <si>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</si>
  <si>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</si>
  <si>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</si>
  <si>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</si>
  <si>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</si>
  <si>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</si>
  <si>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</si>
  <si>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</si>
  <si>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</si>
  <si>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</si>
  <si>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</si>
  <si>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</si>
  <si>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</si>
  <si>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</si>
  <si>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</si>
  <si>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</si>
  <si>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</si>
  <si>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</si>
  <si>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</si>
  <si>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</si>
  <si>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</si>
  <si>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</si>
  <si>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</si>
  <si>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</si>
  <si>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</si>
  <si>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</si>
  <si>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</si>
  <si>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</si>
  <si>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</si>
  <si>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</si>
  <si>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</si>
  <si>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</si>
  <si>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</si>
  <si>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</si>
  <si>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</si>
  <si>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</si>
  <si>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</si>
  <si>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</si>
  <si>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</si>
  <si>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</si>
  <si>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</si>
  <si>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</si>
  <si>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</si>
  <si>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</si>
  <si>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</si>
  <si>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</si>
  <si>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</si>
  <si>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</si>
  <si>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</si>
  <si>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</si>
  <si>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</si>
  <si>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</si>
  <si>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</si>
  <si>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</si>
  <si>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</si>
  <si>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</si>
  <si>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</si>
  <si>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</si>
  <si>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</si>
  <si>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</si>
  <si>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</si>
  <si>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</si>
  <si>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</si>
  <si>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</si>
  <si>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</si>
  <si>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</si>
  <si>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</si>
  <si>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</si>
  <si>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</si>
  <si>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</si>
  <si>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</si>
  <si>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</si>
  <si>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</si>
  <si>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</si>
  <si>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</si>
  <si>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</si>
  <si>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</si>
  <si>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</si>
  <si>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</si>
  <si>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</si>
  <si>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</si>
  <si>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</si>
  <si>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</si>
  <si>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</si>
  <si>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</si>
  <si>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</si>
  <si>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</si>
  <si>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</si>
  <si>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</si>
  <si>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</si>
  <si>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</si>
  <si>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</si>
  <si>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</si>
  <si>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</si>
  <si>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</si>
  <si>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</si>
  <si>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</si>
  <si>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</si>
  <si>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</si>
  <si>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</si>
  <si>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</si>
  <si>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</si>
  <si>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</si>
  <si>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</si>
  <si>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</si>
  <si>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</si>
  <si>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</si>
  <si>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</si>
  <si>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</si>
  <si>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</si>
  <si>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</si>
  <si>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</si>
  <si>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</si>
  <si>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</si>
  <si>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</si>
  <si>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</si>
  <si>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</si>
  <si>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</si>
  <si>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</si>
  <si>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</si>
  <si>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</si>
  <si>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</si>
  <si>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</si>
  <si>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</si>
  <si>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</si>
  <si>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</si>
  <si>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</si>
  <si>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</si>
  <si>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</si>
  <si>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</si>
  <si>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</si>
  <si>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</si>
  <si>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</si>
  <si>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</si>
  <si>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</si>
  <si>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</si>
  <si>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</si>
  <si>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</si>
  <si>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</si>
  <si>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</si>
  <si>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</si>
  <si>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</si>
  <si>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</si>
  <si>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</si>
  <si>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</si>
  <si>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</si>
  <si>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</si>
  <si>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</si>
  <si>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</si>
  <si>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</si>
  <si>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</si>
  <si>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</si>
  <si>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</si>
  <si>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</si>
  <si>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</si>
  <si>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</si>
  <si>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</si>
  <si>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</si>
  <si>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</si>
  <si>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</si>
  <si>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</si>
  <si>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</si>
  <si>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</si>
  <si>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</si>
  <si>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</si>
  <si>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</si>
  <si>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</si>
  <si>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</si>
  <si>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</si>
  <si>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</si>
  <si>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</si>
  <si>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</si>
  <si>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</si>
  <si>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</si>
  <si>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</si>
  <si>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</si>
  <si>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</si>
  <si>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</si>
  <si>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</si>
  <si>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</si>
  <si>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</si>
  <si>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</si>
  <si>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</si>
  <si>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</si>
  <si>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</si>
  <si>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</si>
  <si>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</si>
  <si>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</si>
  <si>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</si>
  <si>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</si>
  <si>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</si>
  <si>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</si>
  <si>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</si>
  <si>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</si>
  <si>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</si>
  <si>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</si>
  <si>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</si>
  <si>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</si>
  <si>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</si>
  <si>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</si>
  <si>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</si>
  <si>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</si>
  <si>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</si>
  <si>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</si>
  <si>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</si>
  <si>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</si>
  <si>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</si>
  <si>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</si>
  <si>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</si>
  <si>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</si>
  <si>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</si>
  <si>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</si>
  <si>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</si>
  <si>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</si>
  <si>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</si>
  <si>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</si>
  <si>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</si>
  <si>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</si>
  <si>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</si>
  <si>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</si>
  <si>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</si>
  <si>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</si>
  <si>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</si>
  <si>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</si>
  <si>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</si>
  <si>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</si>
  <si>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</si>
  <si>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</si>
  <si>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</si>
  <si>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</si>
  <si>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</si>
  <si>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</si>
  <si>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</si>
  <si>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</si>
  <si>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</si>
  <si>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</si>
  <si>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</si>
  <si>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</si>
  <si>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</si>
  <si>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</si>
  <si>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</si>
  <si>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</si>
  <si>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</si>
  <si>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</si>
  <si>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</si>
  <si>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</si>
  <si>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</si>
  <si>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</si>
  <si>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</si>
  <si>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</si>
  <si>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</si>
  <si>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</si>
  <si>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</si>
  <si>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</si>
  <si>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</si>
  <si>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</si>
  <si>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</si>
  <si>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</si>
  <si>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</si>
  <si>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</si>
  <si>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</si>
  <si>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</si>
  <si>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</si>
  <si>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</si>
  <si>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</si>
  <si>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</si>
  <si>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</si>
  <si>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</si>
  <si>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</si>
  <si>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</si>
  <si>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</si>
  <si>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</si>
  <si>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</si>
  <si>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</si>
  <si>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</si>
  <si>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</si>
  <si>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</si>
  <si>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</si>
  <si>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</si>
  <si>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</si>
  <si>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</si>
  <si>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</si>
  <si>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</si>
  <si>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</si>
  <si>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</si>
  <si>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</si>
  <si>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</si>
  <si>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</si>
  <si>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</si>
  <si>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</si>
  <si>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</si>
  <si>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</si>
  <si>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</si>
  <si>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</si>
  <si>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</si>
  <si>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</si>
  <si>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</si>
  <si>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</si>
  <si>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</si>
  <si>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</si>
  <si>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</si>
  <si>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</si>
  <si>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</si>
  <si>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</si>
  <si>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</si>
  <si>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</si>
  <si>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</si>
  <si>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</si>
  <si>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</si>
  <si>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</si>
  <si>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</si>
  <si>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</si>
  <si>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</si>
  <si>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</si>
  <si>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</si>
  <si>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</si>
  <si>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</si>
  <si>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</si>
  <si>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</si>
  <si>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</si>
  <si>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</si>
  <si>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</si>
  <si>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</si>
  <si>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</si>
  <si>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</si>
  <si>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</si>
  <si>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</si>
  <si>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</si>
  <si>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</si>
  <si>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</si>
  <si>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</si>
  <si>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</si>
  <si>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</si>
  <si>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</si>
  <si>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</si>
  <si>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</si>
  <si>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</si>
  <si>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</si>
  <si>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</si>
  <si>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</si>
  <si>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</si>
  <si>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</si>
  <si>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</si>
  <si>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</si>
  <si>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</si>
  <si>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</si>
  <si>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</si>
  <si>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</si>
  <si>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</si>
  <si>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</si>
  <si>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</si>
  <si>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</si>
  <si>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</si>
  <si>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</si>
  <si>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</si>
  <si>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</si>
  <si>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</si>
  <si>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</si>
  <si>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</si>
  <si>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</si>
  <si>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</si>
  <si>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</si>
  <si>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</si>
  <si>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</si>
  <si>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</si>
  <si>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</si>
  <si>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</si>
  <si>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</si>
  <si>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</si>
  <si>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</si>
  <si>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</si>
  <si>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</si>
  <si>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</si>
  <si>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</si>
  <si>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</si>
  <si>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</si>
  <si>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</si>
  <si>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</si>
  <si>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</si>
  <si>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</si>
  <si>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</si>
  <si>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</si>
  <si>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</si>
  <si>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</si>
  <si>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</si>
  <si>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</si>
  <si>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</si>
  <si>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</si>
  <si>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</si>
  <si>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</si>
  <si>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</si>
  <si>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</si>
  <si>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</si>
  <si>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</si>
  <si>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</si>
  <si>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</si>
  <si>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</si>
  <si>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</si>
  <si>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</si>
  <si>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</si>
  <si>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</si>
  <si>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</si>
  <si>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</si>
  <si>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</si>
  <si>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</si>
  <si>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</si>
  <si>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</si>
  <si>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</si>
  <si>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</si>
  <si>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</si>
  <si>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</si>
  <si>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</si>
  <si>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</si>
  <si>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</si>
  <si>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</si>
  <si>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</si>
  <si>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</si>
  <si>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</si>
  <si>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</si>
  <si>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</si>
  <si>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</si>
  <si>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</si>
  <si>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</si>
  <si>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</si>
  <si>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</si>
  <si>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</si>
  <si>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</si>
  <si>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</si>
  <si>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</si>
  <si>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</si>
  <si>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</si>
  <si>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</si>
  <si>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</si>
  <si>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</si>
  <si>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</si>
  <si>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</si>
  <si>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</si>
  <si>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</si>
  <si>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</si>
  <si>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</si>
  <si>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</si>
  <si>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</si>
  <si>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</si>
  <si>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</si>
  <si>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</si>
  <si>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</si>
  <si>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</si>
  <si>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</si>
  <si>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</si>
  <si>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</si>
  <si>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</si>
  <si>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</si>
  <si>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</si>
  <si>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</si>
  <si>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</si>
  <si>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</si>
  <si>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</si>
  <si>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</si>
  <si>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</si>
  <si>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</si>
  <si>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</si>
  <si>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</si>
  <si>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</si>
  <si>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</si>
  <si>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</si>
  <si>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</si>
  <si>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</si>
  <si>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</si>
  <si>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</si>
  <si>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</si>
  <si>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</si>
  <si>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</si>
  <si>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</si>
  <si>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</si>
  <si>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</si>
  <si>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</si>
  <si>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</si>
  <si>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</si>
  <si>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</si>
  <si>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</si>
  <si>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</si>
  <si>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</si>
  <si>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</si>
  <si>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</si>
  <si>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</si>
  <si>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</si>
  <si>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</si>
  <si>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</si>
  <si>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</si>
  <si>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</si>
  <si>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</si>
  <si>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</si>
  <si>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</si>
  <si>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</si>
  <si>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</si>
  <si>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</si>
  <si>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</si>
  <si>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</si>
  <si>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</si>
  <si>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</si>
  <si>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</si>
  <si>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</si>
  <si>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</si>
  <si>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</si>
  <si>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</si>
  <si>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</si>
  <si>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</si>
  <si>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</si>
  <si>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</si>
  <si>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</si>
  <si>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 MATEU</t>
  </si>
  <si>
    <t>03:31</t>
  </si>
  <si>
    <t>02:53</t>
  </si>
  <si>
    <t>02:29</t>
  </si>
  <si>
    <t>01:14</t>
  </si>
  <si>
    <t>03:04</t>
  </si>
  <si>
    <t>02:55</t>
  </si>
  <si>
    <t>95¡4</t>
  </si>
  <si>
    <t>KIVILCIM KORKMAZ</t>
  </si>
  <si>
    <t>GORKEM GORGULLU</t>
  </si>
  <si>
    <t>GÜLIZ ADILLER</t>
  </si>
  <si>
    <t>About the foul, we know you won't miss a foul again, so don't worry about that, but be careful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</si>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</sst>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09_087_BES_NIO_U2025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45996.833333333336</v>
      </c>
      <c r="C3" s="157"/>
      <c r="D3" s="39">
        <v>594</v>
      </c>
      <c r="E3" s="29"/>
      <c r="F3" s="26">
        <f>SUBTOTAL(3,I17:I106)</f>
        <v>6</v>
      </c>
      <c r="G3" s="27">
        <f>IF(OR(D3="",D3=0),"",F3/D3)</f>
        <v>1.0101010101010102E-2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67" t="s">
        <v>837</v>
      </c>
      <c r="N4" s="168"/>
      <c r="O4" s="2"/>
      <c r="P4" s="2"/>
      <c r="Q4" s="84" t="s">
        <v>175</v>
      </c>
      <c r="R4" s="94">
        <f>(IF(G3="",0,G3))</f>
        <v>1.0101010101010102E-2</v>
      </c>
      <c r="S4" s="61">
        <f>SUM(I13:M13)</f>
        <v>0</v>
      </c>
      <c r="T4" s="78"/>
      <c r="U4" s="61">
        <f>AC18</f>
        <v>2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Panionios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1.0101010101010102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772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20.01010101010101</v>
      </c>
      <c r="N7" s="58"/>
      <c r="O7" s="2"/>
      <c r="P7" s="2"/>
      <c r="Q7" s="86">
        <f>SUM(R5,S5,AC16)</f>
        <v>20.01010101010101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834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20.01010101010101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19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87</v>
      </c>
      <c r="D17" s="32" t="s">
        <v>827</v>
      </c>
      <c r="E17" s="33">
        <v>2</v>
      </c>
      <c r="F17" s="36">
        <v>42</v>
      </c>
      <c r="G17" s="36">
        <v>34</v>
      </c>
      <c r="H17" s="38" t="str">
        <f>IF(I17="","",$I$14)</f>
        <v>SCOUTING</v>
      </c>
      <c r="I17" s="34">
        <v>237</v>
      </c>
      <c r="J17" s="13" t="s">
        <v>3</v>
      </c>
      <c r="K17" s="13" t="s">
        <v>62</v>
      </c>
      <c r="L17" s="13" t="s">
        <v>76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87</v>
      </c>
      <c r="D18" s="32" t="s">
        <v>828</v>
      </c>
      <c r="E18" s="33">
        <v>3</v>
      </c>
      <c r="F18" s="36">
        <v>71</v>
      </c>
      <c r="G18" s="36">
        <v>65</v>
      </c>
      <c r="H18" s="38" t="str">
        <f t="shared" ref="H18:H81" si="8">IF(I18="","",$I$14)</f>
        <v>SCOUTING</v>
      </c>
      <c r="I18" s="34">
        <v>423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87</v>
      </c>
      <c r="D19" s="32" t="s">
        <v>829</v>
      </c>
      <c r="E19" s="33">
        <v>3</v>
      </c>
      <c r="F19" s="36">
        <v>71</v>
      </c>
      <c r="G19" s="36">
        <v>66</v>
      </c>
      <c r="H19" s="38" t="str">
        <f t="shared" si="8"/>
        <v>SCOUTING</v>
      </c>
      <c r="I19" s="34">
        <v>426</v>
      </c>
      <c r="J19" s="13" t="s">
        <v>4</v>
      </c>
      <c r="K19" s="13" t="s">
        <v>63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87</v>
      </c>
      <c r="D20" s="32" t="s">
        <v>830</v>
      </c>
      <c r="E20" s="33">
        <v>3</v>
      </c>
      <c r="F20" s="36">
        <v>71</v>
      </c>
      <c r="G20" s="36">
        <v>68</v>
      </c>
      <c r="H20" s="38" t="str">
        <f t="shared" si="8"/>
        <v>SCOUTING</v>
      </c>
      <c r="I20" s="34">
        <v>446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87</v>
      </c>
      <c r="D21" s="32" t="s">
        <v>831</v>
      </c>
      <c r="E21" s="33">
        <v>4</v>
      </c>
      <c r="F21" s="36">
        <v>94</v>
      </c>
      <c r="G21" s="36">
        <v>76</v>
      </c>
      <c r="H21" s="38" t="str">
        <f t="shared" si="8"/>
        <v>SCOUTING</v>
      </c>
      <c r="I21" s="34">
        <v>554</v>
      </c>
      <c r="J21" s="13" t="s">
        <v>4</v>
      </c>
      <c r="K21" s="13" t="s">
        <v>62</v>
      </c>
      <c r="L21" s="13" t="s">
        <v>6</v>
      </c>
      <c r="M21" s="13" t="s">
        <v>34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87</v>
      </c>
      <c r="D22" s="32" t="s">
        <v>832</v>
      </c>
      <c r="E22" s="33">
        <v>4</v>
      </c>
      <c r="F22" s="36" t="s">
        <v>833</v>
      </c>
      <c r="G22" s="36">
        <v>76</v>
      </c>
      <c r="H22" s="38" t="str">
        <f t="shared" si="8"/>
        <v>SCOUTING</v>
      </c>
      <c r="I22" s="34">
        <v>556</v>
      </c>
      <c r="J22" s="13" t="s">
        <v>4</v>
      </c>
      <c r="K22" s="13" t="s">
        <v>62</v>
      </c>
      <c r="L22" s="13" t="s">
        <v>6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REPORT_U2025087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"U2025087"</v>
      </c>
      <c r="F3" s="45" t="str">
        <f t="shared" ref="F3:F16" si="0">""""&amp;B3&amp;"""" &amp; " : " &amp;C3&amp;","</f>
        <v>"name" : "U2025087",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"U087"</v>
      </c>
      <c r="F4" s="45" t="str">
        <f t="shared" si="0"/>
        <v>"cod" : "U087",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087</v>
      </c>
      <c r="F6" s="45" t="str">
        <f t="shared" si="0"/>
        <v>"number" : 087,</v>
      </c>
    </row>
    <row r="7" spans="2:6" x14ac:dyDescent="0.25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5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5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"KIVILCIM KORKMAZ"</v>
      </c>
      <c r="F12" s="45" t="str">
        <f t="shared" si="0"/>
        <v>"Caller_2" : "KIVILCIM KORKMAZ",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"GORKEM GORGULLU"</v>
      </c>
      <c r="F13" s="45" t="str">
        <f t="shared" si="0"/>
        <v>"Timerkeeper" : "GORKEM GORGULLU",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"GÜLIZ ADILLER"</v>
      </c>
      <c r="F14" s="45" t="str">
        <f t="shared" si="0"/>
        <v>"Shotclock" : "GÜLIZ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594</v>
      </c>
      <c r="F25" s="45" t="str">
        <f t="shared" ref="F25:F48" si="1">""""&amp;C25&amp;"""" &amp; " : " &amp;D25&amp;","</f>
        <v>"total_actions" : 594,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"About the foul, we know you won't miss a foul again, so don't worry about that, but be careful"</v>
      </c>
      <c r="F51" s="45" t="str">
        <f>""""&amp;B51&amp;"""" &amp; " : " &amp;C51&amp;","</f>
        <v>"comments" : "About the foul, we know you won't miss a foul again, so don't worry about that, but be careful",</v>
      </c>
    </row>
    <row r="52" spans="2:6" x14ac:dyDescent="0.25">
      <c r="B52" s="43" t="s">
        <v>153</v>
      </c>
      <c r="C52" s="43" t="str">
        <f>TEXT('SCOUT &amp; LOGISTICS'!F1,"0,0")</f>
        <v>09_087_BES_NIO_U2025</v>
      </c>
      <c r="F52" s="45" t="str">
        <f>""""&amp;B52&amp;"""" &amp; " : " &amp;C52</f>
        <v>"result" : 09_087_BES_NIO_U2025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U087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Panionios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KIVILCIM KORKMAZ</v>
      </c>
      <c r="M8" s="206"/>
      <c r="N8" s="206"/>
      <c r="O8" s="206"/>
      <c r="P8" s="206"/>
      <c r="Q8" s="206" t="str">
        <f>IF('SCOUT &amp; LOGISTICS'!D9="","",'SCOUT &amp; LOGISTICS'!D9)</f>
        <v>GORKEM GORGULLU</v>
      </c>
      <c r="R8" s="206"/>
      <c r="S8" s="206"/>
      <c r="T8" s="206"/>
      <c r="U8" s="206"/>
      <c r="V8" s="206" t="str">
        <f>IF('SCOUT &amp; LOGISTICS'!D10="","",'SCOUT &amp; LOGISTICS'!D10)</f>
        <v>GÜLIZ ADILLER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1.0101010101010102E-2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About the foul, we know you won't miss a foul again, so don't worry about that, but be careful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20.01010101010101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7BA810-AE6C-4226-A649-C10AD028A01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2025-12-09T14:35:07Z</cp:lastPrinted>
  <dcterms:created xsi:type="dcterms:W3CDTF">2023-09-19T19:50:35Z</dcterms:created>
  <dcterms:modified xsi:type="dcterms:W3CDTF">2025-12-09T14:35:17Z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