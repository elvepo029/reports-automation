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8" documentId="8_{9EA48F9F-2C11-4EB3-8B88-69DADA80E769}" xr6:coauthVersionLast="47" xr6:coauthVersionMax="47" xr10:uidLastSave="{68847568-011F-4F91-91EB-A59F94162BF9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<sst xmlns="http://schemas.openxmlformats.org/spreadsheetml/2006/main" count="3280" uniqueCount="765">
  <si>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</si>
  <si>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</si>
  <si>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</si>
  <si>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</si>
  <si>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</si>
  <si>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</si>
  <si>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</si>
  <si>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</si>
  <si>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</si>
  <si>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</si>
  <si>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</si>
  <si>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</si>
  <si>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</si>
  <si>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</si>
  <si>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</si>
  <si>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</si>
  <si>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</si>
  <si>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</si>
  <si>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</si>
  <si>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</si>
  <si>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</si>
  <si>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</si>
  <si>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</si>
  <si>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</si>
  <si>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</si>
  <si>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</si>
  <si>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</si>
  <si>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</si>
  <si>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</si>
  <si>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</si>
  <si>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</si>
  <si>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</si>
  <si>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</si>
  <si>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</si>
  <si>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</si>
  <si>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</si>
  <si>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</si>
  <si>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</si>
  <si>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</si>
  <si>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</si>
  <si>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</si>
  <si>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</si>
  <si>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</si>
  <si>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</si>
  <si>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</si>
  <si>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</si>
  <si>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</si>
  <si>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</si>
  <si>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</si>
  <si>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</si>
  <si>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</si>
  <si>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</si>
  <si>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</si>
  <si>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</si>
  <si>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</si>
  <si>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</si>
  <si>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</si>
  <si>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</si>
  <si>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</si>
  <si>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</si>
  <si>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</si>
  <si>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</si>
  <si>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</si>
  <si>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</si>
  <si>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</si>
  <si>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</si>
  <si>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</si>
  <si>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</si>
  <si>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</si>
  <si>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</si>
  <si>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</si>
  <si>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</si>
  <si>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</si>
  <si>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</si>
  <si>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</si>
  <si>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</si>
  <si>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</si>
  <si>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</si>
  <si>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</si>
  <si>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</si>
  <si>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</si>
  <si>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</si>
  <si>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</si>
  <si>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</si>
  <si>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</si>
  <si>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</si>
  <si>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</si>
  <si>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</si>
  <si>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</si>
  <si>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</si>
  <si>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</si>
  <si>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</si>
  <si>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</si>
  <si>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</si>
  <si>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</si>
  <si>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</si>
  <si>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</si>
  <si>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</si>
  <si>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</si>
  <si>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</si>
  <si>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</si>
  <si>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</si>
  <si>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</si>
  <si>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</si>
  <si>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</si>
  <si>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</si>
  <si>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</si>
  <si>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</si>
  <si>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</si>
  <si>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</si>
  <si>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</si>
  <si>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</si>
  <si>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</si>
  <si>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</si>
  <si>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</si>
  <si>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</si>
  <si>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</si>
  <si>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</si>
  <si>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</si>
  <si>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</si>
  <si>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</si>
  <si>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</si>
  <si>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</si>
  <si>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</si>
  <si>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</si>
  <si>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</si>
  <si>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</si>
  <si>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</si>
  <si>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</si>
  <si>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</si>
  <si>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</si>
  <si>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</si>
  <si>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</si>
  <si>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</si>
  <si>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</si>
  <si>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</si>
  <si>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</si>
  <si>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</si>
  <si>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</si>
  <si>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</si>
  <si>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</si>
  <si>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</si>
  <si>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</si>
  <si>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</si>
  <si>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</si>
  <si>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</si>
  <si>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</si>
  <si>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</si>
  <si>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</si>
  <si>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</si>
  <si>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</si>
  <si>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</si>
  <si>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</si>
  <si>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</si>
  <si>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</si>
  <si>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</si>
  <si>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</si>
  <si>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</si>
  <si>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</si>
  <si>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</si>
  <si>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</si>
  <si>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</si>
  <si>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</si>
  <si>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</si>
  <si>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</si>
  <si>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</si>
  <si>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</si>
  <si>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</si>
  <si>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</si>
  <si>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</si>
  <si>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</si>
  <si>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</si>
  <si>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</si>
  <si>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</si>
  <si>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</si>
  <si>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</si>
  <si>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</si>
  <si>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</si>
  <si>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</si>
  <si>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</si>
  <si>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</si>
  <si>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</si>
  <si>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</si>
  <si>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</si>
  <si>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</si>
  <si>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</si>
  <si>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</si>
  <si>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</si>
  <si>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</si>
  <si>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</si>
  <si>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</si>
  <si>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</si>
  <si>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</si>
  <si>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</si>
  <si>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</si>
  <si>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</si>
  <si>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</si>
  <si>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</si>
  <si>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</si>
  <si>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</si>
  <si>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</si>
  <si>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</si>
  <si>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</si>
  <si>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</si>
  <si>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</si>
  <si>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</si>
  <si>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</si>
  <si>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</si>
  <si>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</si>
  <si>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</si>
  <si>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</si>
  <si>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</si>
  <si>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</si>
  <si>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</si>
  <si>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</si>
  <si>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</si>
  <si>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</si>
  <si>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</si>
  <si>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</si>
  <si>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</si>
  <si>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</si>
  <si>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</si>
  <si>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</si>
  <si>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</si>
  <si>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</si>
  <si>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</si>
  <si>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</si>
  <si>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</si>
  <si>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</si>
  <si>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</si>
  <si>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</si>
  <si>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</si>
  <si>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</si>
  <si>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</si>
  <si>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</si>
  <si>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</si>
  <si>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</si>
  <si>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</si>
  <si>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</si>
  <si>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</si>
  <si>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</si>
  <si>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</si>
  <si>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</si>
  <si>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</si>
  <si>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</si>
  <si>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</si>
  <si>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</si>
  <si>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</si>
  <si>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</si>
  <si>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</si>
  <si>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</si>
  <si>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</si>
  <si>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</si>
  <si>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</si>
  <si>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</si>
  <si>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</si>
  <si>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</si>
  <si>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</si>
  <si>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</si>
  <si>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</si>
  <si>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</si>
  <si>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</si>
  <si>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</si>
  <si>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</si>
  <si>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</si>
  <si>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</si>
  <si>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</si>
  <si>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</si>
  <si>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</si>
  <si>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</si>
  <si>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</si>
  <si>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</si>
  <si>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</si>
  <si>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</si>
  <si>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</si>
  <si>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</si>
  <si>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</si>
  <si>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</si>
  <si>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</si>
  <si>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</si>
  <si>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</si>
  <si>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</si>
  <si>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</si>
  <si>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</si>
  <si>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</si>
  <si>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</si>
  <si>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</si>
  <si>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</si>
  <si>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</si>
  <si>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</si>
  <si>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</si>
  <si>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</si>
  <si>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</si>
  <si>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</si>
  <si>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</si>
  <si>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</si>
  <si>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</si>
  <si>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</si>
  <si>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</si>
  <si>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</si>
  <si>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</si>
  <si>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</si>
  <si>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</si>
  <si>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</si>
  <si>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</si>
  <si>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</si>
  <si>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</si>
  <si>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</si>
  <si>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</si>
  <si>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</si>
  <si>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</si>
  <si>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</si>
  <si>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</si>
  <si>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</si>
  <si>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</si>
  <si>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</si>
  <si>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</si>
  <si>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</si>
  <si>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</si>
  <si>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</si>
  <si>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</si>
  <si>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</si>
  <si>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</si>
  <si>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</si>
  <si>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</si>
  <si>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</si>
  <si>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</si>
  <si>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</si>
  <si>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</si>
  <si>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</si>
  <si>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</si>
  <si>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</si>
  <si>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</si>
  <si>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</si>
  <si>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</si>
  <si>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</si>
  <si>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</si>
  <si>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</si>
  <si>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</si>
  <si>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</si>
  <si>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</si>
  <si>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</si>
  <si>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</si>
  <si>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</si>
  <si>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</si>
  <si>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</si>
  <si>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</si>
  <si>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</si>
  <si>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</si>
  <si>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</si>
  <si>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</si>
  <si>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</si>
  <si>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</si>
  <si>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</si>
  <si>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</si>
  <si>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</si>
  <si>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</si>
  <si>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</si>
  <si>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</si>
  <si>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</si>
  <si>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</si>
  <si>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</si>
  <si>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</si>
  <si>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</si>
  <si>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</si>
  <si>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</si>
  <si>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</si>
  <si>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</si>
  <si>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</si>
  <si>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</si>
  <si>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</si>
  <si>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</si>
  <si>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</si>
  <si>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</si>
  <si>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</si>
  <si>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</si>
  <si>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</si>
  <si>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</si>
  <si>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</si>
  <si>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</si>
  <si>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</si>
  <si>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</si>
  <si>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</si>
  <si>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</si>
  <si>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</si>
  <si>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</si>
  <si>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</si>
  <si>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</si>
  <si>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</si>
  <si>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</si>
  <si>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</si>
  <si>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</si>
  <si>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</si>
  <si>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</si>
  <si>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</si>
  <si>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</si>
  <si>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</si>
  <si>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</si>
  <si>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</si>
  <si>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</si>
  <si>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</si>
  <si>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</si>
  <si>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</si>
  <si>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</si>
  <si>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</si>
  <si>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</si>
  <si>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</si>
  <si>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</si>
  <si>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</si>
  <si>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</si>
  <si>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</si>
  <si>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</si>
  <si>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</si>
  <si>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</si>
  <si>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</si>
  <si>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</si>
  <si>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</si>
  <si>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</si>
  <si>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</si>
  <si>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</si>
  <si>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</si>
  <si>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</si>
  <si>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</si>
  <si>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</si>
  <si>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</si>
  <si>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</si>
  <si>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</si>
  <si>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</si>
  <si>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</si>
  <si>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</si>
  <si>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</si>
  <si>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</si>
  <si>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</si>
  <si>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</si>
  <si>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</si>
  <si>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</si>
  <si>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</si>
  <si>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</si>
  <si>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</si>
  <si>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</si>
  <si>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</si>
  <si>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</si>
  <si>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</si>
  <si>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</si>
  <si>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</si>
  <si>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</si>
  <si>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</si>
  <si>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</si>
  <si>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</si>
  <si>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</si>
  <si>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</si>
  <si>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</si>
  <si>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</si>
  <si>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</si>
  <si>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</si>
  <si>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</si>
  <si>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</si>
  <si>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</si>
  <si>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</si>
  <si>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</si>
  <si>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</si>
  <si>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</si>
  <si>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</si>
  <si>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</si>
  <si>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</si>
  <si>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</si>
  <si>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</si>
  <si>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</si>
  <si>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</si>
  <si>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</si>
  <si>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</si>
  <si>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</si>
  <si>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</si>
  <si>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</si>
  <si>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</si>
  <si>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</si>
  <si>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</si>
  <si>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</si>
  <si>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</si>
  <si>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</si>
  <si>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</si>
  <si>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</si>
  <si>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</si>
  <si>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</si>
  <si>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</si>
  <si>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</si>
  <si>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</si>
  <si>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</si>
  <si>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</si>
  <si>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</si>
  <si>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</si>
  <si>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</si>
  <si>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</si>
  <si>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</si>
  <si>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</si>
  <si>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</si>
  <si>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</si>
  <si>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</si>
  <si>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</si>
  <si>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</si>
  <si>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</si>
  <si>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</si>
  <si>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</si>
  <si>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</si>
  <si>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</si>
  <si>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</si>
  <si>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</si>
  <si>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</si>
  <si>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</si>
  <si>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</si>
  <si>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</si>
  <si>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</si>
  <si>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</si>
  <si>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</si>
  <si>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</si>
  <si>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</si>
  <si>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</si>
  <si>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</si>
  <si>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</si>
  <si>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</si>
  <si>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</si>
  <si>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</si>
  <si>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</si>
  <si>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</si>
  <si>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</si>
  <si>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</si>
  <si>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</si>
  <si>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</si>
  <si>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</si>
  <si>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</si>
  <si>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</si>
  <si>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</si>
  <si>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</si>
  <si>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</si>
  <si>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</si>
  <si>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</si>
  <si>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</si>
  <si>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</si>
  <si>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</si>
  <si>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</si>
  <si>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</si>
  <si>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</si>
  <si>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</si>
  <si>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</si>
  <si>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</si>
  <si>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</si>
  <si>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</si>
  <si>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</si>
  <si>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</si>
  <si>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</si>
  <si>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</si>
  <si>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</si>
  <si>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</si>
  <si>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</si>
  <si>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</si>
  <si>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</si>
  <si>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</si>
  <si>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</si>
  <si>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</si>
  <si>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</si>
  <si>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</si>
  <si>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</si>
  <si>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</si>
  <si>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</si>
  <si>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</si>
  <si>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</si>
  <si>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</si>
  <si>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</si>
  <si>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</si>
  <si>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</si>
  <si>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</si>
  <si>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</si>
  <si>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</si>
  <si>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</si>
  <si>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</si>
  <si>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</si>
  <si>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</si>
  <si>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</si>
  <si>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</si>
  <si>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</si>
  <si>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</si>
  <si>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</si>
  <si>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</si>
  <si>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</si>
  <si>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</si>
  <si>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</si>
  <si>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</si>
  <si>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</si>
  <si>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</si>
  <si>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</si>
  <si>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</si>
  <si>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</si>
  <si>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</si>
  <si>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</si>
  <si>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</si>
  <si>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</si>
  <si>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</si>
  <si>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</si>
  <si>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</si>
  <si>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</si>
  <si>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</si>
  <si>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</si>
  <si>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</si>
  <si>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</si>
  <si>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</si>
  <si>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</si>
  <si>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</si>
  <si>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</si>
  <si>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</si>
  <si>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</si>
  <si>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</si>
  <si>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</si>
  <si>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</si>
  <si>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</si>
  <si>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</si>
  <si>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</si>
  <si>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</si>
  <si>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</si>
  <si>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</si>
  <si>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</si>
  <si>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</si>
  <si>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</si>
  <si>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</si>
  <si>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</si>
  <si>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</si>
  <si>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</si>
  <si>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</si>
  <si>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</si>
  <si>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</si>
  <si>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</si>
  <si>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</si>
  <si>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</si>
  <si>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</si>
  <si>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</si>
  <si>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</si>
  <si>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</si>
  <si>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</si>
  <si>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</si>
  <si>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</si>
  <si>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</si>
  <si>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</si>
  <si>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</si>
  <si>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</si>
  <si>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</si>
  <si>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</si>
  <si>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</si>
  <si>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</si>
  <si>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</si>
  <si>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</si>
  <si>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</si>
  <si>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</si>
  <si>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</si>
  <si>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</si>
  <si>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</si>
  <si>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</si>
  <si>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</si>
  <si>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</si>
  <si>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</si>
  <si>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</si>
  <si>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</si>
  <si>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</si>
  <si>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</si>
  <si>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</si>
  <si>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</si>
  <si>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</si>
  <si>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</si>
  <si>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</si>
  <si>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</si>
  <si>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</si>
  <si>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</si>
  <si>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</si>
  <si>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</si>
  <si>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</si>
  <si>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</si>
  <si>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</si>
  <si>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</si>
  <si>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</si>
  <si>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</si>
  <si>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</si>
  <si>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</si>
  <si>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</si>
  <si>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</si>
  <si>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</si>
  <si>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</si>
  <si>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</si>
  <si>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</si>
  <si>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</si>
  <si>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</si>
  <si>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</si>
  <si>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</si>
  <si>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</si>
  <si>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</si>
  <si>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</si>
  <si>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</si>
  <si>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</si>
  <si>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</si>
  <si>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</si>
  <si>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</si>
  <si>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</si>
  <si>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</si>
  <si>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</si>
  <si>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</si>
  <si>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</si>
  <si>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</si>
  <si>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</si>
  <si>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</si>
  <si>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</si>
  <si>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</si>
  <si>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</si>
  <si>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</si>
  <si>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</si>
  <si>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</si>
  <si>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</si>
  <si>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</si>
  <si>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</si>
  <si>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</si>
  <si>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</si>
  <si>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</si>
  <si>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</si>
  <si>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</si>
  <si>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</si>
  <si>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</si>
  <si>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</si>
  <si>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</si>
  <si>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</si>
  <si>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</si>
  <si>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</si>
  <si>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</si>
  <si>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</si>
  <si>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</si>
  <si>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</si>
  <si>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</si>
  <si>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</si>
  <si>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</si>
  <si>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</si>
  <si>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</si>
  <si>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</si>
  <si>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</si>
  <si>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</si>
  <si>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</si>
  <si>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</si>
  <si>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</si>
  <si>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</si>
  <si>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</si>
  <si>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</si>
  <si>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</si>
  <si>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</si>
  <si>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</si>
  <si>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</si>
  <si>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ELOI VERGÉ</t>
  </si>
  <si>
    <t>C:\Users\eloi.verge\OneDrive - EUROLEAGUE\Desktop\GAME REPORTS\25-26</t>
  </si>
  <si>
    <t>FRANCIS RUIZ</t>
  </si>
  <si>
    <t>LLUIS ESPINOSA</t>
  </si>
  <si>
    <t>LAILA GONELL</t>
  </si>
  <si>
    <t>ROBERTO BAÑOS</t>
  </si>
  <si>
    <t>MARIA JOSE SERRANO</t>
  </si>
  <si>
    <t>JESUS LOPEZ</t>
  </si>
  <si>
    <t>05:28</t>
  </si>
  <si>
    <t>09:40</t>
  </si>
  <si>
    <t>09:34</t>
  </si>
  <si>
    <t>07:35</t>
  </si>
  <si>
    <t>03:43</t>
  </si>
  <si>
    <t>09:15</t>
  </si>
  <si>
    <t>03:56</t>
  </si>
  <si>
    <t>Really good job! Just a little thing to improve is to be aware of what referees do all time and if they ttake a decision to check an action for later it's important to communicate to your live game manager.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</si>
</sst>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48" sqref="K4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09_088_BAR_MAD_E2025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45968.854166666664</v>
      </c>
      <c r="C3" s="157"/>
      <c r="D3" s="39">
        <v>545</v>
      </c>
      <c r="E3" s="29"/>
      <c r="F3" s="26">
        <f>SUBTOTAL(3,I17:I106)</f>
        <v>7</v>
      </c>
      <c r="G3" s="27">
        <f>IF(OR(D3="",D3=0),"",F3/D3)</f>
        <v>1.2844036697247707E-2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1.2844036697247707E-2</v>
      </c>
      <c r="S4" s="61">
        <f>SUM(I13:M13)</f>
        <v>0</v>
      </c>
      <c r="T4" s="78"/>
      <c r="U4" s="61">
        <f>AC18</f>
        <v>3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1.2844036697247707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7.7844036697247709</v>
      </c>
      <c r="N7" s="58"/>
      <c r="O7" s="2"/>
      <c r="P7" s="2"/>
      <c r="Q7" s="86">
        <f>SUM(R5,S5,AC16)</f>
        <v>7.7844036697247709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7.7844036697247709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88</v>
      </c>
      <c r="D17" s="32" t="s">
        <v>757</v>
      </c>
      <c r="E17" s="33">
        <v>1</v>
      </c>
      <c r="F17" s="36">
        <v>6</v>
      </c>
      <c r="G17" s="36">
        <v>11</v>
      </c>
      <c r="H17" s="38" t="str">
        <f>IF(I17="","",$I$14)</f>
        <v>SCOUTING</v>
      </c>
      <c r="I17" s="34">
        <v>42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88</v>
      </c>
      <c r="D18" s="32" t="s">
        <v>758</v>
      </c>
      <c r="E18" s="33">
        <v>3</v>
      </c>
      <c r="F18" s="36">
        <v>48</v>
      </c>
      <c r="G18" s="36">
        <v>58</v>
      </c>
      <c r="H18" s="38" t="str">
        <f t="shared" ref="H18:H81" si="8">IF(I18="","",$I$14)</f>
        <v>SCOUTING</v>
      </c>
      <c r="I18" s="34">
        <v>270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88</v>
      </c>
      <c r="D19" s="32" t="s">
        <v>759</v>
      </c>
      <c r="E19" s="33">
        <v>3</v>
      </c>
      <c r="F19" s="36">
        <v>48</v>
      </c>
      <c r="G19" s="36">
        <v>58</v>
      </c>
      <c r="H19" s="38" t="str">
        <f t="shared" si="8"/>
        <v>SCOUTING</v>
      </c>
      <c r="I19" s="34">
        <v>271</v>
      </c>
      <c r="J19" s="13" t="s">
        <v>4</v>
      </c>
      <c r="K19" s="13" t="s">
        <v>62</v>
      </c>
      <c r="L19" s="13" t="s">
        <v>48</v>
      </c>
      <c r="M19" s="13" t="s">
        <v>27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88</v>
      </c>
      <c r="D20" s="32" t="s">
        <v>760</v>
      </c>
      <c r="E20" s="33">
        <v>3</v>
      </c>
      <c r="F20" s="36">
        <v>48</v>
      </c>
      <c r="G20" s="36">
        <v>63</v>
      </c>
      <c r="H20" s="38" t="str">
        <f t="shared" si="8"/>
        <v>SCOUTING</v>
      </c>
      <c r="I20" s="34">
        <v>297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88</v>
      </c>
      <c r="D21" s="32" t="s">
        <v>761</v>
      </c>
      <c r="E21" s="33">
        <v>3</v>
      </c>
      <c r="F21" s="36">
        <v>58</v>
      </c>
      <c r="G21" s="36">
        <v>71</v>
      </c>
      <c r="H21" s="38" t="str">
        <f t="shared" si="8"/>
        <v>SCOUTING</v>
      </c>
      <c r="I21" s="34">
        <v>355</v>
      </c>
      <c r="J21" s="13" t="s">
        <v>4</v>
      </c>
      <c r="K21" s="13" t="s">
        <v>62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88</v>
      </c>
      <c r="D22" s="32" t="s">
        <v>762</v>
      </c>
      <c r="E22" s="33">
        <v>4</v>
      </c>
      <c r="F22" s="36">
        <v>69</v>
      </c>
      <c r="G22" s="36">
        <v>85</v>
      </c>
      <c r="H22" s="38" t="str">
        <f t="shared" si="8"/>
        <v>SCOUTING</v>
      </c>
      <c r="I22" s="34">
        <v>412</v>
      </c>
      <c r="J22" s="13" t="s">
        <v>4</v>
      </c>
      <c r="K22" s="13" t="s">
        <v>63</v>
      </c>
      <c r="L22" s="13" t="s">
        <v>6</v>
      </c>
      <c r="M22" s="13" t="s">
        <v>27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88</v>
      </c>
      <c r="D23" s="32" t="s">
        <v>763</v>
      </c>
      <c r="E23" s="33">
        <v>4</v>
      </c>
      <c r="F23" s="36">
        <v>79</v>
      </c>
      <c r="G23" s="36">
        <v>92</v>
      </c>
      <c r="H23" s="38" t="str">
        <f t="shared" si="8"/>
        <v>SCOUTING</v>
      </c>
      <c r="I23" s="34">
        <v>490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2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"E2025088"</v>
      </c>
      <c r="F3" s="45" t="str">
        <f t="shared" ref="F3:F16" si="0">""""&amp;B3&amp;"""" &amp; " : " &amp;C3&amp;","</f>
        <v>"name" : "E2025088",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"E088"</v>
      </c>
      <c r="F4" s="45" t="str">
        <f t="shared" si="0"/>
        <v>"cod" : "E088",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088</v>
      </c>
      <c r="F6" s="45" t="str">
        <f t="shared" si="0"/>
        <v>"number" : 088,</v>
      </c>
    </row>
    <row r="7" spans="2:6" x14ac:dyDescent="0.25">
      <c r="B7" s="43" t="s">
        <v>116</v>
      </c>
      <c r="C7" s="43" t="str">
        <f ca="1">""""&amp;TEXT('SCOUT &amp; LOGISTICS'!B3,"dd/mm/aaaa")&amp;""""</f>
        <v>"07/11/2025"</v>
      </c>
      <c r="F7" s="45" t="str">
        <f t="shared" ca="1" si="0"/>
        <v>"date" : "07/11/2025",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"FRANCIS RUIZ"</v>
      </c>
      <c r="F10" s="45" t="str">
        <f t="shared" si="0"/>
        <v>"Data_entry" : "FRANCIS RUIZ",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"LAILA GONELL"</v>
      </c>
      <c r="F12" s="45" t="str">
        <f t="shared" si="0"/>
        <v>"Caller_2" : "LAILA GONELL",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BAÑOS"</v>
      </c>
      <c r="F13" s="45" t="str">
        <f t="shared" si="0"/>
        <v>"Timerkeeper" : "ROBERTO BAÑOS",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JOSE SERRANO"</v>
      </c>
      <c r="F14" s="45" t="str">
        <f t="shared" si="0"/>
        <v>"Shotclock" : "MARIA JOSE SERRANO",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545</v>
      </c>
      <c r="F25" s="45" t="str">
        <f t="shared" ref="F25:F48" si="1">""""&amp;C25&amp;"""" &amp; " : " &amp;D25&amp;","</f>
        <v>"total_actions" : 545,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"1,3%"</v>
      </c>
      <c r="F27" s="45" t="str">
        <f t="shared" si="1"/>
        <v>"%_corrections" : "1,3%",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Just a little thing to improve is to be aware of what referees do all time and if they ttake a decision to check an action for later it's important to communicate to your live game manager."</v>
      </c>
      <c r="F51" s="45" t="str">
        <f>""""&amp;B51&amp;"""" &amp; " : " &amp;C51&amp;","</f>
        <v>"comments" : "Really good job! Just a little thing to improve is to be aware of what referees do all time and if they ttake a decision to check an action for later it's important to communicate to your live game manager.",</v>
      </c>
    </row>
    <row r="52" spans="2:6" x14ac:dyDescent="0.25">
      <c r="B52" s="43" t="s">
        <v>153</v>
      </c>
      <c r="C52" s="43" t="str">
        <f>TEXT('SCOUT &amp; LOGISTICS'!F1,"0,0")</f>
        <v>09_088_BAR_MAD_E2025</v>
      </c>
      <c r="F52" s="45" t="str">
        <f>""""&amp;B52&amp;"""" &amp; " : " &amp;C52</f>
        <v>"result" : 09_088_BAR_MAD_E2025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E088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07/11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FRANCIS RUIZ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LAILA GONELL</v>
      </c>
      <c r="M8" s="206"/>
      <c r="N8" s="206"/>
      <c r="O8" s="206"/>
      <c r="P8" s="206"/>
      <c r="Q8" s="206" t="str">
        <f>IF('SCOUT &amp; LOGISTICS'!D9="","",'SCOUT &amp; LOGISTICS'!D9)</f>
        <v>ROBERTO BAÑOS</v>
      </c>
      <c r="R8" s="206"/>
      <c r="S8" s="206"/>
      <c r="T8" s="206"/>
      <c r="U8" s="206"/>
      <c r="V8" s="206" t="str">
        <f>IF('SCOUT &amp; LOGISTICS'!D10="","",'SCOUT &amp; LOGISTICS'!D10)</f>
        <v>MARIA JOSE SERRANO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545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1.2844036697247707E-2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 Just a little thing to improve is to be aware of what referees do all time and if they ttake a decision to check an action for later it's important to communicate to your live game manager.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7.7844036697247709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62354C-4E5A-4A7B-842D-B4D87B91C2FA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2025-11-07T21:46:48Z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