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91992E58-60C5-4165-8FEF-8335D3EC18E7}" xr6:coauthVersionLast="47" xr6:coauthVersionMax="47" xr10:uidLastSave="{00000000-0000-0000-0000-000000000000}"/>
  <bookViews>
    <workbookView xWindow="-4455" yWindow="-14430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<sst xmlns="http://schemas.openxmlformats.org/spreadsheetml/2006/main" count="3255" uniqueCount="760">
  <si>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</si>
  <si>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</si>
  <si>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</si>
  <si>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</si>
  <si>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</si>
  <si>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</si>
  <si>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</si>
  <si>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</si>
  <si>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</si>
  <si>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</si>
  <si>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</si>
  <si>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</si>
  <si>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</si>
  <si>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</si>
  <si>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</si>
  <si>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</si>
  <si>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</si>
  <si>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</si>
  <si>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</si>
  <si>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</si>
  <si>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</si>
  <si>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</si>
  <si>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</si>
  <si>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</si>
  <si>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</si>
  <si>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</si>
  <si>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</si>
  <si>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</si>
  <si>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</si>
  <si>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</si>
  <si>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</si>
  <si>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</si>
  <si>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</si>
  <si>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</si>
  <si>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</si>
  <si>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</si>
  <si>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</si>
  <si>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</si>
  <si>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</si>
  <si>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</si>
  <si>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</si>
  <si>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</si>
  <si>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</si>
  <si>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</si>
  <si>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</si>
  <si>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</si>
  <si>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</si>
  <si>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</si>
  <si>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</si>
  <si>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</si>
  <si>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</si>
  <si>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</si>
  <si>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</si>
  <si>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</si>
  <si>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</si>
  <si>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</si>
  <si>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</si>
  <si>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</si>
  <si>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</si>
  <si>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</si>
  <si>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</si>
  <si>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</si>
  <si>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</si>
  <si>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</si>
  <si>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</si>
  <si>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</si>
  <si>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</si>
  <si>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</si>
  <si>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</si>
  <si>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</si>
  <si>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</si>
  <si>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</si>
  <si>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</si>
  <si>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</si>
  <si>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</si>
  <si>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</si>
  <si>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</si>
  <si>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</si>
  <si>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</si>
  <si>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</si>
  <si>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</si>
  <si>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</si>
  <si>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</si>
  <si>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</si>
  <si>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</si>
  <si>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</si>
  <si>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</si>
  <si>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</si>
  <si>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</si>
  <si>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</si>
  <si>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</si>
  <si>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</si>
  <si>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</si>
  <si>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</si>
  <si>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</si>
  <si>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</si>
  <si>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</si>
  <si>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</si>
  <si>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</si>
  <si>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</si>
  <si>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</si>
  <si>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</si>
  <si>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</si>
  <si>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</si>
  <si>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</si>
  <si>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</si>
  <si>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</si>
  <si>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</si>
  <si>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</si>
  <si>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</si>
  <si>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</si>
  <si>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</si>
  <si>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</si>
  <si>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</si>
  <si>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</si>
  <si>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</si>
  <si>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</si>
  <si>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</si>
  <si>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</si>
  <si>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</si>
  <si>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</si>
  <si>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</si>
  <si>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</si>
  <si>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</si>
  <si>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</si>
  <si>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</si>
  <si>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</si>
  <si>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</si>
  <si>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</si>
  <si>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</si>
  <si>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</si>
  <si>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</si>
  <si>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</si>
  <si>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</si>
  <si>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</si>
  <si>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</si>
  <si>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</si>
  <si>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</si>
  <si>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</si>
  <si>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</si>
  <si>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</si>
  <si>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</si>
  <si>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</si>
  <si>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</si>
  <si>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</si>
  <si>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</si>
  <si>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</si>
  <si>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</si>
  <si>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</si>
  <si>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</si>
  <si>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</si>
  <si>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</si>
  <si>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</si>
  <si>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</si>
  <si>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</si>
  <si>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</si>
  <si>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</si>
  <si>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</si>
  <si>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</si>
  <si>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</si>
  <si>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</si>
  <si>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</si>
  <si>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</si>
  <si>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</si>
  <si>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</si>
  <si>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</si>
  <si>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</si>
  <si>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</si>
  <si>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</si>
  <si>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</si>
  <si>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</si>
  <si>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</si>
  <si>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</si>
  <si>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</si>
  <si>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</si>
  <si>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</si>
  <si>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</si>
  <si>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</si>
  <si>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</si>
  <si>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</si>
  <si>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</si>
  <si>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</si>
  <si>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</si>
  <si>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</si>
  <si>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</si>
  <si>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</si>
  <si>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</si>
  <si>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</si>
  <si>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</si>
  <si>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</si>
  <si>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</si>
  <si>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</si>
  <si>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</si>
  <si>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</si>
  <si>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</si>
  <si>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</si>
  <si>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</si>
  <si>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</si>
  <si>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</si>
  <si>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</si>
  <si>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</si>
  <si>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</si>
  <si>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</si>
  <si>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</si>
  <si>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</si>
  <si>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</si>
  <si>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</si>
  <si>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</si>
  <si>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</si>
  <si>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</si>
  <si>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</si>
  <si>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</si>
  <si>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</si>
  <si>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</si>
  <si>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</si>
  <si>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</si>
  <si>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</si>
  <si>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</si>
  <si>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</si>
  <si>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</si>
  <si>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</si>
  <si>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</si>
  <si>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</si>
  <si>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</si>
  <si>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</si>
  <si>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</si>
  <si>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</si>
  <si>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</si>
  <si>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</si>
  <si>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</si>
  <si>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</si>
  <si>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</si>
  <si>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</si>
  <si>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</si>
  <si>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</si>
  <si>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</si>
  <si>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</si>
  <si>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</si>
  <si>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</si>
  <si>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</si>
  <si>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</si>
  <si>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</si>
  <si>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</si>
  <si>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</si>
  <si>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</si>
  <si>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</si>
  <si>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</si>
  <si>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</si>
  <si>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</si>
  <si>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</si>
  <si>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</si>
  <si>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</si>
  <si>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</si>
  <si>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</si>
  <si>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</si>
  <si>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</si>
  <si>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</si>
  <si>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</si>
  <si>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</si>
  <si>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</si>
  <si>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</si>
  <si>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</si>
  <si>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</si>
  <si>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</si>
  <si>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</si>
  <si>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</si>
  <si>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</si>
  <si>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</si>
  <si>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</si>
  <si>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</si>
  <si>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</si>
  <si>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</si>
  <si>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</si>
  <si>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</si>
  <si>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</si>
  <si>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</si>
  <si>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</si>
  <si>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</si>
  <si>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</si>
  <si>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</si>
  <si>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</si>
  <si>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</si>
  <si>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</si>
  <si>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</si>
  <si>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</si>
  <si>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</si>
  <si>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</si>
  <si>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</si>
  <si>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</si>
  <si>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</si>
  <si>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</si>
  <si>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</si>
  <si>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</si>
  <si>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</si>
  <si>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</si>
  <si>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</si>
  <si>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</si>
  <si>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</si>
  <si>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</si>
  <si>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</si>
  <si>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</si>
  <si>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</si>
  <si>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</si>
  <si>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</si>
  <si>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</si>
  <si>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</si>
  <si>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</si>
  <si>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</si>
  <si>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</si>
  <si>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</si>
  <si>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</si>
  <si>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</si>
  <si>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</si>
  <si>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</si>
  <si>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</si>
  <si>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</si>
  <si>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</si>
  <si>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</si>
  <si>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</si>
  <si>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</si>
  <si>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</si>
  <si>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</si>
  <si>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</si>
  <si>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</si>
  <si>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</si>
  <si>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</si>
  <si>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</si>
  <si>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</si>
  <si>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</si>
  <si>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</si>
  <si>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</si>
  <si>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</si>
  <si>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</si>
  <si>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</si>
  <si>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</si>
  <si>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</si>
  <si>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</si>
  <si>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</si>
  <si>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</si>
  <si>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</si>
  <si>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</si>
  <si>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</si>
  <si>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</si>
  <si>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</si>
  <si>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</si>
  <si>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</si>
  <si>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</si>
  <si>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</si>
  <si>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</si>
  <si>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</si>
  <si>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</si>
  <si>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</si>
  <si>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</si>
  <si>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</si>
  <si>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</si>
  <si>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</si>
  <si>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</si>
  <si>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</si>
  <si>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</si>
  <si>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</si>
  <si>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</si>
  <si>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</si>
  <si>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</si>
  <si>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</si>
  <si>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</si>
  <si>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</si>
  <si>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</si>
  <si>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</si>
  <si>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</si>
  <si>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</si>
  <si>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</si>
  <si>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</si>
  <si>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</si>
  <si>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</si>
  <si>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</si>
  <si>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</si>
  <si>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</si>
  <si>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</si>
  <si>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</si>
  <si>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</si>
  <si>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</si>
  <si>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</si>
  <si>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</si>
  <si>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</si>
  <si>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</si>
  <si>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</si>
  <si>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</si>
  <si>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</si>
  <si>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</si>
  <si>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</si>
  <si>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</si>
  <si>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</si>
  <si>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</si>
  <si>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</si>
  <si>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</si>
  <si>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</si>
  <si>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</si>
  <si>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</si>
  <si>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</si>
  <si>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</si>
  <si>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</si>
  <si>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</si>
  <si>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</si>
  <si>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</si>
  <si>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</si>
  <si>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</si>
  <si>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</si>
  <si>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</si>
  <si>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</si>
  <si>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</si>
  <si>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</si>
  <si>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</si>
  <si>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</si>
  <si>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</si>
  <si>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</si>
  <si>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</si>
  <si>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</si>
  <si>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</si>
  <si>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</si>
  <si>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</si>
  <si>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</si>
  <si>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</si>
  <si>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</si>
  <si>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</si>
  <si>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</si>
  <si>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</si>
  <si>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</si>
  <si>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</si>
  <si>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</si>
  <si>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</si>
  <si>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</si>
  <si>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</si>
  <si>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</si>
  <si>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</si>
  <si>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</si>
  <si>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</si>
  <si>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</si>
  <si>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</si>
  <si>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</si>
  <si>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</si>
  <si>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</si>
  <si>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</si>
  <si>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</si>
  <si>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</si>
  <si>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</si>
  <si>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</si>
  <si>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</si>
  <si>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</si>
  <si>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</si>
  <si>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</si>
  <si>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</si>
  <si>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</si>
  <si>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</si>
  <si>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</si>
  <si>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</si>
  <si>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</si>
  <si>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</si>
  <si>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</si>
  <si>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</si>
  <si>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</si>
  <si>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</si>
  <si>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</si>
  <si>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</si>
  <si>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</si>
  <si>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</si>
  <si>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</si>
  <si>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</si>
  <si>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</si>
  <si>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</si>
  <si>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</si>
  <si>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</si>
  <si>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</si>
  <si>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</si>
  <si>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</si>
  <si>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</si>
  <si>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</si>
  <si>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</si>
  <si>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</si>
  <si>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</si>
  <si>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</si>
  <si>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</si>
  <si>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</si>
  <si>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</si>
  <si>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</si>
  <si>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</si>
  <si>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</si>
  <si>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</si>
  <si>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</si>
  <si>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</si>
  <si>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</si>
  <si>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</si>
  <si>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</si>
  <si>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</si>
  <si>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</si>
  <si>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</si>
  <si>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</si>
  <si>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</si>
  <si>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</si>
  <si>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</si>
  <si>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</si>
  <si>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</si>
  <si>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</si>
  <si>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</si>
  <si>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</si>
  <si>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</si>
  <si>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</si>
  <si>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</si>
  <si>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</si>
  <si>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</si>
  <si>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</si>
  <si>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</si>
  <si>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</si>
  <si>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</si>
  <si>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</si>
  <si>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</si>
  <si>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</si>
  <si>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</si>
  <si>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</si>
  <si>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</si>
  <si>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</si>
  <si>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</si>
  <si>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</si>
  <si>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</si>
  <si>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</si>
  <si>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</si>
  <si>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</si>
  <si>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</si>
  <si>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</si>
  <si>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</si>
  <si>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</si>
  <si>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</si>
  <si>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</si>
  <si>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</si>
  <si>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</si>
  <si>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</si>
  <si>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</si>
  <si>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</si>
  <si>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</si>
  <si>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</si>
  <si>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</si>
  <si>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</si>
  <si>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</si>
  <si>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</si>
  <si>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</si>
  <si>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</si>
  <si>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</si>
  <si>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</si>
  <si>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</si>
  <si>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</si>
  <si>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</si>
  <si>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</si>
  <si>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</si>
  <si>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</si>
  <si>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</si>
  <si>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</si>
  <si>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</si>
  <si>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</si>
  <si>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</si>
  <si>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</si>
  <si>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</si>
  <si>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</si>
  <si>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</si>
  <si>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</si>
  <si>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</si>
  <si>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</si>
  <si>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</si>
  <si>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</si>
  <si>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</si>
  <si>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</si>
  <si>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</si>
  <si>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</si>
  <si>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</si>
  <si>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</si>
  <si>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</si>
  <si>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</si>
  <si>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</si>
  <si>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</si>
  <si>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</si>
  <si>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</si>
  <si>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</si>
  <si>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</si>
  <si>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</si>
  <si>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</si>
  <si>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</si>
  <si>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</si>
  <si>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</si>
  <si>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</si>
  <si>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</si>
  <si>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</si>
  <si>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</si>
  <si>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</si>
  <si>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</si>
  <si>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</si>
  <si>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</si>
  <si>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</si>
  <si>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</si>
  <si>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</si>
  <si>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</si>
  <si>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</si>
  <si>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</si>
  <si>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</si>
  <si>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</si>
  <si>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</si>
  <si>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</si>
  <si>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</si>
  <si>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</si>
  <si>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</si>
  <si>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</si>
  <si>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</si>
  <si>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</si>
  <si>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</si>
  <si>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</si>
  <si>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</si>
  <si>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</si>
  <si>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</si>
  <si>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</si>
  <si>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</si>
  <si>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</si>
  <si>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</si>
  <si>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</si>
  <si>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</si>
  <si>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</si>
  <si>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</si>
  <si>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</si>
  <si>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</si>
  <si>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</si>
  <si>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</si>
  <si>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</si>
  <si>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</si>
  <si>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</si>
  <si>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</si>
  <si>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</si>
  <si>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</si>
  <si>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</si>
  <si>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</si>
  <si>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</si>
  <si>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</si>
  <si>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</si>
  <si>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</si>
  <si>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</si>
  <si>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</si>
  <si>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</si>
  <si>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</si>
  <si>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</si>
  <si>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</si>
  <si>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</si>
  <si>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</si>
  <si>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</si>
  <si>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</si>
  <si>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</si>
  <si>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</si>
  <si>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</si>
  <si>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</si>
  <si>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</si>
  <si>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</si>
  <si>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</si>
  <si>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</si>
  <si>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</si>
  <si>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</si>
  <si>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</si>
  <si>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</si>
  <si>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</si>
  <si>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</si>
  <si>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</si>
  <si>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</si>
  <si>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</si>
  <si>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</si>
  <si>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</si>
  <si>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</si>
  <si>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</si>
  <si>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</si>
  <si>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</si>
  <si>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</si>
  <si>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</si>
  <si>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</si>
  <si>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</si>
  <si>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</si>
  <si>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</si>
  <si>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</si>
  <si>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</si>
  <si>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</si>
  <si>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</si>
  <si>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</si>
  <si>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</si>
  <si>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</si>
  <si>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</si>
  <si>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</si>
  <si>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</si>
  <si>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</si>
  <si>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</si>
  <si>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</si>
  <si>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</si>
  <si>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</si>
  <si>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</si>
  <si>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</si>
  <si>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</si>
  <si>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</si>
  <si>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</si>
  <si>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</si>
  <si>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</si>
  <si>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</si>
  <si>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</si>
  <si>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</si>
  <si>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</si>
  <si>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</si>
  <si>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</si>
  <si>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</si>
  <si>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</si>
  <si>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</si>
  <si>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</si>
  <si>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</si>
  <si>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</si>
  <si>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</si>
  <si>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</si>
  <si>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</si>
  <si>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</si>
  <si>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</si>
  <si>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</si>
  <si>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</si>
  <si>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</si>
  <si>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</si>
  <si>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</si>
  <si>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</si>
  <si>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</si>
  <si>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</si>
  <si>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</si>
  <si>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</si>
  <si>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</si>
  <si>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</si>
  <si>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</si>
  <si>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</si>
  <si>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</si>
  <si>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</si>
  <si>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</si>
  <si>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</si>
  <si>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</si>
  <si>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</si>
  <si>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</si>
  <si>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</si>
  <si>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</si>
  <si>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</si>
  <si>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</si>
  <si>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</si>
  <si>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</si>
  <si>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</si>
  <si>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</si>
  <si>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</si>
  <si>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</si>
  <si>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</si>
  <si>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</si>
  <si>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</si>
  <si>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</si>
  <si>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</si>
  <si>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</si>
  <si>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</si>
  <si>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</si>
  <si>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</si>
  <si>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</si>
  <si>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01:38</t>
  </si>
  <si>
    <t>08:18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</si>
</sst>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6" sqref="D6:G1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09_089_OLY_PAR_E2025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89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45968.885416666664</v>
      </c>
      <c r="C3" s="157"/>
      <c r="D3" s="39">
        <v>527</v>
      </c>
      <c r="E3" s="29"/>
      <c r="F3" s="26">
        <f>SUBTOTAL(3,I17:I106)</f>
        <v>2</v>
      </c>
      <c r="G3" s="27">
        <f>IF(OR(D3="",D3=0),"",F3/D3)</f>
        <v>3.7950664136622392E-3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3.7950664136622392E-3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Partizan Mozzart 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0.37950664136622392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1.8795066413662238</v>
      </c>
      <c r="N7" s="58"/>
      <c r="O7" s="2"/>
      <c r="P7" s="2"/>
      <c r="Q7" s="86">
        <f>SUM(R5,S5,AC16)</f>
        <v>1.8795066413662238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1.8795066413662238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89</v>
      </c>
      <c r="D17" s="32" t="s">
        <v>758</v>
      </c>
      <c r="E17" s="33">
        <v>3</v>
      </c>
      <c r="F17" s="36">
        <v>50</v>
      </c>
      <c r="G17" s="36">
        <v>54</v>
      </c>
      <c r="H17" s="38" t="str">
        <f>IF(I17="","",$I$14)</f>
        <v>SCOUTING</v>
      </c>
      <c r="I17" s="34">
        <v>351</v>
      </c>
      <c r="J17" s="13" t="s">
        <v>4</v>
      </c>
      <c r="K17" s="13" t="s">
        <v>62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89</v>
      </c>
      <c r="D18" s="32" t="s">
        <v>759</v>
      </c>
      <c r="E18" s="33">
        <v>4</v>
      </c>
      <c r="F18" s="36">
        <v>54</v>
      </c>
      <c r="G18" s="36">
        <v>62</v>
      </c>
      <c r="H18" s="38" t="str">
        <f t="shared" ref="H18:H81" si="8">IF(I18="","",$I$14)</f>
        <v>SCOUTING</v>
      </c>
      <c r="I18" s="34">
        <v>395</v>
      </c>
      <c r="J18" s="13" t="s">
        <v>4</v>
      </c>
      <c r="K18" s="13" t="s">
        <v>62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REPORT_E2025089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"E2025089"</v>
      </c>
      <c r="F3" s="45" t="str">
        <f t="shared" ref="F3:F16" si="0">""""&amp;B3&amp;"""" &amp; " : " &amp;C3&amp;","</f>
        <v>"name" : "E2025089",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"E089"</v>
      </c>
      <c r="F4" s="45" t="str">
        <f t="shared" si="0"/>
        <v>"cod" : "E089",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089</v>
      </c>
      <c r="F6" s="45" t="str">
        <f t="shared" si="0"/>
        <v>"number" : 089,</v>
      </c>
    </row>
    <row r="7" spans="2:6" x14ac:dyDescent="0.2">
      <c r="B7" s="43" t="s">
        <v>116</v>
      </c>
      <c r="C7" s="43" t="str">
        <f ca="1">""""&amp;TEXT('SCOUT &amp; LOGISTICS'!B3,"dd/mm/aaaa")&amp;""""</f>
        <v>"07/11/Friday"</v>
      </c>
      <c r="F7" s="45" t="str">
        <f t="shared" ca="1" si="0"/>
        <v>"date" : "07/11/Friday",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"KRANIOTIS, KONSTANTINOS"</v>
      </c>
      <c r="F10" s="45" t="str">
        <f t="shared" si="0"/>
        <v>"Data_entry" : "KRANIOTIS, KONSTANTINOS",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"CHRISTOLIAKOU, MARIA ALEXANDRA"</v>
      </c>
      <c r="F11" s="45" t="str">
        <f t="shared" si="0"/>
        <v>"Caller_1" : "CHRISTOLIAKOU, MARIA ALEXANDRA",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"KAROUMPALOU, ATHINA"</v>
      </c>
      <c r="F12" s="45" t="str">
        <f t="shared" si="0"/>
        <v>"Caller_2" : "KAROUMPALOU, ATHINA",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"KARAGIAKIOULES, VASILEOS"</v>
      </c>
      <c r="F13" s="45" t="str">
        <f t="shared" si="0"/>
        <v>"Timerkeeper" : "KARAGIAKIOULES, VASILEOS",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"KOURTI, SPYRIDOULA"</v>
      </c>
      <c r="F14" s="45" t="str">
        <f t="shared" si="0"/>
        <v>"Shotclock" : "KOURTI, SPYRIDOULA",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"KALESIORIS, ANASTASIS"</v>
      </c>
      <c r="F15" s="45" t="str">
        <f t="shared" si="0"/>
        <v>"IRS" : "KALESIORIS, ANASTASIS",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527</v>
      </c>
      <c r="F25" s="45" t="str">
        <f t="shared" ref="F25:F48" si="1">""""&amp;C25&amp;"""" &amp; " : " &amp;D25&amp;","</f>
        <v>"total_actions" : 527,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09_089_OLY_PAR_E2025</v>
      </c>
      <c r="F52" s="45" t="str">
        <f>""""&amp;B52&amp;"""" &amp; " : " &amp;C52</f>
        <v>"result" : 09_089_OLY_PAR_E2025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E089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07/11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Partizan Mozzart 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KRANIOTIS, KONSTANTINOS</v>
      </c>
      <c r="C8" s="206"/>
      <c r="D8" s="206"/>
      <c r="E8" s="206"/>
      <c r="F8" s="206"/>
      <c r="G8" s="206" t="str">
        <f>IF('SCOUT &amp; LOGISTICS'!D7="","",'SCOUT &amp; LOGISTICS'!D7)</f>
        <v>CHRISTOLIAKOU, MARIA ALEXANDRA</v>
      </c>
      <c r="H8" s="206"/>
      <c r="I8" s="206"/>
      <c r="J8" s="206"/>
      <c r="K8" s="206"/>
      <c r="L8" s="206" t="str">
        <f>IF('SCOUT &amp; LOGISTICS'!D8="","",'SCOUT &amp; LOGISTICS'!D8)</f>
        <v>KAROUMPALOU, ATHINA</v>
      </c>
      <c r="M8" s="206"/>
      <c r="N8" s="206"/>
      <c r="O8" s="206"/>
      <c r="P8" s="206"/>
      <c r="Q8" s="206" t="str">
        <f>IF('SCOUT &amp; LOGISTICS'!D9="","",'SCOUT &amp; LOGISTICS'!D9)</f>
        <v>KARAGIAKIOULES, VASILEOS</v>
      </c>
      <c r="R8" s="206"/>
      <c r="S8" s="206"/>
      <c r="T8" s="206"/>
      <c r="U8" s="206"/>
      <c r="V8" s="206" t="str">
        <f>IF('SCOUT &amp; LOGISTICS'!D10="","",'SCOUT &amp; LOGISTICS'!D10)</f>
        <v>KOURTI, SPYRIDOULA</v>
      </c>
      <c r="W8" s="206"/>
      <c r="X8" s="206"/>
      <c r="Y8" s="206"/>
      <c r="Z8" s="206"/>
      <c r="AA8" s="206" t="str">
        <f>IF('SCOUT &amp; LOGISTICS'!D11="","",'SCOUT &amp; LOGISTICS'!D11)</f>
        <v>KALESIORIS, ANASTASIS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527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3.7950664136622392E-3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1.8795066413662238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37270F-B24D-4A68-8474-528ED8FF7AF0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2025-11-21T20:33:06Z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