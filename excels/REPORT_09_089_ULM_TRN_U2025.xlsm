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Excel Reports fets/"/>
    </mc:Choice>
  </mc:AlternateContent>
  <xr:revisionPtr revIDLastSave="4" documentId="8_{0745447B-B5D9-4794-B664-33F032EBAD8D}" xr6:coauthVersionLast="47" xr6:coauthVersionMax="47" xr10:uidLastSave="{9CD61F8C-3B35-40C8-9043-FF8E5FBA4194}"/>
  <bookViews>
    <workbookView xWindow="-110" yWindow="-110" windowWidth="19420" windowHeight="10300" xr2:uid="{00000000-000D-0000-FFFF-FFFF00000000}"/>
  </bookViews>
  <sheets>
    <sheet name="SCOUT &amp; LOGISTICS" sheetId="1" r:id="rId1"/>
    <sheet name="Teams" sheetId="5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1" l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<sst xmlns="http://schemas.openxmlformats.org/spreadsheetml/2006/main" count="3374" uniqueCount="843">
  <si>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</si>
  <si>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</si>
  <si>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</si>
  <si>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</si>
  <si>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</si>
  <si>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</si>
  <si>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</si>
  <si>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</si>
  <si>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</si>
  <si>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</si>
  <si>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</si>
  <si>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</si>
  <si>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</si>
  <si>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</si>
  <si>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</si>
  <si>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</si>
  <si>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</si>
  <si>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</si>
  <si>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</si>
  <si>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</si>
  <si>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</si>
  <si>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</si>
  <si>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</si>
  <si>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</si>
  <si>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</si>
  <si>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</si>
  <si>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</si>
  <si>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</si>
  <si>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</si>
  <si>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</si>
  <si>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</si>
  <si>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</si>
  <si>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</si>
  <si>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</si>
  <si>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</si>
  <si>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</si>
  <si>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</si>
  <si>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</si>
  <si>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</si>
  <si>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</si>
  <si>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</si>
  <si>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</si>
  <si>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</si>
  <si>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</si>
  <si>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</si>
  <si>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</si>
  <si>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</si>
  <si>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</si>
  <si>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</si>
  <si>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</si>
  <si>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</si>
  <si>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</si>
  <si>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</si>
  <si>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</si>
  <si>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</si>
  <si>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</si>
  <si>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</si>
  <si>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</si>
  <si>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</si>
  <si>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</si>
  <si>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</si>
  <si>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</si>
  <si>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</si>
  <si>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</si>
  <si>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</si>
  <si>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</si>
  <si>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</si>
  <si>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</si>
  <si>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</si>
  <si>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</si>
  <si>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</si>
  <si>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</si>
  <si>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</si>
  <si>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</si>
  <si>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</si>
  <si>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</si>
  <si>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</si>
  <si>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</si>
  <si>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</si>
  <si>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</si>
  <si>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</si>
  <si>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</si>
  <si>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</si>
  <si>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</si>
  <si>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</si>
  <si>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</si>
  <si>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</si>
  <si>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</si>
  <si>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</si>
  <si>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</si>
  <si>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</si>
  <si>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</si>
  <si>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</si>
  <si>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</si>
  <si>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</si>
  <si>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</si>
  <si>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</si>
  <si>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</si>
  <si>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</si>
  <si>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</si>
  <si>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</si>
  <si>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</si>
  <si>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</si>
  <si>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</si>
  <si>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</si>
  <si>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</si>
  <si>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</si>
  <si>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</si>
  <si>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</si>
  <si>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</si>
  <si>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</si>
  <si>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</si>
  <si>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</si>
  <si>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</si>
  <si>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</si>
  <si>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</si>
  <si>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</si>
  <si>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</si>
  <si>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</si>
  <si>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</si>
  <si>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</si>
  <si>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</si>
  <si>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</si>
  <si>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</si>
  <si>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</si>
  <si>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</si>
  <si>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</si>
  <si>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</si>
  <si>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</si>
  <si>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</si>
  <si>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</si>
  <si>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</si>
  <si>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</si>
  <si>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</si>
  <si>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</si>
  <si>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</si>
  <si>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</si>
  <si>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</si>
  <si>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</si>
  <si>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</si>
  <si>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</si>
  <si>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</si>
  <si>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</si>
  <si>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</si>
  <si>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</si>
  <si>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</si>
  <si>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</si>
  <si>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</si>
  <si>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</si>
  <si>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</si>
  <si>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</si>
  <si>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</si>
  <si>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</si>
  <si>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</si>
  <si>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</si>
  <si>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</si>
  <si>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</si>
  <si>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</si>
  <si>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</si>
  <si>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</si>
  <si>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</si>
  <si>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</si>
  <si>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</si>
  <si>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</si>
  <si>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</si>
  <si>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</si>
  <si>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</si>
  <si>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</si>
  <si>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</si>
  <si>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</si>
  <si>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</si>
  <si>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</si>
  <si>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</si>
  <si>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</si>
  <si>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</si>
  <si>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</si>
  <si>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</si>
  <si>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</si>
  <si>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</si>
  <si>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</si>
  <si>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</si>
  <si>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</si>
  <si>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</si>
  <si>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</si>
  <si>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</si>
  <si>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</si>
  <si>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</si>
  <si>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</si>
  <si>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</si>
  <si>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</si>
  <si>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</si>
  <si>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</si>
  <si>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</si>
  <si>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</si>
  <si>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</si>
  <si>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</si>
  <si>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</si>
  <si>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</si>
  <si>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</si>
  <si>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</si>
  <si>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</si>
  <si>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</si>
  <si>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</si>
  <si>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</si>
  <si>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</si>
  <si>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</si>
  <si>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</si>
  <si>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</si>
  <si>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</si>
  <si>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</si>
  <si>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</si>
  <si>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</si>
  <si>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</si>
  <si>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</si>
  <si>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</si>
  <si>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</si>
  <si>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</si>
  <si>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</si>
  <si>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</si>
  <si>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</si>
  <si>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</si>
  <si>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</si>
  <si>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</si>
  <si>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</si>
  <si>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</si>
  <si>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</si>
  <si>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</si>
  <si>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</si>
  <si>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</si>
  <si>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</si>
  <si>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</si>
  <si>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</si>
  <si>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</si>
  <si>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</si>
  <si>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</si>
  <si>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</si>
  <si>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</si>
  <si>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</si>
  <si>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</si>
  <si>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</si>
  <si>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</si>
  <si>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</si>
  <si>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</si>
  <si>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</si>
  <si>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</si>
  <si>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</si>
  <si>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</si>
  <si>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</si>
  <si>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</si>
  <si>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</si>
  <si>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</si>
  <si>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</si>
  <si>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</si>
  <si>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</si>
  <si>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</si>
  <si>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</si>
  <si>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</si>
  <si>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</si>
  <si>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</si>
  <si>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</si>
  <si>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</si>
  <si>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</si>
  <si>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</si>
  <si>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</si>
  <si>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</si>
  <si>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</si>
  <si>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</si>
  <si>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</si>
  <si>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</si>
  <si>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</si>
  <si>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</si>
  <si>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</si>
  <si>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</si>
  <si>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</si>
  <si>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</si>
  <si>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</si>
  <si>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</si>
  <si>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</si>
  <si>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</si>
  <si>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</si>
  <si>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</si>
  <si>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</si>
  <si>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</si>
  <si>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</si>
  <si>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</si>
  <si>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</si>
  <si>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</si>
  <si>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</si>
  <si>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</si>
  <si>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</si>
  <si>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</si>
  <si>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</si>
  <si>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</si>
  <si>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</si>
  <si>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</si>
  <si>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</si>
  <si>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</si>
  <si>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</si>
  <si>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</si>
  <si>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</si>
  <si>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</si>
  <si>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</si>
  <si>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</si>
  <si>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</si>
  <si>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</si>
  <si>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</si>
  <si>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</si>
  <si>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</si>
  <si>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</si>
  <si>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</si>
  <si>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</si>
  <si>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</si>
  <si>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</si>
  <si>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</si>
  <si>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</si>
  <si>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</si>
  <si>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</si>
  <si>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</si>
  <si>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</si>
  <si>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</si>
  <si>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</si>
  <si>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</si>
  <si>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</si>
  <si>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</si>
  <si>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</si>
  <si>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</si>
  <si>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</si>
  <si>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</si>
  <si>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</si>
  <si>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</si>
  <si>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</si>
  <si>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</si>
  <si>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</si>
  <si>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</si>
  <si>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</si>
  <si>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</si>
  <si>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</si>
  <si>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</si>
  <si>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</si>
  <si>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</si>
  <si>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</si>
  <si>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</si>
  <si>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</si>
  <si>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</si>
  <si>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</si>
  <si>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</si>
  <si>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</si>
  <si>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</si>
  <si>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</si>
  <si>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</si>
  <si>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</si>
  <si>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</si>
  <si>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</si>
  <si>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</si>
  <si>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</si>
  <si>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</si>
  <si>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</si>
  <si>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</si>
  <si>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</si>
  <si>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</si>
  <si>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</si>
  <si>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</si>
  <si>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</si>
  <si>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</si>
  <si>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</si>
  <si>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</si>
  <si>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</si>
  <si>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</si>
  <si>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</si>
  <si>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</si>
  <si>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</si>
  <si>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</si>
  <si>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</si>
  <si>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</si>
  <si>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</si>
  <si>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</si>
  <si>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</si>
  <si>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</si>
  <si>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</si>
  <si>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</si>
  <si>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</si>
  <si>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</si>
  <si>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</si>
  <si>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</si>
  <si>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</si>
  <si>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</si>
  <si>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</si>
  <si>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</si>
  <si>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</si>
  <si>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</si>
  <si>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</si>
  <si>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</si>
  <si>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</si>
  <si>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</si>
  <si>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</si>
  <si>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</si>
  <si>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</si>
  <si>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</si>
  <si>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</si>
  <si>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</si>
  <si>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</si>
  <si>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</si>
  <si>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</si>
  <si>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</si>
  <si>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</si>
  <si>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</si>
  <si>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</si>
  <si>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</si>
  <si>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</si>
  <si>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</si>
  <si>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</si>
  <si>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</si>
  <si>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</si>
  <si>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</si>
  <si>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</si>
  <si>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</si>
  <si>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</si>
  <si>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</si>
  <si>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</si>
  <si>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</si>
  <si>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</si>
  <si>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</si>
  <si>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</si>
  <si>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</si>
  <si>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</si>
  <si>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</si>
  <si>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</si>
  <si>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</si>
  <si>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</si>
  <si>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</si>
  <si>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</si>
  <si>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</si>
  <si>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</si>
  <si>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</si>
  <si>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</si>
  <si>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</si>
  <si>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</si>
  <si>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</si>
  <si>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</si>
  <si>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</si>
  <si>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</si>
  <si>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</si>
  <si>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</si>
  <si>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</si>
  <si>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</si>
  <si>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</si>
  <si>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</si>
  <si>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</si>
  <si>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</si>
  <si>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</si>
  <si>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</si>
  <si>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</si>
  <si>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</si>
  <si>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</si>
  <si>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</si>
  <si>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</si>
  <si>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</si>
  <si>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</si>
  <si>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</si>
  <si>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</si>
  <si>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</si>
  <si>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</si>
  <si>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</si>
  <si>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</si>
  <si>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</si>
  <si>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</si>
  <si>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</si>
  <si>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</si>
  <si>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</si>
  <si>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</si>
  <si>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</si>
  <si>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</si>
  <si>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</si>
  <si>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</si>
  <si>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</si>
  <si>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</si>
  <si>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</si>
  <si>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</si>
  <si>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</si>
  <si>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</si>
  <si>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</si>
  <si>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</si>
  <si>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</si>
  <si>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</si>
  <si>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</si>
  <si>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</si>
  <si>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</si>
  <si>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</si>
  <si>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</si>
  <si>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</si>
  <si>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</si>
  <si>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</si>
  <si>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</si>
  <si>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</si>
  <si>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</si>
  <si>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</si>
  <si>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</si>
  <si>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</si>
  <si>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</si>
  <si>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</si>
  <si>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</si>
  <si>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</si>
  <si>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</si>
  <si>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</si>
  <si>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</si>
  <si>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</si>
  <si>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</si>
  <si>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</si>
  <si>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</si>
  <si>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</si>
  <si>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</si>
  <si>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</si>
  <si>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</si>
  <si>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</si>
  <si>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</si>
  <si>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</si>
  <si>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</si>
  <si>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</si>
  <si>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</si>
  <si>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</si>
  <si>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</si>
  <si>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</si>
  <si>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</si>
  <si>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</si>
  <si>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</si>
  <si>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</si>
  <si>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</si>
  <si>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</si>
  <si>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</si>
  <si>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</si>
  <si>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</si>
  <si>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</si>
  <si>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</si>
  <si>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</si>
  <si>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</si>
  <si>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</si>
  <si>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</si>
  <si>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</si>
  <si>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</si>
  <si>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</si>
  <si>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</si>
  <si>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</si>
  <si>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</si>
  <si>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</si>
  <si>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</si>
  <si>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</si>
  <si>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</si>
  <si>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</si>
  <si>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</si>
  <si>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</si>
  <si>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</si>
  <si>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</si>
  <si>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</si>
  <si>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</si>
  <si>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</si>
  <si>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</si>
  <si>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</si>
  <si>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</si>
  <si>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</si>
  <si>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</si>
  <si>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</si>
  <si>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</si>
  <si>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</si>
  <si>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</si>
  <si>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</si>
  <si>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</si>
  <si>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</si>
  <si>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</si>
  <si>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</si>
  <si>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</si>
  <si>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</si>
  <si>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</si>
  <si>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</si>
  <si>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</si>
  <si>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</si>
  <si>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</si>
  <si>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</si>
  <si>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</si>
  <si>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</si>
  <si>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</si>
  <si>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</si>
  <si>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</si>
  <si>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</si>
  <si>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</si>
  <si>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</si>
  <si>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</si>
  <si>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</si>
  <si>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</si>
  <si>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</si>
  <si>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</si>
  <si>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</si>
  <si>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</si>
  <si>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</si>
  <si>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</si>
  <si>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</si>
  <si>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</si>
  <si>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</si>
  <si>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</si>
  <si>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</si>
  <si>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</si>
  <si>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</si>
  <si>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</si>
  <si>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</si>
  <si>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</si>
  <si>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</si>
  <si>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</si>
  <si>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</si>
  <si>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</si>
  <si>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</si>
  <si>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</si>
  <si>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</si>
  <si>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</si>
  <si>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</si>
  <si>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</si>
  <si>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</si>
  <si>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</si>
  <si>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</si>
  <si>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</si>
  <si>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</si>
  <si>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</si>
  <si>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</si>
  <si>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</si>
  <si>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</si>
  <si>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</si>
  <si>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</si>
  <si>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</si>
  <si>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</si>
  <si>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</si>
  <si>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</si>
  <si>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</si>
  <si>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</si>
  <si>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</si>
  <si>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</si>
  <si>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</si>
  <si>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</si>
  <si>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</si>
  <si>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</si>
  <si>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</si>
  <si>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</si>
  <si>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</si>
  <si>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</si>
  <si>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</si>
  <si>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</si>
  <si>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</si>
  <si>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</si>
  <si>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</si>
  <si>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</si>
  <si>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</si>
  <si>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</si>
  <si>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</si>
  <si>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</si>
  <si>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</si>
  <si>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</si>
  <si>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</si>
  <si>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</si>
  <si>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</si>
  <si>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</si>
  <si>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</si>
  <si>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</si>
  <si>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</si>
  <si>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</si>
  <si>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</si>
  <si>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</si>
  <si>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</si>
  <si>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</si>
  <si>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</si>
  <si>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</si>
  <si>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</si>
  <si>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</si>
  <si>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</si>
  <si>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</si>
  <si>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</si>
  <si>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</si>
  <si>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</si>
  <si>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</si>
  <si>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</si>
  <si>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</si>
  <si>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</si>
  <si>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</si>
  <si>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</si>
  <si>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</si>
  <si>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</si>
  <si>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</si>
  <si>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</si>
  <si>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</si>
  <si>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</si>
  <si>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</si>
  <si>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</si>
  <si>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</si>
  <si>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</si>
  <si>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</si>
  <si>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</si>
  <si>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</si>
  <si>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</si>
  <si>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</si>
  <si>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</si>
  <si>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</si>
  <si>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</si>
  <si>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</si>
  <si>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</si>
  <si>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</si>
  <si>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</si>
  <si>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</si>
  <si>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</si>
  <si>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</si>
  <si>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</si>
  <si>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</si>
  <si>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</si>
  <si>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</si>
  <si>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</si>
  <si>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</si>
  <si>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</si>
  <si>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</si>
  <si>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</si>
  <si>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</si>
  <si>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</si>
  <si>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</si>
  <si>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</si>
  <si>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</si>
  <si>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</si>
  <si>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</si>
  <si>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</si>
  <si>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</si>
  <si>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</si>
  <si>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</si>
  <si>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</si>
  <si>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</si>
  <si>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</si>
  <si>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</si>
  <si>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</si>
  <si>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</si>
  <si>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</si>
  <si>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</si>
  <si>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</si>
  <si>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</si>
  <si>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</si>
  <si>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</si>
  <si>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</si>
  <si>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</si>
  <si>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</si>
  <si>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</si>
  <si>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</si>
  <si>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</si>
  <si>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</si>
  <si>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</si>
  <si>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</si>
  <si>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</si>
  <si>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</si>
  <si>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</si>
  <si>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</si>
  <si>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</si>
  <si>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</si>
  <si>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</si>
  <si>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</si>
  <si>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</si>
  <si>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</si>
  <si>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</si>
  <si>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</si>
  <si>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</si>
  <si>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</si>
  <si>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</si>
  <si>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</si>
  <si>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</si>
  <si>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</si>
  <si>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</si>
  <si>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</si>
  <si>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</si>
  <si>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</si>
  <si>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</si>
  <si>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</si>
  <si>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</si>
  <si>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</si>
  <si>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</si>
  <si>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</si>
  <si>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</si>
  <si>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</si>
  <si>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</si>
  <si>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</si>
  <si>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</si>
  <si>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</si>
  <si>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</si>
  <si>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</si>
  <si>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</si>
  <si>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</si>
  <si>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</si>
  <si>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</si>
  <si>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</si>
  <si>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</si>
  <si>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</si>
  <si>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</si>
  <si>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</si>
  <si>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</si>
  <si>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</si>
  <si>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</si>
  <si>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</si>
  <si>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</si>
  <si>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</si>
  <si>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</si>
  <si>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</si>
  <si>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</si>
  <si>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</si>
  <si>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</si>
  <si>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</si>
  <si>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</si>
  <si>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</si>
  <si>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</si>
  <si>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</si>
  <si>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</si>
  <si>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</si>
  <si>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</si>
  <si>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</si>
  <si>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</si>
  <si>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</si>
  <si>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</si>
  <si>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</si>
  <si>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</si>
  <si>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</si>
  <si>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</si>
  <si>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</si>
  <si>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</si>
  <si>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</si>
  <si>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</si>
  <si>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</si>
  <si>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</si>
  <si>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</si>
  <si>
    <t>FLORIAN GLOECKLER</t>
  </si>
  <si>
    <t>LEONIE VALENTINA HEINRICH</t>
  </si>
  <si>
    <t>SIMONE GRUPP</t>
  </si>
  <si>
    <t>CARSTEN STOCKER</t>
  </si>
  <si>
    <t>CHRISTIAN GRUPP</t>
  </si>
  <si>
    <t>C:\Users\pablo.campoy\EUROLEAGUE\EB STATS - General\SEASON 2025-26\Reports\Eurocup\PDF</t>
  </si>
  <si>
    <t>C:\Users\pablo.campoy\EUROLEAGUE\EB STATS - General\SEASON 2025-26\Reports\Eurocup\Excel Reports fets</t>
  </si>
  <si>
    <t>06:33</t>
  </si>
  <si>
    <t>05:25</t>
  </si>
  <si>
    <t>03:54</t>
  </si>
  <si>
    <t>07:36</t>
  </si>
  <si>
    <t>06:57</t>
  </si>
  <si>
    <t>05:43</t>
  </si>
  <si>
    <t>Assist esborrada, molt mal apuntada</t>
  </si>
  <si>
    <t>04:00</t>
  </si>
  <si>
    <t>Molt difícil de veure</t>
  </si>
  <si>
    <t>Very good work in all areas except Assists. You should review the criteria or we can provide you videos to review it. The rest was a couple wrong player idenitifcations. Great work again. Great job also editing discrepancies: very fast.</t>
  </si>
  <si>
    <t>PABLO CAMPOY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</si>
</sst>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09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09_089_ULM_TRN_U2025</v>
      </c>
      <c r="G1" s="5"/>
      <c r="H1" s="5"/>
      <c r="I1" s="5"/>
      <c r="J1" s="8" t="s">
        <v>707</v>
      </c>
      <c r="K1" s="121" t="s">
        <v>831</v>
      </c>
      <c r="L1" s="121"/>
      <c r="M1" s="122" t="s">
        <v>239</v>
      </c>
      <c r="N1" s="121" t="s">
        <v>830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U2025</v>
      </c>
      <c r="C2" s="123">
        <v>89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45995.791666666664</v>
      </c>
      <c r="C3" s="157"/>
      <c r="D3" s="39">
        <v>633</v>
      </c>
      <c r="E3" s="29"/>
      <c r="F3" s="26">
        <f>SUBTOTAL(3,I17:I106)</f>
        <v>8</v>
      </c>
      <c r="G3" s="27">
        <f>IF(OR(D3="",D3=0),"",F3/D3)</f>
        <v>1.2638230647709321E-2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ratiopharm Ulm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ULM</v>
      </c>
      <c r="I4" s="5"/>
      <c r="J4" s="119" t="s">
        <v>714</v>
      </c>
      <c r="K4" s="54" t="s">
        <v>742</v>
      </c>
      <c r="L4" s="5"/>
      <c r="M4" s="167" t="s">
        <v>841</v>
      </c>
      <c r="N4" s="168"/>
      <c r="O4" s="2"/>
      <c r="P4" s="2"/>
      <c r="Q4" s="84" t="s">
        <v>175</v>
      </c>
      <c r="R4" s="94">
        <f>(IF(G3="",0,G3))</f>
        <v>1.2638230647709321E-2</v>
      </c>
      <c r="S4" s="61">
        <f>SUM(I13:M13)</f>
        <v>0</v>
      </c>
      <c r="T4" s="78"/>
      <c r="U4" s="61">
        <f>AC18</f>
        <v>1</v>
      </c>
      <c r="V4" s="61">
        <f>+AC22</f>
        <v>5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2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Dolomiti Energia Trento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TRN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1.2638230647709321</v>
      </c>
      <c r="S5" s="70">
        <f t="shared" ref="S5" si="0">S4*S3</f>
        <v>0</v>
      </c>
      <c r="T5" s="92"/>
      <c r="U5" s="70">
        <f t="shared" ref="U5:AG5" si="1">U4*U3</f>
        <v>0.5</v>
      </c>
      <c r="V5" s="70">
        <f t="shared" si="1"/>
        <v>5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825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826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11.763823064770932</v>
      </c>
      <c r="N7" s="58"/>
      <c r="O7" s="2"/>
      <c r="P7" s="2"/>
      <c r="Q7" s="86">
        <f>SUM(R5,S5,AC16)</f>
        <v>11.763823064770932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827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11.763823064770932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828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829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tr">
        <f>M8</f>
        <v>IRS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89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842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8</v>
      </c>
      <c r="J15" s="24">
        <f>SUBTOTAL(3,J17:J106)</f>
        <v>8</v>
      </c>
      <c r="K15" s="24">
        <f>SUBTOTAL(3,K17:K106)</f>
        <v>8</v>
      </c>
      <c r="L15" s="24">
        <f>SUBTOTAL(3,L17:L106)</f>
        <v>8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8</v>
      </c>
      <c r="Z16" s="90" t="s">
        <v>110</v>
      </c>
      <c r="AA16" s="75">
        <f>SUM(AA17:AA24)</f>
        <v>8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10.5</v>
      </c>
      <c r="AD16" s="75">
        <f>SUM(AD17:AD24)</f>
        <v>45</v>
      </c>
      <c r="AE16" s="76" t="s">
        <v>42</v>
      </c>
      <c r="AF16" s="75">
        <f>SUM(AF17:AF24)</f>
        <v>5</v>
      </c>
      <c r="AG16" s="75">
        <f>SUM(AG17:AG21)</f>
        <v>8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U2025</v>
      </c>
      <c r="C17" s="31">
        <f t="shared" ref="C17:C48" si="3">IF(I17="","",$C$2)</f>
        <v>89</v>
      </c>
      <c r="D17" s="32" t="s">
        <v>832</v>
      </c>
      <c r="E17" s="33">
        <v>1</v>
      </c>
      <c r="F17" s="36">
        <v>6</v>
      </c>
      <c r="G17" s="36">
        <v>9</v>
      </c>
      <c r="H17" s="38" t="str">
        <f>IF(I17="","",$I$14)</f>
        <v>SCOUTING</v>
      </c>
      <c r="I17" s="34">
        <v>41</v>
      </c>
      <c r="J17" s="13" t="s">
        <v>4</v>
      </c>
      <c r="K17" s="13" t="s">
        <v>62</v>
      </c>
      <c r="L17" s="13" t="s">
        <v>7</v>
      </c>
      <c r="M17" s="13" t="s">
        <v>11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8</v>
      </c>
      <c r="Z17" s="105" t="s">
        <v>63</v>
      </c>
      <c r="AA17" s="62">
        <f>COUNTIF($K$17:$K$106,Z17)</f>
        <v>6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5</v>
      </c>
      <c r="AG17" s="62">
        <f>COUNTIF($E$17:$E$106,$AK17)</f>
        <v>4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U2025</v>
      </c>
      <c r="C18" s="31">
        <f t="shared" si="3"/>
        <v>89</v>
      </c>
      <c r="D18" s="32" t="s">
        <v>833</v>
      </c>
      <c r="E18" s="33">
        <v>1</v>
      </c>
      <c r="F18" s="36">
        <v>9</v>
      </c>
      <c r="G18" s="36">
        <v>11</v>
      </c>
      <c r="H18" s="38" t="str">
        <f t="shared" ref="H18:H81" si="8">IF(I18="","",$I$14)</f>
        <v>SCOUTING</v>
      </c>
      <c r="I18" s="34">
        <v>53</v>
      </c>
      <c r="J18" s="13" t="s">
        <v>4</v>
      </c>
      <c r="K18" s="13" t="s">
        <v>63</v>
      </c>
      <c r="L18" s="13" t="s">
        <v>6</v>
      </c>
      <c r="M18" s="13" t="s">
        <v>26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2</v>
      </c>
      <c r="AB18" s="66" t="s">
        <v>5</v>
      </c>
      <c r="AC18" s="61">
        <f t="shared" si="5"/>
        <v>1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U2025</v>
      </c>
      <c r="C19" s="31">
        <f t="shared" si="3"/>
        <v>89</v>
      </c>
      <c r="D19" s="32" t="s">
        <v>833</v>
      </c>
      <c r="E19" s="33">
        <v>1</v>
      </c>
      <c r="F19" s="36">
        <v>9</v>
      </c>
      <c r="G19" s="36">
        <v>11</v>
      </c>
      <c r="H19" s="38" t="str">
        <f t="shared" si="8"/>
        <v>SCOUTING</v>
      </c>
      <c r="I19" s="34">
        <v>54</v>
      </c>
      <c r="J19" s="13" t="s">
        <v>4</v>
      </c>
      <c r="K19" s="13" t="s">
        <v>63</v>
      </c>
      <c r="L19" s="13" t="s">
        <v>6</v>
      </c>
      <c r="M19" s="13" t="s">
        <v>28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1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U2025</v>
      </c>
      <c r="C20" s="31">
        <f t="shared" si="3"/>
        <v>89</v>
      </c>
      <c r="D20" s="32" t="s">
        <v>834</v>
      </c>
      <c r="E20" s="33">
        <v>1</v>
      </c>
      <c r="F20" s="36">
        <v>14</v>
      </c>
      <c r="G20" s="36">
        <v>16</v>
      </c>
      <c r="H20" s="38" t="str">
        <f t="shared" si="8"/>
        <v>SCOUTING</v>
      </c>
      <c r="I20" s="34">
        <v>85</v>
      </c>
      <c r="J20" s="13" t="s">
        <v>4</v>
      </c>
      <c r="K20" s="13" t="s">
        <v>62</v>
      </c>
      <c r="L20" s="13" t="s">
        <v>6</v>
      </c>
      <c r="M20" s="13" t="s">
        <v>11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2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U2025</v>
      </c>
      <c r="C21" s="31">
        <f t="shared" si="3"/>
        <v>89</v>
      </c>
      <c r="D21" s="32" t="s">
        <v>835</v>
      </c>
      <c r="E21" s="33">
        <v>2</v>
      </c>
      <c r="F21" s="36">
        <v>32</v>
      </c>
      <c r="G21" s="36">
        <v>27</v>
      </c>
      <c r="H21" s="38" t="str">
        <f t="shared" si="8"/>
        <v>SCOUTING</v>
      </c>
      <c r="I21" s="34">
        <v>181</v>
      </c>
      <c r="J21" s="13" t="s">
        <v>4</v>
      </c>
      <c r="K21" s="13" t="s">
        <v>63</v>
      </c>
      <c r="L21" s="13" t="s">
        <v>7</v>
      </c>
      <c r="M21" s="13" t="s">
        <v>11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>U2025</v>
      </c>
      <c r="C22" s="31">
        <f t="shared" si="3"/>
        <v>89</v>
      </c>
      <c r="D22" s="32" t="s">
        <v>836</v>
      </c>
      <c r="E22" s="33">
        <v>3</v>
      </c>
      <c r="F22" s="36">
        <v>53</v>
      </c>
      <c r="G22" s="36">
        <v>55</v>
      </c>
      <c r="H22" s="38" t="str">
        <f t="shared" si="8"/>
        <v>SCOUTING</v>
      </c>
      <c r="I22" s="34">
        <v>321</v>
      </c>
      <c r="J22" s="13" t="s">
        <v>4</v>
      </c>
      <c r="K22" s="13" t="s">
        <v>63</v>
      </c>
      <c r="L22" s="13" t="s">
        <v>6</v>
      </c>
      <c r="M22" s="13" t="s">
        <v>11</v>
      </c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5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>U2025</v>
      </c>
      <c r="C23" s="31">
        <f t="shared" si="3"/>
        <v>89</v>
      </c>
      <c r="D23" s="32" t="s">
        <v>837</v>
      </c>
      <c r="E23" s="33">
        <v>4</v>
      </c>
      <c r="F23" s="36">
        <v>68</v>
      </c>
      <c r="G23" s="36">
        <v>86</v>
      </c>
      <c r="H23" s="38" t="str">
        <f t="shared" si="8"/>
        <v>SCOUTING</v>
      </c>
      <c r="I23" s="34">
        <v>516</v>
      </c>
      <c r="J23" s="13" t="s">
        <v>4</v>
      </c>
      <c r="K23" s="13" t="s">
        <v>63</v>
      </c>
      <c r="L23" s="13" t="s">
        <v>5</v>
      </c>
      <c r="M23" s="13" t="s">
        <v>11</v>
      </c>
      <c r="N23" s="35" t="s">
        <v>838</v>
      </c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2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>U2025</v>
      </c>
      <c r="C24" s="31">
        <f t="shared" si="3"/>
        <v>89</v>
      </c>
      <c r="D24" s="32" t="s">
        <v>839</v>
      </c>
      <c r="E24" s="33">
        <v>4</v>
      </c>
      <c r="F24" s="36">
        <v>72</v>
      </c>
      <c r="G24" s="36">
        <v>89</v>
      </c>
      <c r="H24" s="38" t="str">
        <f t="shared" si="8"/>
        <v>SCOUTING</v>
      </c>
      <c r="I24" s="34">
        <v>545</v>
      </c>
      <c r="J24" s="13" t="s">
        <v>4</v>
      </c>
      <c r="K24" s="13" t="s">
        <v>63</v>
      </c>
      <c r="L24" s="13" t="s">
        <v>6</v>
      </c>
      <c r="M24" s="13" t="s">
        <v>10</v>
      </c>
      <c r="N24" s="35" t="s">
        <v>840</v>
      </c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1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1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1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 t="s">
        <v>803</v>
      </c>
      <c r="E3" s="133" t="s">
        <v>804</v>
      </c>
      <c r="F3" s="133" t="s">
        <v>805</v>
      </c>
      <c r="G3" s="133" t="s">
        <v>806</v>
      </c>
      <c r="H3" s="133" t="s">
        <v>807</v>
      </c>
      <c r="I3" s="134" t="s">
        <v>808</v>
      </c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 t="s">
        <v>764</v>
      </c>
      <c r="E4" s="137" t="s">
        <v>765</v>
      </c>
      <c r="F4" s="137" t="s">
        <v>766</v>
      </c>
      <c r="G4" s="137" t="s">
        <v>767</v>
      </c>
      <c r="H4" s="137" t="s">
        <v>768</v>
      </c>
      <c r="I4" s="138" t="s">
        <v>769</v>
      </c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 t="s">
        <v>787</v>
      </c>
      <c r="E6" s="137" t="s">
        <v>788</v>
      </c>
      <c r="F6" s="137" t="s">
        <v>789</v>
      </c>
      <c r="G6" s="137" t="s">
        <v>780</v>
      </c>
      <c r="H6" s="137" t="s">
        <v>779</v>
      </c>
      <c r="I6" s="138" t="s">
        <v>790</v>
      </c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 t="s">
        <v>729</v>
      </c>
      <c r="E7" s="137" t="s">
        <v>754</v>
      </c>
      <c r="F7" s="137" t="s">
        <v>755</v>
      </c>
      <c r="G7" s="137" t="s">
        <v>756</v>
      </c>
      <c r="H7" s="137" t="s">
        <v>757</v>
      </c>
      <c r="I7" s="137" t="s">
        <v>824</v>
      </c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 t="s">
        <v>735</v>
      </c>
      <c r="E8" s="137" t="s">
        <v>770</v>
      </c>
      <c r="F8" s="137" t="s">
        <v>771</v>
      </c>
      <c r="G8" s="137" t="s">
        <v>772</v>
      </c>
      <c r="H8" s="137" t="s">
        <v>773</v>
      </c>
      <c r="I8" s="138" t="s">
        <v>740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 t="s">
        <v>818</v>
      </c>
      <c r="E9" s="137" t="s">
        <v>819</v>
      </c>
      <c r="F9" s="137" t="s">
        <v>820</v>
      </c>
      <c r="G9" s="137" t="s">
        <v>821</v>
      </c>
      <c r="H9" s="137" t="s">
        <v>822</v>
      </c>
      <c r="I9" s="138" t="s">
        <v>823</v>
      </c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 t="s">
        <v>809</v>
      </c>
      <c r="E10" s="137" t="s">
        <v>810</v>
      </c>
      <c r="F10" s="137" t="s">
        <v>811</v>
      </c>
      <c r="G10" s="137" t="s">
        <v>812</v>
      </c>
      <c r="H10" s="137" t="s">
        <v>813</v>
      </c>
      <c r="I10" s="138" t="s">
        <v>814</v>
      </c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 t="s">
        <v>758</v>
      </c>
      <c r="E13" s="137" t="s">
        <v>759</v>
      </c>
      <c r="F13" s="137" t="s">
        <v>760</v>
      </c>
      <c r="G13" s="137" t="s">
        <v>761</v>
      </c>
      <c r="H13" s="137" t="s">
        <v>762</v>
      </c>
      <c r="I13" s="138" t="s">
        <v>763</v>
      </c>
      <c r="J13" s="139"/>
      <c r="K13" s="137" t="s">
        <v>774</v>
      </c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 t="s">
        <v>781</v>
      </c>
      <c r="E14" s="137" t="s">
        <v>782</v>
      </c>
      <c r="F14" s="137" t="s">
        <v>783</v>
      </c>
      <c r="G14" s="137" t="s">
        <v>784</v>
      </c>
      <c r="H14" s="137" t="s">
        <v>785</v>
      </c>
      <c r="I14" s="138" t="s">
        <v>786</v>
      </c>
      <c r="J14" s="139"/>
      <c r="K14" s="137" t="s">
        <v>775</v>
      </c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 t="s">
        <v>776</v>
      </c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7" t="s">
        <v>780</v>
      </c>
      <c r="J16" s="139"/>
      <c r="K16" s="137" t="s">
        <v>777</v>
      </c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 t="s">
        <v>749</v>
      </c>
      <c r="E17" s="137" t="s">
        <v>750</v>
      </c>
      <c r="F17" s="137" t="s">
        <v>751</v>
      </c>
      <c r="G17" s="137" t="s">
        <v>752</v>
      </c>
      <c r="H17" s="137" t="s">
        <v>753</v>
      </c>
      <c r="I17" s="138"/>
      <c r="J17" s="139"/>
      <c r="K17" s="137" t="s">
        <v>778</v>
      </c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 t="s">
        <v>791</v>
      </c>
      <c r="E18" s="137" t="s">
        <v>792</v>
      </c>
      <c r="F18" s="137" t="s">
        <v>793</v>
      </c>
      <c r="G18" s="137" t="s">
        <v>794</v>
      </c>
      <c r="H18" s="137" t="s">
        <v>795</v>
      </c>
      <c r="I18" s="138" t="s">
        <v>796</v>
      </c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 t="s">
        <v>815</v>
      </c>
      <c r="E19" s="137" t="s">
        <v>792</v>
      </c>
      <c r="F19" s="137" t="s">
        <v>816</v>
      </c>
      <c r="G19" s="137" t="s">
        <v>817</v>
      </c>
      <c r="H19" s="137" t="s">
        <v>795</v>
      </c>
      <c r="I19" s="138" t="s">
        <v>796</v>
      </c>
      <c r="J19" s="139" t="s">
        <v>774</v>
      </c>
      <c r="K19" s="137" t="s">
        <v>775</v>
      </c>
      <c r="L19" s="137" t="s">
        <v>776</v>
      </c>
      <c r="M19" s="137" t="s">
        <v>777</v>
      </c>
      <c r="N19" s="140" t="s">
        <v>778</v>
      </c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 t="s">
        <v>797</v>
      </c>
      <c r="E22" s="142" t="s">
        <v>798</v>
      </c>
      <c r="F22" s="142" t="s">
        <v>799</v>
      </c>
      <c r="G22" s="142" t="s">
        <v>800</v>
      </c>
      <c r="H22" s="142" t="s">
        <v>801</v>
      </c>
      <c r="I22" s="143" t="s">
        <v>802</v>
      </c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3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REPORT_U2025089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"U2025089"</v>
      </c>
      <c r="F3" s="45" t="str">
        <f t="shared" ref="F3:F16" si="0">""""&amp;B3&amp;"""" &amp; " : " &amp;C3&amp;","</f>
        <v>"name" : "U2025089",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"U089"</v>
      </c>
      <c r="F4" s="45" t="str">
        <f t="shared" si="0"/>
        <v>"cod" : "U089",</v>
      </c>
    </row>
    <row r="5" spans="2:6" x14ac:dyDescent="0.25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5">
      <c r="B6" s="43" t="s">
        <v>118</v>
      </c>
      <c r="C6" s="43" t="str">
        <f>TEXT('SCOUT &amp; LOGISTICS'!C2,"000")</f>
        <v>089</v>
      </c>
      <c r="F6" s="45" t="str">
        <f t="shared" si="0"/>
        <v>"number" : 089,</v>
      </c>
    </row>
    <row r="7" spans="2:6" x14ac:dyDescent="0.25">
      <c r="B7" s="43" t="s">
        <v>116</v>
      </c>
      <c r="C7" s="43" t="str">
        <f ca="1">""""&amp;TEXT('SCOUT &amp; LOGISTICS'!B3,"dd/mm/aaaa")&amp;""""</f>
        <v>"04/12/2025"</v>
      </c>
      <c r="F7" s="45" t="str">
        <f t="shared" ca="1" si="0"/>
        <v>"date" : "04/12/2025",</v>
      </c>
    </row>
    <row r="8" spans="2:6" x14ac:dyDescent="0.25">
      <c r="B8" s="43" t="s">
        <v>125</v>
      </c>
      <c r="C8" s="43" t="str">
        <f>""""&amp;'SCOUT &amp; LOGISTICS'!D4 &amp;""""</f>
        <v>"ratiopharm Ulm"</v>
      </c>
      <c r="F8" s="45" t="str">
        <f t="shared" si="0"/>
        <v>"home_team" : "ratiopharm Ulm",</v>
      </c>
    </row>
    <row r="9" spans="2:6" x14ac:dyDescent="0.25">
      <c r="B9" s="43" t="s">
        <v>126</v>
      </c>
      <c r="C9" s="43" t="str">
        <f>""""&amp;'SCOUT &amp; LOGISTICS'!D5&amp;""""</f>
        <v>"Dolomiti Energia Trento"</v>
      </c>
      <c r="F9" s="45" t="str">
        <f t="shared" si="0"/>
        <v>"away_team" : "Dolomiti Energia Trento",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"FLORIAN GLOECKLER"</v>
      </c>
      <c r="F10" s="45" t="str">
        <f t="shared" si="0"/>
        <v>"Data_entry" : "FLORIAN GLOECKLER",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"LEONIE VALENTINA HEINRICH"</v>
      </c>
      <c r="F11" s="45" t="str">
        <f t="shared" si="0"/>
        <v>"Caller_1" : "LEONIE VALENTINA HEINRICH",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"SIMONE GRUPP"</v>
      </c>
      <c r="F12" s="45" t="str">
        <f t="shared" si="0"/>
        <v>"Caller_2" : "SIMONE GRUPP",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"CARSTEN STOCKER"</v>
      </c>
      <c r="F13" s="45" t="str">
        <f t="shared" si="0"/>
        <v>"Timerkeeper" : "CARSTEN STOCKER",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"CHRISTIAN GRUPP"</v>
      </c>
      <c r="F14" s="45" t="str">
        <f t="shared" si="0"/>
        <v>"Shotclock" : "CHRISTIAN GRUPP",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"PABLO CAMPOY"</v>
      </c>
      <c r="F16" s="45" t="str">
        <f t="shared" si="0"/>
        <v>"Live_Game_Manager" : "PABLO CAMPOY",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633</v>
      </c>
      <c r="F25" s="45" t="str">
        <f t="shared" ref="F25:F48" si="1">""""&amp;C25&amp;"""" &amp; " : " &amp;D25&amp;","</f>
        <v>"total_actions" : 633,</v>
      </c>
    </row>
    <row r="26" spans="2:6" x14ac:dyDescent="0.25">
      <c r="C26" s="43" t="s">
        <v>132</v>
      </c>
      <c r="D26" s="43">
        <f>'SCOUT &amp; LOGISTICS'!F3</f>
        <v>8</v>
      </c>
      <c r="F26" s="45" t="str">
        <f t="shared" si="1"/>
        <v>"total_correcions" : 8,</v>
      </c>
    </row>
    <row r="27" spans="2:6" x14ac:dyDescent="0.25">
      <c r="C27" s="43" t="s">
        <v>133</v>
      </c>
      <c r="D27" s="43" t="str">
        <f>""""&amp;IF(OR(D25="",D25=0),"",TEXT(D26/D25,"0,0%"))&amp;""""</f>
        <v>"1,3%"</v>
      </c>
      <c r="F27" s="45" t="str">
        <f t="shared" si="1"/>
        <v>"%_corrections" : "1,3%",</v>
      </c>
    </row>
    <row r="28" spans="2:6" x14ac:dyDescent="0.25">
      <c r="C28" s="43" t="s">
        <v>125</v>
      </c>
      <c r="D28" s="43">
        <f>IF('SCOUT &amp; LOGISTICS'!AA17="","",'SCOUT &amp; LOGISTICS'!AA17)</f>
        <v>6</v>
      </c>
      <c r="F28" s="45" t="str">
        <f t="shared" si="1"/>
        <v>"home_team" : 6,</v>
      </c>
    </row>
    <row r="29" spans="2:6" x14ac:dyDescent="0.25">
      <c r="C29" s="43" t="s">
        <v>134</v>
      </c>
      <c r="D29" s="43">
        <f>IF('SCOUT &amp; LOGISTICS'!AA18="","",'SCOUT &amp; LOGISTICS'!AA18)</f>
        <v>2</v>
      </c>
      <c r="F29" s="45" t="str">
        <f t="shared" si="1"/>
        <v>"no_team" : 2,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4</v>
      </c>
      <c r="F31" s="45" t="str">
        <f t="shared" si="1"/>
        <v>"q1" : 4,</v>
      </c>
    </row>
    <row r="32" spans="2:6" x14ac:dyDescent="0.25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5">
      <c r="C33" s="43" t="s">
        <v>137</v>
      </c>
      <c r="D33" s="43">
        <f>'SCOUT &amp; LOGISTICS'!AG19</f>
        <v>1</v>
      </c>
      <c r="F33" s="45" t="str">
        <f t="shared" si="1"/>
        <v>"q3" : 1,</v>
      </c>
    </row>
    <row r="34" spans="3:6" x14ac:dyDescent="0.25">
      <c r="C34" s="43" t="s">
        <v>138</v>
      </c>
      <c r="D34" s="43">
        <f>'SCOUT &amp; LOGISTICS'!AG20</f>
        <v>2</v>
      </c>
      <c r="F34" s="45" t="str">
        <f t="shared" si="1"/>
        <v>"q4" : 2,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8</v>
      </c>
      <c r="F37" s="45" t="str">
        <f t="shared" si="1"/>
        <v>"scoresheet_corrections" : 8,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1</v>
      </c>
      <c r="F39" s="45" t="str">
        <f t="shared" si="1"/>
        <v>"missidentity" : 1,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2</v>
      </c>
      <c r="F46" s="45" t="str">
        <f t="shared" si="1"/>
        <v>"part_of_a_sequence" : 2,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"Very good work in all areas except Assists. You should review the criteria or we can provide you videos to review it. The rest was a couple wrong player idenitifcations. Great work again. Great job also editing discrepancies: very fast."</v>
      </c>
      <c r="F51" s="45" t="str">
        <f>""""&amp;B51&amp;"""" &amp; " : " &amp;C51&amp;","</f>
        <v>"comments" : "Very good work in all areas except Assists. You should review the criteria or we can provide you videos to review it. The rest was a couple wrong player idenitifcations. Great work again. Great job also editing discrepancies: very fast.",</v>
      </c>
    </row>
    <row r="52" spans="2:6" x14ac:dyDescent="0.25">
      <c r="B52" s="43" t="s">
        <v>153</v>
      </c>
      <c r="C52" s="43" t="str">
        <f>TEXT('SCOUT &amp; LOGISTICS'!F1,"0,0")</f>
        <v>09_089_ULM_TRN_U2025</v>
      </c>
      <c r="F52" s="45" t="str">
        <f>""""&amp;B52&amp;"""" &amp; " : " &amp;C52</f>
        <v>"result" : 09_089_ULM_TRN_U2025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5.5" zeroHeight="1" x14ac:dyDescent="0.4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45"/>
    <row r="2" spans="1:33" ht="42.65" customHeight="1" thickBot="1" x14ac:dyDescent="0.5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5">
      <c r="A3" s="48"/>
      <c r="B3" s="208" t="str">
        <f>"GAME: "&amp; LEFT('SCOUT &amp; LOGISTICS'!B2,1) &amp; TEXT('SCOUT &amp; LOGISTICS'!C2,"000") &amp; " " &amp; IF(LEFT('SCOUT &amp; LOGISTICS'!B2,1)="U","(EUROCUP)","(EUROLEAGUE)")</f>
        <v>GAME: U089 (EUROCUP)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5">
      <c r="A4" s="48"/>
      <c r="B4" s="194" t="str">
        <f ca="1">"DATE: " &amp; TEXT('SCOUT &amp; LOGISTICS'!B3,"dd/mm")</f>
        <v>DATE: 04/12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5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5">
      <c r="A6" s="48"/>
      <c r="B6" s="212" t="str">
        <f>PROPER('SCOUT &amp; LOGISTICS'!D4)</f>
        <v>Ratiopharm Ulm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Dolomiti Energia Trento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5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5">
      <c r="A8" s="48"/>
      <c r="B8" s="206" t="str">
        <f>IF('SCOUT &amp; LOGISTICS'!D6="","",'SCOUT &amp; LOGISTICS'!D6)</f>
        <v>FLORIAN GLOECKLER</v>
      </c>
      <c r="C8" s="206"/>
      <c r="D8" s="206"/>
      <c r="E8" s="206"/>
      <c r="F8" s="206"/>
      <c r="G8" s="206" t="str">
        <f>IF('SCOUT &amp; LOGISTICS'!D7="","",'SCOUT &amp; LOGISTICS'!D7)</f>
        <v>LEONIE VALENTINA HEINRICH</v>
      </c>
      <c r="H8" s="206"/>
      <c r="I8" s="206"/>
      <c r="J8" s="206"/>
      <c r="K8" s="206"/>
      <c r="L8" s="206" t="str">
        <f>IF('SCOUT &amp; LOGISTICS'!D8="","",'SCOUT &amp; LOGISTICS'!D8)</f>
        <v>SIMONE GRUPP</v>
      </c>
      <c r="M8" s="206"/>
      <c r="N8" s="206"/>
      <c r="O8" s="206"/>
      <c r="P8" s="206"/>
      <c r="Q8" s="206" t="str">
        <f>IF('SCOUT &amp; LOGISTICS'!D9="","",'SCOUT &amp; LOGISTICS'!D9)</f>
        <v>CARSTEN STOCKER</v>
      </c>
      <c r="R8" s="206"/>
      <c r="S8" s="206"/>
      <c r="T8" s="206"/>
      <c r="U8" s="206"/>
      <c r="V8" s="206" t="str">
        <f>IF('SCOUT &amp; LOGISTICS'!D10="","",'SCOUT &amp; LOGISTICS'!D10)</f>
        <v>CHRISTIAN GRUPP</v>
      </c>
      <c r="W8" s="206"/>
      <c r="X8" s="206"/>
      <c r="Y8" s="206"/>
      <c r="Z8" s="206"/>
      <c r="AA8" s="206" t="str">
        <f>IF('SCOUT &amp; LOGISTICS'!D11="","",'SCOUT &amp; LOGISTICS'!D11)</f>
        <v>IRS</v>
      </c>
      <c r="AB8" s="206"/>
      <c r="AC8" s="206"/>
      <c r="AD8" s="206"/>
      <c r="AE8" s="206"/>
      <c r="AF8" s="48"/>
    </row>
    <row r="9" spans="1:33" ht="16" thickBot="1" x14ac:dyDescent="0.5">
      <c r="A9" s="48"/>
      <c r="B9" s="200" t="str">
        <f>IF(OR('SCOUT &amp; LOGISTICS'!D14="",'SCOUT &amp; LOGISTICS'!D14=0),"",'SCOUT &amp; LOGISTICS'!B14 &amp; ": " &amp; 'SCOUT &amp; LOGISTICS'!D14) &amp; "     "</f>
        <v xml:space="preserve">L G M: : PABLO CAMPOY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6" thickBot="1" x14ac:dyDescent="0.5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5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5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6" thickBot="1" x14ac:dyDescent="0.5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5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5">
      <c r="A17" s="48"/>
      <c r="B17" s="204">
        <f>'SCOUT &amp; LOGISTICS'!D3</f>
        <v>633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8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1.2638230647709321E-2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6" thickBot="1" x14ac:dyDescent="0.5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5">
      <c r="A20" s="48"/>
      <c r="B20" s="197">
        <f>IF('SCOUT &amp; LOGISTICS'!AA17="","",'SCOUT &amp; LOGISTICS'!AA17)</f>
        <v>6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2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5">
      <c r="A22" s="48"/>
      <c r="B22" s="197">
        <f>'SCOUT &amp; LOGISTICS'!AG17</f>
        <v>4</v>
      </c>
      <c r="C22" s="197"/>
      <c r="D22" s="197"/>
      <c r="E22" s="197"/>
      <c r="F22" s="197"/>
      <c r="G22" s="197"/>
      <c r="H22" s="197">
        <f>'SCOUT &amp; LOGISTICS'!AG18</f>
        <v>1</v>
      </c>
      <c r="I22" s="197"/>
      <c r="J22" s="197"/>
      <c r="K22" s="197"/>
      <c r="L22" s="197"/>
      <c r="M22" s="197"/>
      <c r="N22" s="197">
        <f>'SCOUT &amp; LOGISTICS'!AG19</f>
        <v>1</v>
      </c>
      <c r="O22" s="197"/>
      <c r="P22" s="197"/>
      <c r="Q22" s="197"/>
      <c r="R22" s="197"/>
      <c r="S22" s="197"/>
      <c r="T22" s="197">
        <f>'SCOUT &amp; LOGISTICS'!AG20</f>
        <v>2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6" thickBot="1" x14ac:dyDescent="0.5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5">
      <c r="A25" s="48"/>
      <c r="B25" s="197">
        <f>'SCOUT &amp; LOGISTICS'!Y17</f>
        <v>8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5">
      <c r="A27" s="48"/>
      <c r="B27" s="197">
        <f>'SCOUT &amp; LOGISTICS'!AC18</f>
        <v>1</v>
      </c>
      <c r="C27" s="197"/>
      <c r="D27" s="197"/>
      <c r="E27" s="197"/>
      <c r="F27" s="197"/>
      <c r="G27" s="197">
        <f>'SCOUT &amp; LOGISTICS'!AC22</f>
        <v>5</v>
      </c>
      <c r="H27" s="197"/>
      <c r="I27" s="197"/>
      <c r="J27" s="197"/>
      <c r="K27" s="197"/>
      <c r="L27" s="197">
        <f>'SCOUT &amp; LOGISTICS'!AC23</f>
        <v>2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5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6" thickBot="1" x14ac:dyDescent="0.5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5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5">
      <c r="A32" s="48"/>
      <c r="B32" s="195" t="str">
        <f>IF('SCOUT &amp; LOGISTICS'!M4="","",'SCOUT &amp; LOGISTICS'!M4)</f>
        <v>Very good work in all areas except Assists. You should review the criteria or we can provide you videos to review it. The rest was a couple wrong player idenitifcations. Great work again. Great job also editing discrepancies: very fast.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5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5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5">
      <c r="A35" s="48"/>
      <c r="B35" s="196">
        <f>'SCOUT &amp; LOGISTICS'!M7</f>
        <v>11.763823064770932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4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2EE0854-0EC5-4444-8222-BFF51FD4DD6E}"/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Pablo Campoy</cp:lastModifiedBy>
  <cp:lastPrinted>2025-12-04T20:53:25Z</cp:lastPrinted>
  <dcterms:created xsi:type="dcterms:W3CDTF">2023-09-19T19:50:35Z</dcterms:created>
  <dcterms:modified xsi:type="dcterms:W3CDTF">2025-12-04T20:53:31Z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