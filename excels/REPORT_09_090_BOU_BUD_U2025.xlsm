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41" documentId="8_{44EF6213-CDBD-4557-8535-5129EF3E6701}" xr6:coauthVersionLast="47" xr6:coauthVersionMax="47" xr10:uidLastSave="{177AF95E-F62F-42AB-84FA-B866BA5A8745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<sst xmlns="http://schemas.openxmlformats.org/spreadsheetml/2006/main" count="3397" uniqueCount="847">
  <si>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</si>
  <si>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</si>
  <si>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</si>
  <si>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</si>
  <si>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</si>
  <si>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</si>
  <si>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</si>
  <si>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</si>
  <si>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</si>
  <si>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</si>
  <si>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</si>
  <si>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</si>
  <si>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</si>
  <si>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</si>
  <si>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</si>
  <si>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</si>
  <si>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</si>
  <si>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</si>
  <si>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</si>
  <si>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</si>
  <si>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</si>
  <si>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</si>
  <si>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</si>
  <si>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</si>
  <si>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</si>
  <si>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</si>
  <si>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</si>
  <si>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</si>
  <si>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</si>
  <si>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</si>
  <si>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</si>
  <si>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</si>
  <si>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</si>
  <si>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</si>
  <si>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</si>
  <si>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</si>
  <si>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</si>
  <si>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</si>
  <si>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</si>
  <si>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</si>
  <si>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</si>
  <si>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</si>
  <si>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</si>
  <si>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</si>
  <si>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</si>
  <si>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</si>
  <si>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</si>
  <si>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</si>
  <si>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</si>
  <si>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</si>
  <si>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</si>
  <si>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</si>
  <si>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</si>
  <si>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</si>
  <si>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</si>
  <si>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</si>
  <si>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</si>
  <si>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</si>
  <si>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</si>
  <si>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</si>
  <si>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</si>
  <si>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</si>
  <si>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</si>
  <si>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</si>
  <si>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</si>
  <si>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</si>
  <si>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</si>
  <si>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</si>
  <si>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</si>
  <si>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</si>
  <si>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</si>
  <si>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</si>
  <si>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</si>
  <si>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</si>
  <si>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</si>
  <si>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</si>
  <si>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</si>
  <si>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</si>
  <si>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</si>
  <si>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</si>
  <si>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</si>
  <si>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</si>
  <si>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</si>
  <si>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</si>
  <si>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</si>
  <si>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</si>
  <si>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</si>
  <si>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</si>
  <si>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</si>
  <si>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</si>
  <si>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</si>
  <si>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</si>
  <si>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</si>
  <si>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</si>
  <si>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</si>
  <si>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</si>
  <si>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</si>
  <si>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</si>
  <si>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</si>
  <si>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</si>
  <si>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</si>
  <si>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</si>
  <si>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</si>
  <si>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</si>
  <si>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</si>
  <si>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</si>
  <si>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</si>
  <si>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</si>
  <si>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</si>
  <si>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</si>
  <si>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</si>
  <si>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</si>
  <si>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</si>
  <si>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</si>
  <si>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</si>
  <si>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</si>
  <si>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</si>
  <si>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</si>
  <si>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</si>
  <si>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</si>
  <si>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</si>
  <si>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</si>
  <si>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</si>
  <si>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</si>
  <si>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</si>
  <si>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</si>
  <si>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</si>
  <si>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</si>
  <si>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</si>
  <si>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</si>
  <si>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</si>
  <si>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</si>
  <si>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</si>
  <si>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</si>
  <si>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</si>
  <si>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</si>
  <si>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</si>
  <si>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</si>
  <si>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</si>
  <si>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</si>
  <si>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</si>
  <si>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</si>
  <si>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</si>
  <si>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</si>
  <si>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</si>
  <si>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</si>
  <si>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</si>
  <si>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</si>
  <si>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</si>
  <si>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</si>
  <si>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</si>
  <si>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</si>
  <si>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</si>
  <si>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</si>
  <si>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</si>
  <si>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</si>
  <si>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</si>
  <si>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</si>
  <si>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</si>
  <si>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</si>
  <si>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</si>
  <si>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</si>
  <si>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</si>
  <si>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</si>
  <si>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</si>
  <si>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</si>
  <si>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</si>
  <si>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</si>
  <si>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</si>
  <si>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</si>
  <si>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</si>
  <si>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</si>
  <si>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</si>
  <si>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</si>
  <si>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</si>
  <si>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</si>
  <si>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</si>
  <si>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</si>
  <si>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</si>
  <si>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</si>
  <si>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</si>
  <si>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</si>
  <si>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</si>
  <si>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</si>
  <si>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</si>
  <si>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</si>
  <si>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</si>
  <si>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</si>
  <si>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</si>
  <si>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</si>
  <si>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</si>
  <si>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</si>
  <si>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</si>
  <si>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</si>
  <si>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</si>
  <si>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</si>
  <si>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</si>
  <si>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</si>
  <si>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</si>
  <si>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</si>
  <si>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</si>
  <si>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</si>
  <si>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</si>
  <si>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</si>
  <si>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</si>
  <si>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</si>
  <si>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</si>
  <si>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</si>
  <si>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</si>
  <si>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</si>
  <si>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</si>
  <si>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</si>
  <si>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</si>
  <si>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</si>
  <si>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</si>
  <si>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</si>
  <si>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</si>
  <si>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</si>
  <si>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</si>
  <si>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</si>
  <si>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</si>
  <si>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</si>
  <si>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</si>
  <si>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</si>
  <si>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</si>
  <si>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</si>
  <si>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</si>
  <si>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</si>
  <si>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</si>
  <si>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</si>
  <si>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</si>
  <si>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</si>
  <si>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</si>
  <si>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</si>
  <si>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</si>
  <si>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</si>
  <si>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</si>
  <si>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</si>
  <si>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</si>
  <si>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</si>
  <si>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</si>
  <si>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</si>
  <si>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</si>
  <si>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</si>
  <si>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</si>
  <si>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</si>
  <si>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</si>
  <si>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</si>
  <si>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</si>
  <si>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</si>
  <si>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</si>
  <si>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</si>
  <si>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</si>
  <si>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</si>
  <si>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</si>
  <si>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</si>
  <si>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</si>
  <si>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</si>
  <si>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</si>
  <si>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</si>
  <si>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</si>
  <si>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</si>
  <si>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</si>
  <si>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</si>
  <si>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</si>
  <si>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</si>
  <si>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</si>
  <si>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</si>
  <si>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</si>
  <si>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</si>
  <si>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</si>
  <si>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</si>
  <si>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</si>
  <si>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</si>
  <si>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</si>
  <si>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</si>
  <si>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</si>
  <si>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</si>
  <si>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</si>
  <si>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</si>
  <si>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</si>
  <si>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</si>
  <si>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</si>
  <si>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</si>
  <si>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</si>
  <si>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</si>
  <si>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</si>
  <si>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</si>
  <si>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</si>
  <si>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</si>
  <si>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</si>
  <si>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</si>
  <si>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</si>
  <si>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</si>
  <si>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</si>
  <si>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</si>
  <si>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</si>
  <si>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</si>
  <si>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</si>
  <si>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</si>
  <si>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</si>
  <si>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</si>
  <si>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</si>
  <si>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</si>
  <si>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</si>
  <si>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</si>
  <si>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</si>
  <si>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</si>
  <si>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</si>
  <si>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</si>
  <si>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</si>
  <si>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</si>
  <si>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</si>
  <si>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</si>
  <si>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</si>
  <si>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</si>
  <si>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</si>
  <si>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</si>
  <si>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</si>
  <si>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</si>
  <si>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</si>
  <si>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</si>
  <si>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</si>
  <si>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</si>
  <si>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</si>
  <si>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</si>
  <si>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</si>
  <si>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</si>
  <si>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</si>
  <si>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</si>
  <si>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</si>
  <si>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</si>
  <si>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</si>
  <si>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</si>
  <si>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</si>
  <si>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</si>
  <si>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</si>
  <si>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</si>
  <si>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</si>
  <si>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</si>
  <si>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</si>
  <si>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</si>
  <si>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</si>
  <si>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</si>
  <si>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</si>
  <si>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</si>
  <si>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</si>
  <si>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</si>
  <si>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</si>
  <si>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</si>
  <si>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</si>
  <si>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</si>
  <si>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</si>
  <si>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</si>
  <si>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</si>
  <si>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</si>
  <si>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</si>
  <si>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</si>
  <si>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</si>
  <si>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</si>
  <si>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</si>
  <si>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</si>
  <si>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</si>
  <si>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</si>
  <si>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</si>
  <si>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</si>
  <si>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</si>
  <si>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</si>
  <si>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</si>
  <si>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</si>
  <si>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</si>
  <si>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</si>
  <si>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</si>
  <si>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</si>
  <si>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</si>
  <si>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</si>
  <si>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</si>
  <si>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</si>
  <si>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</si>
  <si>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</si>
  <si>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</si>
  <si>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</si>
  <si>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</si>
  <si>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</si>
  <si>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</si>
  <si>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</si>
  <si>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</si>
  <si>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</si>
  <si>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</si>
  <si>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</si>
  <si>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</si>
  <si>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</si>
  <si>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</si>
  <si>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</si>
  <si>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</si>
  <si>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</si>
  <si>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</si>
  <si>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</si>
  <si>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</si>
  <si>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</si>
  <si>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</si>
  <si>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</si>
  <si>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</si>
  <si>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</si>
  <si>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</si>
  <si>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</si>
  <si>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</si>
  <si>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</si>
  <si>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</si>
  <si>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</si>
  <si>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</si>
  <si>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</si>
  <si>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</si>
  <si>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</si>
  <si>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</si>
  <si>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</si>
  <si>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</si>
  <si>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</si>
  <si>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</si>
  <si>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</si>
  <si>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</si>
  <si>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</si>
  <si>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</si>
  <si>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</si>
  <si>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</si>
  <si>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</si>
  <si>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</si>
  <si>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</si>
  <si>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</si>
  <si>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</si>
  <si>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</si>
  <si>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</si>
  <si>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</si>
  <si>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</si>
  <si>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</si>
  <si>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</si>
  <si>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</si>
  <si>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</si>
  <si>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</si>
  <si>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</si>
  <si>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</si>
  <si>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</si>
  <si>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</si>
  <si>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</si>
  <si>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</si>
  <si>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</si>
  <si>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</si>
  <si>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</si>
  <si>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</si>
  <si>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</si>
  <si>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</si>
  <si>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</si>
  <si>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</si>
  <si>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</si>
  <si>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</si>
  <si>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</si>
  <si>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</si>
  <si>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</si>
  <si>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</si>
  <si>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</si>
  <si>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</si>
  <si>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</si>
  <si>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</si>
  <si>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</si>
  <si>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</si>
  <si>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</si>
  <si>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</si>
  <si>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</si>
  <si>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</si>
  <si>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</si>
  <si>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</si>
  <si>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</si>
  <si>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</si>
  <si>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</si>
  <si>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</si>
  <si>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</si>
  <si>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</si>
  <si>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</si>
  <si>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</si>
  <si>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</si>
  <si>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</si>
  <si>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</si>
  <si>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</si>
  <si>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</si>
  <si>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</si>
  <si>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</si>
  <si>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</si>
  <si>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</si>
  <si>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</si>
  <si>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</si>
  <si>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</si>
  <si>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</si>
  <si>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</si>
  <si>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</si>
  <si>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</si>
  <si>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</si>
  <si>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</si>
  <si>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</si>
  <si>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</si>
  <si>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</si>
  <si>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</si>
  <si>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</si>
  <si>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</si>
  <si>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</si>
  <si>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</si>
  <si>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</si>
  <si>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</si>
  <si>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</si>
  <si>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</si>
  <si>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</si>
  <si>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</si>
  <si>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</si>
  <si>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</si>
  <si>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</si>
  <si>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</si>
  <si>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</si>
  <si>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</si>
  <si>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</si>
  <si>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</si>
  <si>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</si>
  <si>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</si>
  <si>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</si>
  <si>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</si>
  <si>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</si>
  <si>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</si>
  <si>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</si>
  <si>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</si>
  <si>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</si>
  <si>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</si>
  <si>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</si>
  <si>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</si>
  <si>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</si>
  <si>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</si>
  <si>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</si>
  <si>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</si>
  <si>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</si>
  <si>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</si>
  <si>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</si>
  <si>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</si>
  <si>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</si>
  <si>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</si>
  <si>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</si>
  <si>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</si>
  <si>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</si>
  <si>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</si>
  <si>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</si>
  <si>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</si>
  <si>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</si>
  <si>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</si>
  <si>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</si>
  <si>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</si>
  <si>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</si>
  <si>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</si>
  <si>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</si>
  <si>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</si>
  <si>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</si>
  <si>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</si>
  <si>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</si>
  <si>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</si>
  <si>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</si>
  <si>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</si>
  <si>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</si>
  <si>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</si>
  <si>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</si>
  <si>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</si>
  <si>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</si>
  <si>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</si>
  <si>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</si>
  <si>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</si>
  <si>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</si>
  <si>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</si>
  <si>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</si>
  <si>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</si>
  <si>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</si>
  <si>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</si>
  <si>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</si>
  <si>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</si>
  <si>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</si>
  <si>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</si>
  <si>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</si>
  <si>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</si>
  <si>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</si>
  <si>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</si>
  <si>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</si>
  <si>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</si>
  <si>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</si>
  <si>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</si>
  <si>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</si>
  <si>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</si>
  <si>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</si>
  <si>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</si>
  <si>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</si>
  <si>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</si>
  <si>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</si>
  <si>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</si>
  <si>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</si>
  <si>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</si>
  <si>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</si>
  <si>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</si>
  <si>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</si>
  <si>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</si>
  <si>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</si>
  <si>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</si>
  <si>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</si>
  <si>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</si>
  <si>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</si>
  <si>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</si>
  <si>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</si>
  <si>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</si>
  <si>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</si>
  <si>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</si>
  <si>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</si>
  <si>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</si>
  <si>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</si>
  <si>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</si>
  <si>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</si>
  <si>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</si>
  <si>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</si>
  <si>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</si>
  <si>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</si>
  <si>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</si>
  <si>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</si>
  <si>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</si>
  <si>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</si>
  <si>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</si>
  <si>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</si>
  <si>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</si>
  <si>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</si>
  <si>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</si>
  <si>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</si>
  <si>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</si>
  <si>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</si>
  <si>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</si>
  <si>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</si>
  <si>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</si>
  <si>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</si>
  <si>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</si>
  <si>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</si>
  <si>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</si>
  <si>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</si>
  <si>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</si>
  <si>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</si>
  <si>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</si>
  <si>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</si>
  <si>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</si>
  <si>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</si>
  <si>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</si>
  <si>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</si>
  <si>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</si>
  <si>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</si>
  <si>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</si>
  <si>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</si>
  <si>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</si>
  <si>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</si>
  <si>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</si>
  <si>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</si>
  <si>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</si>
  <si>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</si>
  <si>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</si>
  <si>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</si>
  <si>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</si>
  <si>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</si>
  <si>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</si>
  <si>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</si>
  <si>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</si>
  <si>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</si>
  <si>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</si>
  <si>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</si>
  <si>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</si>
  <si>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</si>
  <si>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</si>
  <si>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</si>
  <si>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</si>
  <si>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</si>
  <si>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</si>
  <si>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</si>
  <si>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</si>
  <si>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</si>
  <si>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</si>
  <si>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</si>
  <si>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</si>
  <si>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</si>
  <si>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</si>
  <si>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</si>
  <si>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</si>
  <si>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</si>
  <si>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</si>
  <si>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</si>
  <si>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</si>
  <si>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</si>
  <si>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</si>
  <si>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</si>
  <si>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</si>
  <si>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</si>
  <si>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</si>
  <si>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</si>
  <si>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</si>
  <si>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</si>
  <si>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</si>
  <si>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</si>
  <si>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</si>
  <si>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</si>
  <si>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</si>
  <si>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</si>
  <si>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</si>
  <si>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</si>
  <si>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</si>
  <si>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</si>
  <si>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</si>
  <si>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</si>
  <si>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</si>
  <si>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</si>
  <si>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</si>
  <si>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</si>
  <si>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</si>
  <si>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</si>
  <si>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</si>
  <si>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</si>
  <si>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</si>
  <si>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</si>
  <si>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</si>
  <si>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</si>
  <si>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</si>
  <si>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</si>
  <si>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</si>
  <si>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</si>
  <si>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</si>
  <si>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</si>
  <si>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</si>
  <si>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</si>
  <si>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</si>
  <si>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</si>
  <si>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</si>
  <si>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</si>
  <si>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</si>
  <si>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</si>
  <si>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</si>
  <si>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</si>
  <si>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</si>
  <si>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</si>
  <si>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</si>
  <si>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</si>
  <si>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</si>
  <si>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</si>
  <si>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</si>
  <si>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</si>
  <si>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</si>
  <si>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</si>
  <si>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</si>
  <si>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</si>
  <si>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</si>
  <si>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</si>
  <si>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</si>
  <si>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</si>
  <si>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</si>
  <si>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</si>
  <si>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</si>
  <si>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</si>
  <si>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</si>
  <si>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</si>
  <si>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</si>
  <si>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</si>
  <si>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</si>
  <si>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</si>
  <si>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</si>
  <si>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</si>
  <si>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</si>
  <si>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</si>
  <si>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</si>
  <si>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</si>
  <si>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</si>
  <si>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</si>
  <si>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</si>
  <si>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</si>
  <si>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</si>
  <si>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</si>
  <si>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</si>
  <si>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</si>
  <si>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</si>
  <si>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</si>
  <si>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</si>
  <si>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</si>
  <si>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</si>
  <si>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</si>
  <si>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</si>
  <si>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</si>
  <si>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</si>
  <si>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</si>
  <si>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</si>
  <si>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</si>
  <si>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</si>
  <si>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</si>
  <si>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</si>
  <si>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</si>
  <si>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</si>
  <si>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</si>
  <si>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</si>
  <si>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</si>
  <si>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</si>
  <si>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</si>
  <si>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</si>
  <si>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</si>
  <si>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</si>
  <si>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</si>
  <si>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</si>
  <si>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</si>
  <si>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</si>
  <si>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</si>
  <si>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</si>
  <si>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</si>
  <si>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</si>
  <si>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</si>
  <si>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</si>
  <si>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</si>
  <si>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</si>
  <si>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</si>
  <si>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</si>
  <si>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</si>
  <si>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</si>
  <si>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</si>
  <si>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</si>
  <si>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</si>
  <si>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</si>
  <si>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</si>
  <si>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</si>
  <si>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NEREA FRAILE</t>
  </si>
  <si>
    <t>C:\Users\nerea.fraile\EUROLEAGUE\EB STATS - Documents\General\SEASON 2025-26\Reports\Eurocup\PDF</t>
  </si>
  <si>
    <t>C:\Users\nerea.fraile\EUROLEAGUE\EB STATS - Documents\General\SEASON 2025-26\Reports\Eurocup</t>
  </si>
  <si>
    <t>GUILLAUME VORS</t>
  </si>
  <si>
    <t>STEPHANE GUILLY</t>
  </si>
  <si>
    <t>SOFYAN LANGER</t>
  </si>
  <si>
    <t>ARNAUD WEICKERT</t>
  </si>
  <si>
    <t>ALAIN FERRANT</t>
  </si>
  <si>
    <t>05:46</t>
  </si>
  <si>
    <t>00:37</t>
  </si>
  <si>
    <t>09:42</t>
  </si>
  <si>
    <t>09:05</t>
  </si>
  <si>
    <t>07:50</t>
  </si>
  <si>
    <t>04:31</t>
  </si>
  <si>
    <t>03:43</t>
  </si>
  <si>
    <t>01:07</t>
  </si>
  <si>
    <t>00:59</t>
  </si>
  <si>
    <t>06:20</t>
  </si>
  <si>
    <t>03:39</t>
  </si>
  <si>
    <t>03:10</t>
  </si>
  <si>
    <t>00:24</t>
  </si>
  <si>
    <t>Overall, very good communication and quick error correction. There were a few recurring errors regarding player numbers, but none serious enough to affect the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</si>
</sst>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09_090_BOU_BUD_U2025</v>
      </c>
      <c r="G1" s="5"/>
      <c r="H1" s="5"/>
      <c r="I1" s="5"/>
      <c r="J1" s="8" t="s">
        <v>707</v>
      </c>
      <c r="K1" s="121" t="s">
        <v>827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90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45996.8125</v>
      </c>
      <c r="C3" s="157"/>
      <c r="D3" s="39">
        <v>566</v>
      </c>
      <c r="E3" s="29"/>
      <c r="F3" s="26">
        <f>SUBTOTAL(3,I17:I106)</f>
        <v>13</v>
      </c>
      <c r="G3" s="27">
        <f>IF(OR(D3="",D3=0),"",F3/D3)</f>
        <v>2.2968197879858657E-2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Cosea JL Bourg-en-Bresse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BOU</v>
      </c>
      <c r="I4" s="5"/>
      <c r="J4" s="119" t="s">
        <v>714</v>
      </c>
      <c r="K4" s="54" t="s">
        <v>742</v>
      </c>
      <c r="L4" s="5"/>
      <c r="M4" s="167" t="s">
        <v>846</v>
      </c>
      <c r="N4" s="168"/>
      <c r="O4" s="2"/>
      <c r="P4" s="2"/>
      <c r="Q4" s="84" t="s">
        <v>175</v>
      </c>
      <c r="R4" s="94">
        <f>(IF(G3="",0,G3))</f>
        <v>2.2968197879858657E-2</v>
      </c>
      <c r="S4" s="61">
        <f>SUM(I13:M13)</f>
        <v>0</v>
      </c>
      <c r="T4" s="78"/>
      <c r="U4" s="61">
        <f>AC18</f>
        <v>3</v>
      </c>
      <c r="V4" s="61">
        <f>+AC22</f>
        <v>9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Buducnost VOLI Podgorica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2.2968197879858656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9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828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15.296819787985866</v>
      </c>
      <c r="N7" s="58"/>
      <c r="O7" s="2"/>
      <c r="P7" s="2"/>
      <c r="Q7" s="86">
        <f>SUM(R5,S5,AC16)</f>
        <v>15.296819787985866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830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15.296819787985866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831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90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13</v>
      </c>
      <c r="AD16" s="75">
        <f>SUM(AD17:AD24)</f>
        <v>45</v>
      </c>
      <c r="AE16" s="76" t="s">
        <v>42</v>
      </c>
      <c r="AF16" s="75">
        <f>SUM(AF17:AF24)</f>
        <v>8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90</v>
      </c>
      <c r="D17" s="32" t="s">
        <v>833</v>
      </c>
      <c r="E17" s="33">
        <v>1</v>
      </c>
      <c r="F17" s="36">
        <v>11</v>
      </c>
      <c r="G17" s="36">
        <v>9</v>
      </c>
      <c r="H17" s="38" t="str">
        <f>IF(I17="","",$I$14)</f>
        <v>SCOUTING</v>
      </c>
      <c r="I17" s="34">
        <v>52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8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90</v>
      </c>
      <c r="D18" s="32" t="s">
        <v>834</v>
      </c>
      <c r="E18" s="33">
        <v>1</v>
      </c>
      <c r="F18" s="36">
        <v>19</v>
      </c>
      <c r="G18" s="36">
        <v>21</v>
      </c>
      <c r="H18" s="38" t="str">
        <f t="shared" ref="H18:H81" si="8">IF(I18="","",$I$14)</f>
        <v>SCOUTING</v>
      </c>
      <c r="I18" s="34">
        <v>108</v>
      </c>
      <c r="J18" s="13" t="s">
        <v>4</v>
      </c>
      <c r="K18" s="13" t="s">
        <v>62</v>
      </c>
      <c r="L18" s="13" t="s">
        <v>6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7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90</v>
      </c>
      <c r="D19" s="32" t="s">
        <v>835</v>
      </c>
      <c r="E19" s="33">
        <v>2</v>
      </c>
      <c r="F19" s="36">
        <v>19</v>
      </c>
      <c r="G19" s="36">
        <v>21</v>
      </c>
      <c r="H19" s="38" t="str">
        <f t="shared" si="8"/>
        <v>SCOUTING</v>
      </c>
      <c r="I19" s="34">
        <v>125</v>
      </c>
      <c r="J19" s="13" t="s">
        <v>4</v>
      </c>
      <c r="K19" s="13" t="s">
        <v>63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90</v>
      </c>
      <c r="D20" s="32" t="s">
        <v>836</v>
      </c>
      <c r="E20" s="33">
        <v>2</v>
      </c>
      <c r="F20" s="36">
        <v>19</v>
      </c>
      <c r="G20" s="36">
        <v>21</v>
      </c>
      <c r="H20" s="38" t="str">
        <f t="shared" si="8"/>
        <v>SCOUTING</v>
      </c>
      <c r="I20" s="34">
        <v>135</v>
      </c>
      <c r="J20" s="13" t="s">
        <v>4</v>
      </c>
      <c r="K20" s="13" t="s">
        <v>63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4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90</v>
      </c>
      <c r="D21" s="32" t="s">
        <v>837</v>
      </c>
      <c r="E21" s="33">
        <v>2</v>
      </c>
      <c r="F21" s="36">
        <v>24</v>
      </c>
      <c r="G21" s="36">
        <v>21</v>
      </c>
      <c r="H21" s="38" t="str">
        <f t="shared" si="8"/>
        <v>SCOUTING</v>
      </c>
      <c r="I21" s="34">
        <v>153</v>
      </c>
      <c r="J21" s="13" t="s">
        <v>4</v>
      </c>
      <c r="K21" s="13" t="s">
        <v>63</v>
      </c>
      <c r="L21" s="13" t="s">
        <v>6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90</v>
      </c>
      <c r="D22" s="32" t="s">
        <v>838</v>
      </c>
      <c r="E22" s="33">
        <v>2</v>
      </c>
      <c r="F22" s="36">
        <v>35</v>
      </c>
      <c r="G22" s="36">
        <v>29</v>
      </c>
      <c r="H22" s="38" t="str">
        <f t="shared" si="8"/>
        <v>SCOUTING</v>
      </c>
      <c r="I22" s="34">
        <v>200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9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90</v>
      </c>
      <c r="D23" s="32" t="s">
        <v>839</v>
      </c>
      <c r="E23" s="33">
        <v>2</v>
      </c>
      <c r="F23" s="36">
        <v>35</v>
      </c>
      <c r="G23" s="36">
        <v>29</v>
      </c>
      <c r="H23" s="38" t="str">
        <f t="shared" si="8"/>
        <v>SCOUTING</v>
      </c>
      <c r="I23" s="34">
        <v>211</v>
      </c>
      <c r="J23" s="13" t="s">
        <v>4</v>
      </c>
      <c r="K23" s="13" t="s">
        <v>62</v>
      </c>
      <c r="L23" s="13" t="s">
        <v>6</v>
      </c>
      <c r="M23" s="13" t="s">
        <v>168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90</v>
      </c>
      <c r="D24" s="32" t="s">
        <v>840</v>
      </c>
      <c r="E24" s="33">
        <v>2</v>
      </c>
      <c r="F24" s="36">
        <v>42</v>
      </c>
      <c r="G24" s="36">
        <v>32</v>
      </c>
      <c r="H24" s="38" t="str">
        <f t="shared" si="8"/>
        <v>SCOUTING</v>
      </c>
      <c r="I24" s="34">
        <v>248</v>
      </c>
      <c r="J24" s="13" t="s">
        <v>4</v>
      </c>
      <c r="K24" s="13" t="s">
        <v>63</v>
      </c>
      <c r="L24" s="13" t="s">
        <v>6</v>
      </c>
      <c r="M24" s="13" t="s">
        <v>12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90</v>
      </c>
      <c r="D25" s="32" t="s">
        <v>841</v>
      </c>
      <c r="E25" s="33">
        <v>2</v>
      </c>
      <c r="F25" s="36">
        <v>42</v>
      </c>
      <c r="G25" s="36">
        <v>32</v>
      </c>
      <c r="H25" s="38" t="str">
        <f t="shared" si="8"/>
        <v>SCOUTING</v>
      </c>
      <c r="I25" s="34">
        <v>256</v>
      </c>
      <c r="J25" s="13" t="s">
        <v>4</v>
      </c>
      <c r="K25" s="13" t="s">
        <v>63</v>
      </c>
      <c r="L25" s="13" t="s">
        <v>6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90</v>
      </c>
      <c r="D26" s="32" t="s">
        <v>842</v>
      </c>
      <c r="E26" s="33">
        <v>3</v>
      </c>
      <c r="F26" s="36">
        <v>57</v>
      </c>
      <c r="G26" s="36">
        <v>47</v>
      </c>
      <c r="H26" s="38" t="str">
        <f t="shared" si="8"/>
        <v>SCOUTING</v>
      </c>
      <c r="I26" s="34">
        <v>315</v>
      </c>
      <c r="J26" s="13" t="s">
        <v>4</v>
      </c>
      <c r="K26" s="13" t="s">
        <v>62</v>
      </c>
      <c r="L26" s="13" t="s">
        <v>6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90</v>
      </c>
      <c r="D27" s="32" t="s">
        <v>843</v>
      </c>
      <c r="E27" s="33">
        <v>4</v>
      </c>
      <c r="F27" s="36">
        <v>78</v>
      </c>
      <c r="G27" s="36">
        <v>67</v>
      </c>
      <c r="H27" s="38" t="str">
        <f t="shared" si="8"/>
        <v>SCOUTING</v>
      </c>
      <c r="I27" s="34">
        <v>508</v>
      </c>
      <c r="J27" s="13" t="s">
        <v>4</v>
      </c>
      <c r="K27" s="13" t="s">
        <v>63</v>
      </c>
      <c r="L27" s="13" t="s">
        <v>5</v>
      </c>
      <c r="M27" s="13" t="s">
        <v>10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90</v>
      </c>
      <c r="D28" s="32" t="s">
        <v>844</v>
      </c>
      <c r="E28" s="33">
        <v>4</v>
      </c>
      <c r="F28" s="36">
        <v>81</v>
      </c>
      <c r="G28" s="36">
        <v>69</v>
      </c>
      <c r="H28" s="38" t="str">
        <f t="shared" si="8"/>
        <v>SCOUTING</v>
      </c>
      <c r="I28" s="34">
        <v>514</v>
      </c>
      <c r="J28" s="13" t="s">
        <v>4</v>
      </c>
      <c r="K28" s="13" t="s">
        <v>63</v>
      </c>
      <c r="L28" s="13" t="s">
        <v>5</v>
      </c>
      <c r="M28" s="13" t="s">
        <v>9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90</v>
      </c>
      <c r="D29" s="32" t="s">
        <v>845</v>
      </c>
      <c r="E29" s="33">
        <v>4</v>
      </c>
      <c r="F29" s="36">
        <v>88</v>
      </c>
      <c r="G29" s="36">
        <v>73</v>
      </c>
      <c r="H29" s="38" t="str">
        <f t="shared" si="8"/>
        <v>SCOUTING</v>
      </c>
      <c r="I29" s="34">
        <v>565</v>
      </c>
      <c r="J29" s="13" t="s">
        <v>4</v>
      </c>
      <c r="K29" s="13" t="s">
        <v>62</v>
      </c>
      <c r="L29" s="13" t="s">
        <v>7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REPORT_U2025090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"U2025090"</v>
      </c>
      <c r="F3" s="45" t="str">
        <f t="shared" ref="F3:F16" si="0">""""&amp;B3&amp;"""" &amp; " : " &amp;C3&amp;","</f>
        <v>"name" : "U2025090",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"U090"</v>
      </c>
      <c r="F4" s="45" t="str">
        <f t="shared" si="0"/>
        <v>"cod" : "U090",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090</v>
      </c>
      <c r="F6" s="45" t="str">
        <f t="shared" si="0"/>
        <v>"number" : 090,</v>
      </c>
    </row>
    <row r="7" spans="2:6" x14ac:dyDescent="0.25">
      <c r="B7" s="43" t="s">
        <v>116</v>
      </c>
      <c r="C7" s="43" t="str">
        <f ca="1">""""&amp;TEXT('SCOUT &amp; LOGISTICS'!B3,"dd/mm/aaaa")&amp;""""</f>
        <v>"05/12/Friday"</v>
      </c>
      <c r="F7" s="45" t="str">
        <f t="shared" ca="1" si="0"/>
        <v>"date" : "05/12/Friday",</v>
      </c>
    </row>
    <row r="8" spans="2:6" x14ac:dyDescent="0.25">
      <c r="B8" s="43" t="s">
        <v>125</v>
      </c>
      <c r="C8" s="43" t="str">
        <f>""""&amp;'SCOUT &amp; LOGISTICS'!D4 &amp;""""</f>
        <v>"Cosea JL Bourg-en-Bresse"</v>
      </c>
      <c r="F8" s="45" t="str">
        <f t="shared" si="0"/>
        <v>"home_team" : "Cosea JL Bourg-en-Bresse",</v>
      </c>
    </row>
    <row r="9" spans="2:6" x14ac:dyDescent="0.25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"GUILLAUME VORS"</v>
      </c>
      <c r="F10" s="45" t="str">
        <f t="shared" si="0"/>
        <v>"Data_entry" : "GUILLAUME VORS",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"STEPHANE GUILLY"</v>
      </c>
      <c r="F11" s="45" t="str">
        <f t="shared" si="0"/>
        <v>"Caller_1" : "STEPHANE GUILLY",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"SOFYAN LANGER"</v>
      </c>
      <c r="F12" s="45" t="str">
        <f t="shared" si="0"/>
        <v>"Caller_2" : "SOFYAN LANGER",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"ARNAUD WEICKERT"</v>
      </c>
      <c r="F13" s="45" t="str">
        <f t="shared" si="0"/>
        <v>"Timerkeeper" : "ARNAUD WEICKERT",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"ALAIN FERRANT"</v>
      </c>
      <c r="F14" s="45" t="str">
        <f t="shared" si="0"/>
        <v>"Shotclock" : "ALAIN FERRANT",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566</v>
      </c>
      <c r="F25" s="45" t="str">
        <f t="shared" ref="F25:F48" si="1">""""&amp;C25&amp;"""" &amp; " : " &amp;D25&amp;","</f>
        <v>"total_actions" : 566,</v>
      </c>
    </row>
    <row r="26" spans="2:6" x14ac:dyDescent="0.25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8</v>
      </c>
      <c r="F28" s="45" t="str">
        <f t="shared" si="1"/>
        <v>"home_team" : 8,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7</v>
      </c>
      <c r="F32" s="45" t="str">
        <f t="shared" si="1"/>
        <v>"q2" : 7,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"Overall, very good communication and quick error correction. There were a few recurring errors regarding player numbers, but none serious enough to affect the game."</v>
      </c>
      <c r="F51" s="45" t="str">
        <f>""""&amp;B51&amp;"""" &amp; " : " &amp;C51&amp;","</f>
        <v>"comments" : "Overall, very good communication and quick error correction. There were a few recurring errors regarding player numbers, but none serious enough to affect the game.",</v>
      </c>
    </row>
    <row r="52" spans="2:6" x14ac:dyDescent="0.25">
      <c r="B52" s="43" t="s">
        <v>153</v>
      </c>
      <c r="C52" s="43" t="str">
        <f>TEXT('SCOUT &amp; LOGISTICS'!F1,"0,0")</f>
        <v>09_090_BOU_BUD_U2025</v>
      </c>
      <c r="F52" s="45" t="str">
        <f>""""&amp;B52&amp;"""" &amp; " : " &amp;C52</f>
        <v>"result" : 09_090_BOU_BUD_U2025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U090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Cosea Jl Bourg-En-Bresse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Buducnost Voli Podgorica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GUILLAUME VORS</v>
      </c>
      <c r="C8" s="206"/>
      <c r="D8" s="206"/>
      <c r="E8" s="206"/>
      <c r="F8" s="206"/>
      <c r="G8" s="206" t="str">
        <f>IF('SCOUT &amp; LOGISTICS'!D7="","",'SCOUT &amp; LOGISTICS'!D7)</f>
        <v>STEPHANE GUILLY</v>
      </c>
      <c r="H8" s="206"/>
      <c r="I8" s="206"/>
      <c r="J8" s="206"/>
      <c r="K8" s="206"/>
      <c r="L8" s="206" t="str">
        <f>IF('SCOUT &amp; LOGISTICS'!D8="","",'SCOUT &amp; LOGISTICS'!D8)</f>
        <v>SOFYAN LANGER</v>
      </c>
      <c r="M8" s="206"/>
      <c r="N8" s="206"/>
      <c r="O8" s="206"/>
      <c r="P8" s="206"/>
      <c r="Q8" s="206" t="str">
        <f>IF('SCOUT &amp; LOGISTICS'!D9="","",'SCOUT &amp; LOGISTICS'!D9)</f>
        <v>ARNAUD WEICKERT</v>
      </c>
      <c r="R8" s="206"/>
      <c r="S8" s="206"/>
      <c r="T8" s="206"/>
      <c r="U8" s="206"/>
      <c r="V8" s="206" t="str">
        <f>IF('SCOUT &amp; LOGISTICS'!D10="","",'SCOUT &amp; LOGISTICS'!D10)</f>
        <v>ALAIN FERRANT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2.2968197879858657E-2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8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7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9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Overall, very good communication and quick error correction. There were a few recurring errors regarding player numbers, but none serious enough to affect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15.296819787985866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E4977D-F6A6-417D-84CC-6CE138237822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2025-12-05T21:25:07Z</cp:lastPrinted>
  <dcterms:created xsi:type="dcterms:W3CDTF">2023-09-19T19:50:35Z</dcterms:created>
  <dcterms:modified xsi:type="dcterms:W3CDTF">2025-12-05T21:25:10Z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