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1" documentId="8_{A4D7603F-B4C9-4019-BBD9-6763E45EAB56}" xr6:coauthVersionLast="47" xr6:coauthVersionMax="47" xr10:uidLastSave="{EC75E738-E48D-46C4-BDB9-A7BDE5AA3828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<sst xmlns="http://schemas.openxmlformats.org/spreadsheetml/2006/main" count="3245" uniqueCount="759">
  <si>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</si>
  <si>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</si>
  <si>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</si>
  <si>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</si>
  <si>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</si>
  <si>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</si>
  <si>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</si>
  <si>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</si>
  <si>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</si>
  <si>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</si>
  <si>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</si>
  <si>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</si>
  <si>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</si>
  <si>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</si>
  <si>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</si>
  <si>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</si>
  <si>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</si>
  <si>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</si>
  <si>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</si>
  <si>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</si>
  <si>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</si>
  <si>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</si>
  <si>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</si>
  <si>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</si>
  <si>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</si>
  <si>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</si>
  <si>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</si>
  <si>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</si>
  <si>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</si>
  <si>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</si>
  <si>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</si>
  <si>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</si>
  <si>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</si>
  <si>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</si>
  <si>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</si>
  <si>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</si>
  <si>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</si>
  <si>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</si>
  <si>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</si>
  <si>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</si>
  <si>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</si>
  <si>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</si>
  <si>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</si>
  <si>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</si>
  <si>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</si>
  <si>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</si>
  <si>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</si>
  <si>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</si>
  <si>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</si>
  <si>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</si>
  <si>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</si>
  <si>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</si>
  <si>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</si>
  <si>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</si>
  <si>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</si>
  <si>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</si>
  <si>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</si>
  <si>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</si>
  <si>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</si>
  <si>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</si>
  <si>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</si>
  <si>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</si>
  <si>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</si>
  <si>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</si>
  <si>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</si>
  <si>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</si>
  <si>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</si>
  <si>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</si>
  <si>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</si>
  <si>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</si>
  <si>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</si>
  <si>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</si>
  <si>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</si>
  <si>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</si>
  <si>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</si>
  <si>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</si>
  <si>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</si>
  <si>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</si>
  <si>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</si>
  <si>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</si>
  <si>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</si>
  <si>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</si>
  <si>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</si>
  <si>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</si>
  <si>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</si>
  <si>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</si>
  <si>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</si>
  <si>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</si>
  <si>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</si>
  <si>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</si>
  <si>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</si>
  <si>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</si>
  <si>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</si>
  <si>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</si>
  <si>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</si>
  <si>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</si>
  <si>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</si>
  <si>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</si>
  <si>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</si>
  <si>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</si>
  <si>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</si>
  <si>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</si>
  <si>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</si>
  <si>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</si>
  <si>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</si>
  <si>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</si>
  <si>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</si>
  <si>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</si>
  <si>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</si>
  <si>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</si>
  <si>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</si>
  <si>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</si>
  <si>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</si>
  <si>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</si>
  <si>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</si>
  <si>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</si>
  <si>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</si>
  <si>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</si>
  <si>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</si>
  <si>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</si>
  <si>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</si>
  <si>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</si>
  <si>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</si>
  <si>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</si>
  <si>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</si>
  <si>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</si>
  <si>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</si>
  <si>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</si>
  <si>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</si>
  <si>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</si>
  <si>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</si>
  <si>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</si>
  <si>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</si>
  <si>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</si>
  <si>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</si>
  <si>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</si>
  <si>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</si>
  <si>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</si>
  <si>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</si>
  <si>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</si>
  <si>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</si>
  <si>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</si>
  <si>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</si>
  <si>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</si>
  <si>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</si>
  <si>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</si>
  <si>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</si>
  <si>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</si>
  <si>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</si>
  <si>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</si>
  <si>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</si>
  <si>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</si>
  <si>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</si>
  <si>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</si>
  <si>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</si>
  <si>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</si>
  <si>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</si>
  <si>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</si>
  <si>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</si>
  <si>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</si>
  <si>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</si>
  <si>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</si>
  <si>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</si>
  <si>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</si>
  <si>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</si>
  <si>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</si>
  <si>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</si>
  <si>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</si>
  <si>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</si>
  <si>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</si>
  <si>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</si>
  <si>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</si>
  <si>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</si>
  <si>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</si>
  <si>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</si>
  <si>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</si>
  <si>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</si>
  <si>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</si>
  <si>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</si>
  <si>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</si>
  <si>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</si>
  <si>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</si>
  <si>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</si>
  <si>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</si>
  <si>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</si>
  <si>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</si>
  <si>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</si>
  <si>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</si>
  <si>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</si>
  <si>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</si>
  <si>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</si>
  <si>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</si>
  <si>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</si>
  <si>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</si>
  <si>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</si>
  <si>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</si>
  <si>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</si>
  <si>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</si>
  <si>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</si>
  <si>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</si>
  <si>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</si>
  <si>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</si>
  <si>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</si>
  <si>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</si>
  <si>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</si>
  <si>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</si>
  <si>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</si>
  <si>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</si>
  <si>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</si>
  <si>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</si>
  <si>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</si>
  <si>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</si>
  <si>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</si>
  <si>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</si>
  <si>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</si>
  <si>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</si>
  <si>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</si>
  <si>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</si>
  <si>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</si>
  <si>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</si>
  <si>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</si>
  <si>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</si>
  <si>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</si>
  <si>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</si>
  <si>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</si>
  <si>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</si>
  <si>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</si>
  <si>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</si>
  <si>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</si>
  <si>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</si>
  <si>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</si>
  <si>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</si>
  <si>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</si>
  <si>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</si>
  <si>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</si>
  <si>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</si>
  <si>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</si>
  <si>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</si>
  <si>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</si>
  <si>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</si>
  <si>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</si>
  <si>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</si>
  <si>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</si>
  <si>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</si>
  <si>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</si>
  <si>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</si>
  <si>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</si>
  <si>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</si>
  <si>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</si>
  <si>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</si>
  <si>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</si>
  <si>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</si>
  <si>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</si>
  <si>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</si>
  <si>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</si>
  <si>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</si>
  <si>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</si>
  <si>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</si>
  <si>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</si>
  <si>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</si>
  <si>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</si>
  <si>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</si>
  <si>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</si>
  <si>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</si>
  <si>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</si>
  <si>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</si>
  <si>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</si>
  <si>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</si>
  <si>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</si>
  <si>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</si>
  <si>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</si>
  <si>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</si>
  <si>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</si>
  <si>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</si>
  <si>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</si>
  <si>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</si>
  <si>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</si>
  <si>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</si>
  <si>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</si>
  <si>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</si>
  <si>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</si>
  <si>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</si>
  <si>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</si>
  <si>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</si>
  <si>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</si>
  <si>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</si>
  <si>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</si>
  <si>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</si>
  <si>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</si>
  <si>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</si>
  <si>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</si>
  <si>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</si>
  <si>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</si>
  <si>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</si>
  <si>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</si>
  <si>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</si>
  <si>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</si>
  <si>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</si>
  <si>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</si>
  <si>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</si>
  <si>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</si>
  <si>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</si>
  <si>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</si>
  <si>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</si>
  <si>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</si>
  <si>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</si>
  <si>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</si>
  <si>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</si>
  <si>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</si>
  <si>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</si>
  <si>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</si>
  <si>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</si>
  <si>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</si>
  <si>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</si>
  <si>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</si>
  <si>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</si>
  <si>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</si>
  <si>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</si>
  <si>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</si>
  <si>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</si>
  <si>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</si>
  <si>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</si>
  <si>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</si>
  <si>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</si>
  <si>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</si>
  <si>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</si>
  <si>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</si>
  <si>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</si>
  <si>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</si>
  <si>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</si>
  <si>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</si>
  <si>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</si>
  <si>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</si>
  <si>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</si>
  <si>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</si>
  <si>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</si>
  <si>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</si>
  <si>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</si>
  <si>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</si>
  <si>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</si>
  <si>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</si>
  <si>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</si>
  <si>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</si>
  <si>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</si>
  <si>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</si>
  <si>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</si>
  <si>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</si>
  <si>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</si>
  <si>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</si>
  <si>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</si>
  <si>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</si>
  <si>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</si>
  <si>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</si>
  <si>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</si>
  <si>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</si>
  <si>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</si>
  <si>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</si>
  <si>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</si>
  <si>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</si>
  <si>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</si>
  <si>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</si>
  <si>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</si>
  <si>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</si>
  <si>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</si>
  <si>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</si>
  <si>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</si>
  <si>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</si>
  <si>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</si>
  <si>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</si>
  <si>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</si>
  <si>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</si>
  <si>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</si>
  <si>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</si>
  <si>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</si>
  <si>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</si>
  <si>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</si>
  <si>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</si>
  <si>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</si>
  <si>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</si>
  <si>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</si>
  <si>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</si>
  <si>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</si>
  <si>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</si>
  <si>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</si>
  <si>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</si>
  <si>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</si>
  <si>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</si>
  <si>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</si>
  <si>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</si>
  <si>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</si>
  <si>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</si>
  <si>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</si>
  <si>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</si>
  <si>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</si>
  <si>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</si>
  <si>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</si>
  <si>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</si>
  <si>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</si>
  <si>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</si>
  <si>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</si>
  <si>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</si>
  <si>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</si>
  <si>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</si>
  <si>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</si>
  <si>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</si>
  <si>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</si>
  <si>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</si>
  <si>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</si>
  <si>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</si>
  <si>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</si>
  <si>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</si>
  <si>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</si>
  <si>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</si>
  <si>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</si>
  <si>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</si>
  <si>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</si>
  <si>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</si>
  <si>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</si>
  <si>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</si>
  <si>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</si>
  <si>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</si>
  <si>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</si>
  <si>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</si>
  <si>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</si>
  <si>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</si>
  <si>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</si>
  <si>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</si>
  <si>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</si>
  <si>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</si>
  <si>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</si>
  <si>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</si>
  <si>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</si>
  <si>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</si>
  <si>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</si>
  <si>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</si>
  <si>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</si>
  <si>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</si>
  <si>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</si>
  <si>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</si>
  <si>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</si>
  <si>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</si>
  <si>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</si>
  <si>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</si>
  <si>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</si>
  <si>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</si>
  <si>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</si>
  <si>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</si>
  <si>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</si>
  <si>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</si>
  <si>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</si>
  <si>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</si>
  <si>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</si>
  <si>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</si>
  <si>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</si>
  <si>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</si>
  <si>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</si>
  <si>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</si>
  <si>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</si>
  <si>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</si>
  <si>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</si>
  <si>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</si>
  <si>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</si>
  <si>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</si>
  <si>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</si>
  <si>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</si>
  <si>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</si>
  <si>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</si>
  <si>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</si>
  <si>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</si>
  <si>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</si>
  <si>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</si>
  <si>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</si>
  <si>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</si>
  <si>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</si>
  <si>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</si>
  <si>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</si>
  <si>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</si>
  <si>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</si>
  <si>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</si>
  <si>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</si>
  <si>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</si>
  <si>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</si>
  <si>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</si>
  <si>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</si>
  <si>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</si>
  <si>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</si>
  <si>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</si>
  <si>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</si>
  <si>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</si>
  <si>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</si>
  <si>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</si>
  <si>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</si>
  <si>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</si>
  <si>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</si>
  <si>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</si>
  <si>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</si>
  <si>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</si>
  <si>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</si>
  <si>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</si>
  <si>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</si>
  <si>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</si>
  <si>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</si>
  <si>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</si>
  <si>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</si>
  <si>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</si>
  <si>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</si>
  <si>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</si>
  <si>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</si>
  <si>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</si>
  <si>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</si>
  <si>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</si>
  <si>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</si>
  <si>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</si>
  <si>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</si>
  <si>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</si>
  <si>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</si>
  <si>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</si>
  <si>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</si>
  <si>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</si>
  <si>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</si>
  <si>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</si>
  <si>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</si>
  <si>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</si>
  <si>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</si>
  <si>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</si>
  <si>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</si>
  <si>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</si>
  <si>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</si>
  <si>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</si>
  <si>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</si>
  <si>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</si>
  <si>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</si>
  <si>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</si>
  <si>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</si>
  <si>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</si>
  <si>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</si>
  <si>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</si>
  <si>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</si>
  <si>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</si>
  <si>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</si>
  <si>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</si>
  <si>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</si>
  <si>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</si>
  <si>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</si>
  <si>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</si>
  <si>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</si>
  <si>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</si>
  <si>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</si>
  <si>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</si>
  <si>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</si>
  <si>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</si>
  <si>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</si>
  <si>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</si>
  <si>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</si>
  <si>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</si>
  <si>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</si>
  <si>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</si>
  <si>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</si>
  <si>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</si>
  <si>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</si>
  <si>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</si>
  <si>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</si>
  <si>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</si>
  <si>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</si>
  <si>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</si>
  <si>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</si>
  <si>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</si>
  <si>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</si>
  <si>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</si>
  <si>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</si>
  <si>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</si>
  <si>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</si>
  <si>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</si>
  <si>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</si>
  <si>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</si>
  <si>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</si>
  <si>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</si>
  <si>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</si>
  <si>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</si>
  <si>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</si>
  <si>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</si>
  <si>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</si>
  <si>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</si>
  <si>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</si>
  <si>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</si>
  <si>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</si>
  <si>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</si>
  <si>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</si>
  <si>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</si>
  <si>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</si>
  <si>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</si>
  <si>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</si>
  <si>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</si>
  <si>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</si>
  <si>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</si>
  <si>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</si>
  <si>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</si>
  <si>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</si>
  <si>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</si>
  <si>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</si>
  <si>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</si>
  <si>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</si>
  <si>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</si>
  <si>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</si>
  <si>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</si>
  <si>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</si>
  <si>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</si>
  <si>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</si>
  <si>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</si>
  <si>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</si>
  <si>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</si>
  <si>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</si>
  <si>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</si>
  <si>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</si>
  <si>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</si>
  <si>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</si>
  <si>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</si>
  <si>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</si>
  <si>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</si>
  <si>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</si>
  <si>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</si>
  <si>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</si>
  <si>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</si>
  <si>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</si>
  <si>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</si>
  <si>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</si>
  <si>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</si>
  <si>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</si>
  <si>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</si>
  <si>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</si>
  <si>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</si>
  <si>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</si>
  <si>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</si>
  <si>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</si>
  <si>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</si>
  <si>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</si>
  <si>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</si>
  <si>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</si>
  <si>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</si>
  <si>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</si>
  <si>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</si>
  <si>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</si>
  <si>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</si>
  <si>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</si>
  <si>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</si>
  <si>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</si>
  <si>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</si>
  <si>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</si>
  <si>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</si>
  <si>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</si>
  <si>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</si>
  <si>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</si>
  <si>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</si>
  <si>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</si>
  <si>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</si>
  <si>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</si>
  <si>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</si>
  <si>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</si>
  <si>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</si>
  <si>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</si>
  <si>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</si>
  <si>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</si>
  <si>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</si>
  <si>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</si>
  <si>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</si>
  <si>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</si>
  <si>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</si>
  <si>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</si>
  <si>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</si>
  <si>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</si>
  <si>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</si>
  <si>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</si>
  <si>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</si>
  <si>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</si>
  <si>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</si>
  <si>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</si>
  <si>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</si>
  <si>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</si>
  <si>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</si>
  <si>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</si>
  <si>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</si>
  <si>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</si>
  <si>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</si>
  <si>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</si>
  <si>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</si>
  <si>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</si>
  <si>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</si>
  <si>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</si>
  <si>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</si>
  <si>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</si>
  <si>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</si>
  <si>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</si>
  <si>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</si>
  <si>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</si>
  <si>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</si>
  <si>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</si>
  <si>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</si>
  <si>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</si>
  <si>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</si>
  <si>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</si>
  <si>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</si>
  <si>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</si>
  <si>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</si>
  <si>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</si>
  <si>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</si>
  <si>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</si>
  <si>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</si>
  <si>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</si>
  <si>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</si>
  <si>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</si>
  <si>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</si>
  <si>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</si>
  <si>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</si>
  <si>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</si>
  <si>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</si>
  <si>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</si>
  <si>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</si>
  <si>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</si>
  <si>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</si>
  <si>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</si>
  <si>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</si>
  <si>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</si>
  <si>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</si>
  <si>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</si>
  <si>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</si>
  <si>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</si>
  <si>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</si>
  <si>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</si>
  <si>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</si>
  <si>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</si>
  <si>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</si>
  <si>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</si>
  <si>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</si>
  <si>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</si>
  <si>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</si>
  <si>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</si>
  <si>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</si>
  <si>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</si>
  <si>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</si>
  <si>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</si>
  <si>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</si>
  <si>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</si>
  <si>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</si>
  <si>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</si>
  <si>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</si>
  <si>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</si>
  <si>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</si>
  <si>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</si>
  <si>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</si>
  <si>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</si>
  <si>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</si>
  <si>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GIEDRE GARCINSKAITE</t>
  </si>
  <si>
    <t>RASA KIZIKAITE</t>
  </si>
  <si>
    <t>AUKSE ZAKRIENE</t>
  </si>
  <si>
    <t>VYTAUTAS RUDZEVICIUS</t>
  </si>
  <si>
    <t>MINDAUGAS RUDZEVICIUS</t>
  </si>
  <si>
    <t>NERIJUS MAINONIS</t>
  </si>
  <si>
    <t>HECTOR GUILLEN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</si>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</sst>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09_090_ZAL_PAM_E2025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90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45968.833333333336</v>
      </c>
      <c r="C3" s="157"/>
      <c r="D3" s="39">
        <v>636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Zalgiris Kaunas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742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Valencia Basket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90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757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REPORT_E2025090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"E2025090"</v>
      </c>
      <c r="F3" s="45" t="str">
        <f t="shared" ref="F3:F16" si="0">""""&amp;B3&amp;"""" &amp; " : " &amp;C3&amp;","</f>
        <v>"name" : "E2025090",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"E090"</v>
      </c>
      <c r="F4" s="45" t="str">
        <f t="shared" si="0"/>
        <v>"cod" : "E090",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090</v>
      </c>
      <c r="F6" s="45" t="str">
        <f t="shared" si="0"/>
        <v>"number" : 090,</v>
      </c>
    </row>
    <row r="7" spans="2:6" x14ac:dyDescent="0.25">
      <c r="B7" s="43" t="s">
        <v>116</v>
      </c>
      <c r="C7" s="43" t="str">
        <f ca="1">""""&amp;TEXT('SCOUT &amp; LOGISTICS'!B3,"dd/mm/aaaa")&amp;""""</f>
        <v>"07/11/Friday"</v>
      </c>
      <c r="F7" s="45" t="str">
        <f t="shared" ca="1" si="0"/>
        <v>"date" : "07/11/Friday",</v>
      </c>
    </row>
    <row r="8" spans="2:6" x14ac:dyDescent="0.25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5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"GIEDRE GARCINSKAITE"</v>
      </c>
      <c r="F10" s="45" t="str">
        <f t="shared" si="0"/>
        <v>"Data_entry" : "GIEDRE GARCINSKAITE",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"VYTAUTAS RUDZEVICIUS"</v>
      </c>
      <c r="F13" s="45" t="str">
        <f t="shared" si="0"/>
        <v>"Timerkeeper" : "VYTAUTAS RUDZEVICIUS",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"NERIJUS MAINONIS"</v>
      </c>
      <c r="F15" s="45" t="str">
        <f t="shared" si="0"/>
        <v>"IRS" : "NERIJUS MAINONIS",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636</v>
      </c>
      <c r="F25" s="45" t="str">
        <f t="shared" ref="F25:F48" si="1">""""&amp;C25&amp;"""" &amp; " : " &amp;D25&amp;","</f>
        <v>"total_actions" : 636,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09_090_ZAL_PAM_E2025</v>
      </c>
      <c r="F52" s="45" t="str">
        <f>""""&amp;B52&amp;"""" &amp; " : " &amp;C52</f>
        <v>"result" : 09_090_ZAL_PAM_E2025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E090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07/11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Zalgiris Kaunas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Valencia Basket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GIEDRE GARCINSKAITE</v>
      </c>
      <c r="C8" s="206"/>
      <c r="D8" s="206"/>
      <c r="E8" s="206"/>
      <c r="F8" s="206"/>
      <c r="G8" s="206" t="str">
        <f>IF('SCOUT &amp; LOGISTICS'!D7="","",'SCOUT &amp; LOGISTICS'!D7)</f>
        <v>RASA KIZIKAITE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VYTAUTAS RUDZEVICIUS</v>
      </c>
      <c r="R8" s="206"/>
      <c r="S8" s="206"/>
      <c r="T8" s="206"/>
      <c r="U8" s="206"/>
      <c r="V8" s="206" t="str">
        <f>IF('SCOUT &amp; LOGISTICS'!D10="","",'SCOUT &amp; LOGISTICS'!D10)</f>
        <v>MINDAUGAS RUDZEVICIUS</v>
      </c>
      <c r="W8" s="206"/>
      <c r="X8" s="206"/>
      <c r="Y8" s="206"/>
      <c r="Z8" s="206"/>
      <c r="AA8" s="206" t="str">
        <f>IF('SCOUT &amp; LOGISTICS'!D11="","",'SCOUT &amp; LOGISTICS'!D11)</f>
        <v>NERIJUS MAINONIS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636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73A64E8-6283-4D45-913A-50FF7BC6845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2025-11-07T21:03:49Z</cp:lastPrinted>
  <dcterms:created xsi:type="dcterms:W3CDTF">2023-09-19T19:50:35Z</dcterms:created>
  <dcterms:modified xsi:type="dcterms:W3CDTF">2025-11-07T21:03:51Z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