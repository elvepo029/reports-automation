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5" documentId="8_{523251C6-4B3A-4BFA-A6C6-FCC5BE374130}" xr6:coauthVersionLast="47" xr6:coauthVersionMax="47" xr10:uidLastSave="{5D73A45F-631B-4EBB-83AE-68BF3FECD5BA}"/>
  <bookViews>
    <workbookView xWindow="-5055" yWindow="-1503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<sst xmlns="http://schemas.openxmlformats.org/spreadsheetml/2006/main" count="3382" uniqueCount="844">
  <si>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</si>
  <si>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</si>
  <si>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</si>
  <si>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</si>
  <si>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</si>
  <si>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</si>
  <si>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</si>
  <si>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</si>
  <si>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</si>
  <si>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</si>
  <si>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</si>
  <si>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</si>
  <si>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</si>
  <si>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</si>
  <si>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</si>
  <si>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</si>
  <si>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</si>
  <si>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</si>
  <si>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</si>
  <si>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</si>
  <si>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</si>
  <si>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</si>
  <si>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</si>
  <si>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</si>
  <si>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</si>
  <si>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</si>
  <si>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</si>
  <si>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</si>
  <si>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</si>
  <si>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</si>
  <si>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</si>
  <si>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</si>
  <si>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</si>
  <si>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</si>
  <si>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</si>
  <si>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</si>
  <si>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</si>
  <si>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</si>
  <si>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</si>
  <si>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</si>
  <si>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</si>
  <si>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</si>
  <si>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</si>
  <si>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</si>
  <si>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</si>
  <si>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</si>
  <si>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</si>
  <si>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</si>
  <si>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</si>
  <si>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</si>
  <si>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</si>
  <si>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</si>
  <si>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</si>
  <si>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</si>
  <si>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</si>
  <si>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</si>
  <si>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</si>
  <si>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</si>
  <si>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</si>
  <si>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</si>
  <si>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</si>
  <si>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</si>
  <si>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</si>
  <si>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</si>
  <si>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</si>
  <si>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</si>
  <si>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</si>
  <si>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</si>
  <si>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</si>
  <si>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</si>
  <si>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</si>
  <si>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</si>
  <si>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</si>
  <si>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</si>
  <si>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</si>
  <si>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</si>
  <si>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</si>
  <si>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</si>
  <si>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</si>
  <si>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</si>
  <si>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</si>
  <si>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</si>
  <si>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</si>
  <si>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</si>
  <si>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</si>
  <si>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</si>
  <si>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</si>
  <si>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</si>
  <si>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</si>
  <si>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</si>
  <si>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</si>
  <si>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</si>
  <si>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</si>
  <si>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</si>
  <si>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</si>
  <si>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</si>
  <si>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</si>
  <si>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</si>
  <si>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</si>
  <si>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</si>
  <si>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</si>
  <si>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</si>
  <si>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</si>
  <si>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</si>
  <si>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</si>
  <si>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</si>
  <si>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</si>
  <si>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</si>
  <si>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</si>
  <si>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</si>
  <si>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</si>
  <si>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</si>
  <si>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</si>
  <si>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</si>
  <si>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</si>
  <si>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</si>
  <si>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</si>
  <si>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</si>
  <si>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</si>
  <si>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</si>
  <si>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</si>
  <si>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</si>
  <si>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</si>
  <si>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</si>
  <si>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</si>
  <si>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</si>
  <si>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</si>
  <si>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</si>
  <si>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</si>
  <si>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</si>
  <si>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</si>
  <si>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</si>
  <si>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</si>
  <si>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</si>
  <si>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</si>
  <si>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</si>
  <si>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</si>
  <si>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</si>
  <si>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</si>
  <si>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</si>
  <si>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</si>
  <si>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</si>
  <si>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</si>
  <si>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</si>
  <si>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</si>
  <si>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</si>
  <si>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</si>
  <si>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</si>
  <si>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</si>
  <si>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</si>
  <si>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</si>
  <si>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</si>
  <si>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</si>
  <si>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</si>
  <si>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</si>
  <si>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</si>
  <si>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</si>
  <si>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</si>
  <si>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</si>
  <si>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</si>
  <si>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</si>
  <si>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</si>
  <si>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</si>
  <si>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</si>
  <si>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</si>
  <si>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</si>
  <si>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</si>
  <si>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</si>
  <si>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</si>
  <si>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</si>
  <si>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</si>
  <si>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</si>
  <si>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</si>
  <si>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</si>
  <si>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</si>
  <si>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</si>
  <si>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</si>
  <si>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</si>
  <si>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</si>
  <si>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</si>
  <si>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</si>
  <si>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</si>
  <si>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</si>
  <si>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</si>
  <si>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</si>
  <si>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</si>
  <si>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</si>
  <si>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</si>
  <si>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</si>
  <si>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</si>
  <si>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</si>
  <si>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</si>
  <si>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</si>
  <si>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</si>
  <si>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</si>
  <si>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</si>
  <si>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</si>
  <si>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</si>
  <si>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</si>
  <si>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</si>
  <si>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</si>
  <si>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</si>
  <si>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</si>
  <si>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</si>
  <si>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</si>
  <si>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</si>
  <si>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</si>
  <si>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</si>
  <si>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</si>
  <si>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</si>
  <si>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</si>
  <si>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</si>
  <si>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</si>
  <si>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</si>
  <si>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</si>
  <si>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</si>
  <si>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</si>
  <si>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</si>
  <si>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</si>
  <si>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</si>
  <si>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</si>
  <si>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</si>
  <si>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</si>
  <si>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</si>
  <si>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</si>
  <si>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</si>
  <si>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</si>
  <si>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</si>
  <si>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</si>
  <si>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</si>
  <si>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</si>
  <si>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</si>
  <si>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</si>
  <si>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</si>
  <si>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</si>
  <si>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</si>
  <si>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</si>
  <si>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</si>
  <si>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</si>
  <si>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</si>
  <si>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</si>
  <si>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</si>
  <si>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</si>
  <si>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</si>
  <si>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</si>
  <si>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</si>
  <si>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</si>
  <si>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</si>
  <si>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</si>
  <si>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</si>
  <si>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</si>
  <si>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</si>
  <si>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</si>
  <si>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</si>
  <si>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</si>
  <si>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</si>
  <si>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</si>
  <si>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</si>
  <si>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</si>
  <si>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</si>
  <si>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</si>
  <si>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</si>
  <si>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</si>
  <si>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</si>
  <si>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</si>
  <si>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</si>
  <si>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</si>
  <si>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</si>
  <si>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</si>
  <si>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</si>
  <si>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</si>
  <si>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</si>
  <si>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</si>
  <si>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</si>
  <si>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</si>
  <si>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</si>
  <si>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</si>
  <si>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</si>
  <si>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</si>
  <si>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</si>
  <si>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</si>
  <si>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</si>
  <si>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</si>
  <si>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</si>
  <si>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</si>
  <si>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</si>
  <si>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</si>
  <si>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</si>
  <si>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</si>
  <si>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</si>
  <si>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</si>
  <si>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</si>
  <si>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</si>
  <si>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</si>
  <si>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</si>
  <si>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</si>
  <si>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</si>
  <si>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</si>
  <si>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</si>
  <si>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</si>
  <si>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</si>
  <si>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</si>
  <si>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</si>
  <si>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</si>
  <si>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</si>
  <si>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</si>
  <si>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</si>
  <si>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</si>
  <si>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</si>
  <si>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</si>
  <si>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</si>
  <si>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</si>
  <si>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</si>
  <si>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</si>
  <si>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</si>
  <si>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</si>
  <si>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</si>
  <si>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</si>
  <si>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</si>
  <si>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</si>
  <si>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</si>
  <si>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</si>
  <si>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</si>
  <si>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</si>
  <si>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</si>
  <si>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</si>
  <si>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</si>
  <si>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</si>
  <si>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</si>
  <si>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</si>
  <si>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</si>
  <si>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</si>
  <si>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</si>
  <si>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</si>
  <si>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</si>
  <si>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</si>
  <si>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</si>
  <si>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</si>
  <si>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</si>
  <si>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</si>
  <si>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</si>
  <si>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</si>
  <si>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</si>
  <si>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</si>
  <si>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</si>
  <si>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</si>
  <si>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</si>
  <si>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</si>
  <si>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</si>
  <si>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</si>
  <si>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</si>
  <si>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</si>
  <si>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</si>
  <si>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</si>
  <si>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</si>
  <si>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</si>
  <si>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</si>
  <si>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</si>
  <si>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</si>
  <si>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</si>
  <si>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</si>
  <si>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</si>
  <si>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</si>
  <si>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</si>
  <si>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</si>
  <si>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</si>
  <si>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</si>
  <si>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</si>
  <si>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</si>
  <si>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</si>
  <si>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</si>
  <si>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</si>
  <si>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</si>
  <si>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</si>
  <si>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</si>
  <si>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</si>
  <si>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</si>
  <si>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</si>
  <si>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</si>
  <si>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</si>
  <si>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</si>
  <si>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</si>
  <si>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</si>
  <si>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</si>
  <si>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</si>
  <si>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</si>
  <si>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</si>
  <si>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</si>
  <si>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</si>
  <si>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</si>
  <si>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</si>
  <si>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</si>
  <si>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</si>
  <si>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</si>
  <si>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</si>
  <si>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</si>
  <si>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</si>
  <si>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</si>
  <si>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</si>
  <si>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</si>
  <si>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</si>
  <si>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</si>
  <si>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</si>
  <si>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</si>
  <si>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</si>
  <si>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</si>
  <si>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</si>
  <si>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</si>
  <si>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</si>
  <si>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</si>
  <si>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</si>
  <si>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</si>
  <si>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</si>
  <si>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</si>
  <si>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</si>
  <si>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</si>
  <si>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</si>
  <si>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</si>
  <si>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</si>
  <si>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</si>
  <si>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</si>
  <si>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</si>
  <si>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</si>
  <si>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</si>
  <si>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</si>
  <si>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</si>
  <si>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</si>
  <si>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</si>
  <si>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</si>
  <si>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</si>
  <si>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</si>
  <si>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</si>
  <si>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</si>
  <si>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</si>
  <si>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</si>
  <si>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</si>
  <si>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</si>
  <si>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</si>
  <si>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</si>
  <si>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</si>
  <si>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</si>
  <si>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</si>
  <si>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</si>
  <si>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</si>
  <si>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</si>
  <si>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</si>
  <si>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</si>
  <si>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</si>
  <si>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</si>
  <si>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</si>
  <si>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</si>
  <si>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</si>
  <si>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</si>
  <si>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</si>
  <si>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</si>
  <si>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</si>
  <si>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</si>
  <si>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</si>
  <si>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</si>
  <si>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</si>
  <si>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</si>
  <si>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</si>
  <si>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</si>
  <si>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</si>
  <si>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</si>
  <si>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</si>
  <si>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</si>
  <si>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</si>
  <si>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</si>
  <si>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</si>
  <si>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</si>
  <si>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</si>
  <si>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</si>
  <si>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</si>
  <si>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</si>
  <si>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</si>
  <si>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</si>
  <si>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</si>
  <si>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</si>
  <si>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</si>
  <si>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</si>
  <si>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</si>
  <si>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</si>
  <si>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</si>
  <si>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</si>
  <si>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</si>
  <si>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</si>
  <si>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</si>
  <si>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</si>
  <si>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</si>
  <si>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</si>
  <si>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</si>
  <si>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</si>
  <si>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</si>
  <si>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</si>
  <si>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</si>
  <si>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</si>
  <si>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</si>
  <si>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</si>
  <si>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</si>
  <si>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</si>
  <si>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</si>
  <si>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</si>
  <si>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</si>
  <si>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</si>
  <si>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</si>
  <si>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</si>
  <si>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</si>
  <si>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</si>
  <si>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</si>
  <si>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</si>
  <si>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</si>
  <si>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</si>
  <si>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</si>
  <si>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</si>
  <si>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</si>
  <si>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</si>
  <si>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</si>
  <si>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</si>
  <si>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</si>
  <si>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</si>
  <si>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</si>
  <si>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</si>
  <si>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</si>
  <si>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</si>
  <si>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</si>
  <si>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</si>
  <si>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</si>
  <si>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</si>
  <si>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</si>
  <si>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</si>
  <si>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</si>
  <si>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</si>
  <si>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</si>
  <si>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</si>
  <si>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</si>
  <si>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</si>
  <si>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</si>
  <si>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</si>
  <si>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</si>
  <si>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</si>
  <si>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</si>
  <si>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</si>
  <si>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</si>
  <si>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</si>
  <si>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</si>
  <si>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</si>
  <si>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</si>
  <si>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</si>
  <si>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</si>
  <si>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</si>
  <si>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</si>
  <si>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</si>
  <si>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</si>
  <si>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</si>
  <si>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</si>
  <si>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</si>
  <si>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</si>
  <si>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</si>
  <si>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</si>
  <si>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</si>
  <si>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</si>
  <si>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</si>
  <si>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</si>
  <si>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</si>
  <si>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</si>
  <si>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</si>
  <si>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</si>
  <si>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</si>
  <si>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</si>
  <si>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</si>
  <si>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</si>
  <si>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</si>
  <si>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</si>
  <si>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</si>
  <si>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</si>
  <si>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</si>
  <si>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</si>
  <si>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</si>
  <si>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</si>
  <si>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</si>
  <si>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</si>
  <si>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</si>
  <si>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</si>
  <si>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</si>
  <si>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</si>
  <si>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</si>
  <si>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</si>
  <si>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</si>
  <si>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</si>
  <si>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</si>
  <si>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</si>
  <si>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</si>
  <si>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</si>
  <si>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</si>
  <si>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</si>
  <si>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</si>
  <si>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</si>
  <si>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</si>
  <si>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</si>
  <si>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</si>
  <si>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</si>
  <si>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</si>
  <si>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</si>
  <si>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</si>
  <si>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</si>
  <si>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</si>
  <si>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</si>
  <si>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</si>
  <si>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</si>
  <si>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</si>
  <si>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</si>
  <si>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</si>
  <si>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</si>
  <si>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</si>
  <si>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</si>
  <si>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</si>
  <si>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</si>
  <si>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</si>
  <si>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</si>
  <si>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</si>
  <si>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</si>
  <si>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</si>
  <si>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</si>
  <si>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</si>
  <si>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</si>
  <si>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</si>
  <si>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</si>
  <si>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</si>
  <si>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</si>
  <si>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</si>
  <si>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</si>
  <si>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</si>
  <si>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</si>
  <si>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</si>
  <si>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</si>
  <si>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</si>
  <si>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</si>
  <si>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</si>
  <si>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</si>
  <si>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</si>
  <si>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</si>
  <si>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</si>
  <si>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</si>
  <si>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</si>
  <si>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</si>
  <si>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</si>
  <si>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</si>
  <si>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</si>
  <si>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</si>
  <si>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</si>
  <si>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</si>
  <si>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</si>
  <si>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</si>
  <si>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</si>
  <si>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</si>
  <si>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</si>
  <si>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</si>
  <si>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</si>
  <si>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</si>
  <si>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</si>
  <si>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</si>
  <si>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</si>
  <si>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</si>
  <si>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</si>
  <si>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</si>
  <si>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</si>
  <si>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</si>
  <si>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</si>
  <si>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</si>
  <si>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</si>
  <si>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</si>
  <si>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</si>
  <si>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</si>
  <si>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</si>
  <si>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</si>
  <si>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</si>
  <si>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</si>
  <si>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</si>
  <si>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</si>
  <si>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</si>
  <si>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</si>
  <si>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</si>
  <si>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</si>
  <si>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</si>
  <si>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</si>
  <si>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</si>
  <si>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</si>
  <si>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</si>
  <si>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</si>
  <si>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</si>
  <si>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</si>
  <si>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</si>
  <si>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</si>
  <si>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</si>
  <si>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</si>
  <si>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</si>
  <si>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</si>
  <si>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</si>
  <si>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</si>
  <si>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</si>
  <si>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</si>
  <si>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</si>
  <si>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</si>
  <si>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</si>
  <si>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</si>
  <si>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</si>
  <si>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</si>
  <si>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</si>
  <si>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</si>
  <si>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</si>
  <si>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</si>
  <si>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</si>
  <si>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</si>
  <si>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</si>
  <si>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</si>
  <si>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</si>
  <si>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</si>
  <si>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</si>
  <si>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</si>
  <si>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</si>
  <si>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</si>
  <si>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</si>
  <si>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</si>
  <si>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</si>
  <si>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</si>
  <si>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</si>
  <si>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</si>
  <si>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</si>
  <si>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</si>
  <si>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</si>
  <si>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</si>
  <si>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</si>
  <si>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</si>
  <si>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</si>
  <si>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</si>
  <si>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</si>
  <si>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</si>
  <si>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</si>
  <si>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</si>
  <si>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</si>
  <si>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</si>
  <si>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</si>
  <si>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</si>
  <si>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</si>
  <si>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</si>
  <si>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</si>
  <si>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</si>
  <si>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</si>
  <si>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</si>
  <si>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</si>
  <si>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</si>
  <si>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</si>
  <si>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</si>
  <si>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</si>
  <si>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</si>
  <si>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</si>
  <si>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</si>
  <si>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</si>
  <si>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</si>
  <si>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</si>
  <si>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</si>
  <si>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</si>
  <si>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</si>
  <si>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</si>
  <si>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</si>
  <si>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</si>
  <si>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</si>
  <si>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</si>
  <si>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</si>
  <si>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</si>
  <si>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</si>
  <si>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</si>
  <si>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</si>
  <si>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</si>
  <si>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</si>
  <si>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</si>
  <si>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</si>
  <si>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</si>
  <si>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</si>
  <si>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</si>
  <si>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</si>
  <si>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</si>
  <si>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</si>
  <si>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</si>
  <si>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</si>
  <si>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</si>
  <si>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</si>
  <si>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</si>
  <si>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</si>
  <si>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</si>
  <si>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</si>
  <si>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</si>
  <si>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</si>
  <si>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</si>
  <si>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</si>
  <si>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</si>
  <si>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</si>
  <si>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</si>
  <si>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</si>
  <si>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</si>
  <si>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</si>
  <si>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</si>
  <si>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</si>
  <si>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</si>
  <si>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</si>
  <si>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</si>
  <si>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</si>
  <si>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</si>
  <si>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</si>
  <si>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</si>
  <si>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</si>
  <si>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</si>
  <si>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</si>
  <si>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</si>
  <si>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</si>
  <si>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</si>
  <si>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</si>
  <si>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</si>
  <si>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</si>
  <si>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</si>
  <si>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</si>
  <si>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</si>
  <si>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</si>
  <si>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</si>
  <si>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KAROLIS KAVALENKA</t>
  </si>
  <si>
    <t>KAROLIS STIRBYS</t>
  </si>
  <si>
    <t>DOMANTAS TEVELIS</t>
  </si>
  <si>
    <t>OVIDIJUS SIDEIKIS</t>
  </si>
  <si>
    <t>GINTAUTAS PLATUKIS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</si>
  <si>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</si>
  <si>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</si>
  <si>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</si>
  <si>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8:05</t>
  </si>
  <si>
    <t>8:55</t>
  </si>
  <si>
    <t>8:13</t>
  </si>
  <si>
    <t>5:00</t>
  </si>
  <si>
    <t>4:42</t>
  </si>
  <si>
    <t>2:50</t>
  </si>
  <si>
    <t>2:45</t>
  </si>
  <si>
    <t>1:38</t>
  </si>
  <si>
    <t>4:33</t>
  </si>
  <si>
    <t>3:05</t>
  </si>
  <si>
    <t>Remember that the player who made the deflection gets the steal. You did a good perfomance.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</si>
</sst>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10_091_KLA_WRO_U2025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91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46001.791666666664</v>
      </c>
      <c r="C3" s="178"/>
      <c r="D3" s="39">
        <v>687</v>
      </c>
      <c r="E3" s="29"/>
      <c r="F3" s="26">
        <f>SUBTOTAL(3,I17:I106)</f>
        <v>10</v>
      </c>
      <c r="G3" s="27">
        <f>IF(OR(D3="",D3=0),"",F3/D3)</f>
        <v>1.4556040756914119E-2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Neptunas Klaipeda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742</v>
      </c>
      <c r="L4" s="5"/>
      <c r="M4" s="185" t="s">
        <v>843</v>
      </c>
      <c r="N4" s="186"/>
      <c r="O4" s="2"/>
      <c r="P4" s="2"/>
      <c r="Q4" s="84" t="s">
        <v>175</v>
      </c>
      <c r="R4" s="94">
        <f>(IF(G3="",0,G3))</f>
        <v>1.4556040756914119E-2</v>
      </c>
      <c r="S4" s="61">
        <f>SUM(I13:M13)</f>
        <v>0</v>
      </c>
      <c r="T4" s="78"/>
      <c r="U4" s="61">
        <f>AC18</f>
        <v>7</v>
      </c>
      <c r="V4" s="61">
        <f>+AC22</f>
        <v>2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Slask Wroclaw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1.4556040756914119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2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7.9556040756914115</v>
      </c>
      <c r="N7" s="58"/>
      <c r="O7" s="2"/>
      <c r="P7" s="2"/>
      <c r="Q7" s="86">
        <f>SUM(R5,S5,AC16)</f>
        <v>7.9556040756914115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7.9556040756914115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91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91</v>
      </c>
      <c r="D17" s="32" t="s">
        <v>833</v>
      </c>
      <c r="E17" s="33">
        <v>1</v>
      </c>
      <c r="F17" s="36">
        <v>7</v>
      </c>
      <c r="G17" s="36">
        <v>5</v>
      </c>
      <c r="H17" s="38" t="str">
        <f>IF(I17="","",$I$14)</f>
        <v>SCOUTING</v>
      </c>
      <c r="I17" s="34">
        <v>19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91</v>
      </c>
      <c r="D18" s="32" t="s">
        <v>834</v>
      </c>
      <c r="E18" s="33">
        <v>3</v>
      </c>
      <c r="F18" s="36">
        <v>42</v>
      </c>
      <c r="G18" s="36">
        <v>48</v>
      </c>
      <c r="H18" s="38" t="str">
        <f t="shared" ref="H18:H81" si="8">IF(I18="","",$I$14)</f>
        <v>SCOUTING</v>
      </c>
      <c r="I18" s="34">
        <v>326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91</v>
      </c>
      <c r="D19" s="32" t="s">
        <v>835</v>
      </c>
      <c r="E19" s="33">
        <v>3</v>
      </c>
      <c r="F19" s="36">
        <v>42</v>
      </c>
      <c r="G19" s="36">
        <v>48</v>
      </c>
      <c r="H19" s="38" t="str">
        <f t="shared" si="8"/>
        <v>SCOUTING</v>
      </c>
      <c r="I19" s="34">
        <v>333</v>
      </c>
      <c r="J19" s="13" t="s">
        <v>4</v>
      </c>
      <c r="K19" s="13" t="s">
        <v>63</v>
      </c>
      <c r="L19" s="13" t="s">
        <v>47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7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91</v>
      </c>
      <c r="D20" s="32" t="s">
        <v>836</v>
      </c>
      <c r="E20" s="33">
        <v>3</v>
      </c>
      <c r="F20" s="36">
        <v>49</v>
      </c>
      <c r="G20" s="36">
        <v>50</v>
      </c>
      <c r="H20" s="38" t="str">
        <f t="shared" si="8"/>
        <v>SCOUTING</v>
      </c>
      <c r="I20" s="34">
        <v>367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4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91</v>
      </c>
      <c r="D21" s="32" t="s">
        <v>837</v>
      </c>
      <c r="E21" s="33">
        <v>3</v>
      </c>
      <c r="F21" s="36">
        <v>50</v>
      </c>
      <c r="G21" s="36">
        <v>52</v>
      </c>
      <c r="H21" s="38" t="str">
        <f t="shared" si="8"/>
        <v>SCOUTING</v>
      </c>
      <c r="I21" s="34">
        <v>380</v>
      </c>
      <c r="J21" s="13" t="s">
        <v>4</v>
      </c>
      <c r="K21" s="13" t="s">
        <v>63</v>
      </c>
      <c r="L21" s="13" t="s">
        <v>5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91</v>
      </c>
      <c r="D22" s="32" t="s">
        <v>838</v>
      </c>
      <c r="E22" s="33">
        <v>3</v>
      </c>
      <c r="F22" s="36">
        <v>56</v>
      </c>
      <c r="G22" s="36">
        <v>58</v>
      </c>
      <c r="H22" s="38" t="str">
        <f t="shared" si="8"/>
        <v>SCOUTING</v>
      </c>
      <c r="I22" s="34">
        <v>405</v>
      </c>
      <c r="J22" s="13" t="s">
        <v>4</v>
      </c>
      <c r="K22" s="13" t="s">
        <v>63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91</v>
      </c>
      <c r="D23" s="32" t="s">
        <v>839</v>
      </c>
      <c r="E23" s="33">
        <v>3</v>
      </c>
      <c r="F23" s="36">
        <v>56</v>
      </c>
      <c r="G23" s="36">
        <v>58</v>
      </c>
      <c r="H23" s="38" t="str">
        <f t="shared" si="8"/>
        <v>SCOUTING</v>
      </c>
      <c r="I23" s="34">
        <v>407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U2025</v>
      </c>
      <c r="C24" s="31">
        <f t="shared" si="3"/>
        <v>91</v>
      </c>
      <c r="D24" s="32" t="s">
        <v>840</v>
      </c>
      <c r="E24" s="33">
        <v>3</v>
      </c>
      <c r="F24" s="36">
        <v>58</v>
      </c>
      <c r="G24" s="36">
        <v>60</v>
      </c>
      <c r="H24" s="38" t="str">
        <f t="shared" si="8"/>
        <v>SCOUTING</v>
      </c>
      <c r="I24" s="34">
        <v>425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U2025</v>
      </c>
      <c r="C25" s="31">
        <f t="shared" si="3"/>
        <v>91</v>
      </c>
      <c r="D25" s="32" t="s">
        <v>841</v>
      </c>
      <c r="E25" s="33">
        <v>4</v>
      </c>
      <c r="F25" s="36">
        <v>86</v>
      </c>
      <c r="G25" s="36">
        <v>83</v>
      </c>
      <c r="H25" s="38" t="str">
        <f t="shared" si="8"/>
        <v>SCOUTING</v>
      </c>
      <c r="I25" s="34">
        <v>606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>U2025</v>
      </c>
      <c r="C26" s="31">
        <f t="shared" si="3"/>
        <v>91</v>
      </c>
      <c r="D26" s="32" t="s">
        <v>842</v>
      </c>
      <c r="E26" s="33">
        <v>4</v>
      </c>
      <c r="F26" s="36">
        <v>92</v>
      </c>
      <c r="G26" s="36">
        <v>86</v>
      </c>
      <c r="H26" s="38" t="str">
        <f t="shared" si="8"/>
        <v>SCOUTING</v>
      </c>
      <c r="I26" s="34">
        <v>630</v>
      </c>
      <c r="J26" s="13" t="s">
        <v>4</v>
      </c>
      <c r="K26" s="13" t="s">
        <v>63</v>
      </c>
      <c r="L26" s="13" t="s">
        <v>6</v>
      </c>
      <c r="M26" s="13" t="s">
        <v>168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4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ColWidth="8.7109375"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ColWidth="8.7109375"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REPORT_U2025091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"U2025091"</v>
      </c>
      <c r="F3" s="45" t="str">
        <f t="shared" ref="F3:F16" si="0">""""&amp;B3&amp;"""" &amp; " : " &amp;C3&amp;","</f>
        <v>"name" : "U2025091",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"U091"</v>
      </c>
      <c r="F4" s="45" t="str">
        <f t="shared" si="0"/>
        <v>"cod" : "U091",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091</v>
      </c>
      <c r="F6" s="45" t="str">
        <f t="shared" si="0"/>
        <v>"number" : 091,</v>
      </c>
    </row>
    <row r="7" spans="2:6" x14ac:dyDescent="0.2">
      <c r="B7" s="43" t="s">
        <v>116</v>
      </c>
      <c r="C7" s="43" t="str">
        <f ca="1">""""&amp;TEXT('SCOUT &amp; LOGISTICS'!B3,"dd/mm/aaaa")&amp;""""</f>
        <v>"10/12/Wednesday"</v>
      </c>
      <c r="F7" s="45" t="str">
        <f t="shared" ca="1" si="0"/>
        <v>"date" : "10/12/Wednesday",</v>
      </c>
    </row>
    <row r="8" spans="2:6" x14ac:dyDescent="0.2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"KAROLIS KAVALENKA"</v>
      </c>
      <c r="F10" s="45" t="str">
        <f t="shared" si="0"/>
        <v>"Data_entry" : "KAROLIS KAVALENKA",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"KAROLIS STIRBYS"</v>
      </c>
      <c r="F11" s="45" t="str">
        <f t="shared" si="0"/>
        <v>"Caller_1" : "KAROLIS STIRBYS",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"OVIDIJUS SIDEIKIS"</v>
      </c>
      <c r="F13" s="45" t="str">
        <f t="shared" si="0"/>
        <v>"Timerkeeper" : "OVIDIJUS SIDEIKIS",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687</v>
      </c>
      <c r="F25" s="45" t="str">
        <f t="shared" ref="F25:F48" si="1">""""&amp;C25&amp;"""" &amp; " : " &amp;D25&amp;","</f>
        <v>"total_actions" : 687,</v>
      </c>
    </row>
    <row r="26" spans="2:6" x14ac:dyDescent="0.2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7</v>
      </c>
      <c r="F33" s="45" t="str">
        <f t="shared" si="1"/>
        <v>"q3" : 7,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"Remember that the player who made the deflection gets the steal. You did a good perfomance. Keep it up!"</v>
      </c>
      <c r="F51" s="45" t="str">
        <f>""""&amp;B51&amp;"""" &amp; " : " &amp;C51&amp;","</f>
        <v>"comments" : "Remember that the player who made the deflection gets the steal. You did a good perfomance. Keep it up!",</v>
      </c>
    </row>
    <row r="52" spans="2:6" x14ac:dyDescent="0.2">
      <c r="B52" s="43" t="s">
        <v>153</v>
      </c>
      <c r="C52" s="43" t="str">
        <f>TEXT('SCOUT &amp; LOGISTICS'!F1,"0,0")</f>
        <v>10_091_KLA_WRO_U2025</v>
      </c>
      <c r="F52" s="45" t="str">
        <f>""""&amp;B52&amp;"""" &amp; " : " &amp;C52</f>
        <v>"result" : 10_091_KLA_WRO_U2025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U091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Neptunas Klaipeda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Slask Wroclaw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KAROLIS KAVALENKA</v>
      </c>
      <c r="C8" s="201"/>
      <c r="D8" s="201"/>
      <c r="E8" s="201"/>
      <c r="F8" s="201"/>
      <c r="G8" s="201" t="str">
        <f>IF('SCOUT &amp; LOGISTICS'!D7="","",'SCOUT &amp; LOGISTICS'!D7)</f>
        <v>KAROLIS STIRBYS</v>
      </c>
      <c r="H8" s="201"/>
      <c r="I8" s="201"/>
      <c r="J8" s="201"/>
      <c r="K8" s="201"/>
      <c r="L8" s="201" t="str">
        <f>IF('SCOUT &amp; LOGISTICS'!D8="","",'SCOUT &amp; LOGISTICS'!D8)</f>
        <v>DOMANTAS TEVELIS</v>
      </c>
      <c r="M8" s="201"/>
      <c r="N8" s="201"/>
      <c r="O8" s="201"/>
      <c r="P8" s="201"/>
      <c r="Q8" s="201" t="str">
        <f>IF('SCOUT &amp; LOGISTICS'!D9="","",'SCOUT &amp; LOGISTICS'!D9)</f>
        <v>OVIDIJUS SIDEIKIS</v>
      </c>
      <c r="R8" s="201"/>
      <c r="S8" s="201"/>
      <c r="T8" s="201"/>
      <c r="U8" s="201"/>
      <c r="V8" s="201" t="str">
        <f>IF('SCOUT &amp; LOGISTICS'!D10="","",'SCOUT &amp; LOGISTICS'!D10)</f>
        <v>GINTAUTAS PLATUKIS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687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1.4556040756914119E-2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7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7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1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Remember that the player who made the deflection gets the steal. You did a good perfomance.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7.9556040756914115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6FFB195-3103-4A6E-B8EC-4AB7BCF74CD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2025-12-10T19:48:23Z</cp:lastPrinted>
  <dcterms:created xsi:type="dcterms:W3CDTF">2023-09-19T19:50:35Z</dcterms:created>
  <dcterms:modified xsi:type="dcterms:W3CDTF">2025-12-11T17:32:29Z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