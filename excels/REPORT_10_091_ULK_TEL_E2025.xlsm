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060EE57-23C4-4345-8F50-C448CCF3CC80}" xr6:coauthVersionLast="47" xr6:coauthVersionMax="47" xr10:uidLastSave="{00000000-0000-0000-0000-000000000000}"/>
  <bookViews>
    <workbookView xWindow="-5055" yWindow="-15105" windowWidth="2710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<sst xmlns="http://schemas.openxmlformats.org/spreadsheetml/2006/main" count="3255" uniqueCount="760">
  <si>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</si>
  <si>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</si>
  <si>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</si>
  <si>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</si>
  <si>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</si>
  <si>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</si>
  <si>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</si>
  <si>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</si>
  <si>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</si>
  <si>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</si>
  <si>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</si>
  <si>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</si>
  <si>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</si>
  <si>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</si>
  <si>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</si>
  <si>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</si>
  <si>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</si>
  <si>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</si>
  <si>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</si>
  <si>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</si>
  <si>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</si>
  <si>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</si>
  <si>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</si>
  <si>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</si>
  <si>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</si>
  <si>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</si>
  <si>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</si>
  <si>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</si>
  <si>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</si>
  <si>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</si>
  <si>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</si>
  <si>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</si>
  <si>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</si>
  <si>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</si>
  <si>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</si>
  <si>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</si>
  <si>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</si>
  <si>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</si>
  <si>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</si>
  <si>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</si>
  <si>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</si>
  <si>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</si>
  <si>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</si>
  <si>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</si>
  <si>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</si>
  <si>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</si>
  <si>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</si>
  <si>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</si>
  <si>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</si>
  <si>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</si>
  <si>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</si>
  <si>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</si>
  <si>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</si>
  <si>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</si>
  <si>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</si>
  <si>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</si>
  <si>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</si>
  <si>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</si>
  <si>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</si>
  <si>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</si>
  <si>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</si>
  <si>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</si>
  <si>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</si>
  <si>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</si>
  <si>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</si>
  <si>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</si>
  <si>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</si>
  <si>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</si>
  <si>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</si>
  <si>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</si>
  <si>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</si>
  <si>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</si>
  <si>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</si>
  <si>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</si>
  <si>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</si>
  <si>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</si>
  <si>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</si>
  <si>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</si>
  <si>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</si>
  <si>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</si>
  <si>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</si>
  <si>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</si>
  <si>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</si>
  <si>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</si>
  <si>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</si>
  <si>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</si>
  <si>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</si>
  <si>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</si>
  <si>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</si>
  <si>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</si>
  <si>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</si>
  <si>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</si>
  <si>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</si>
  <si>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</si>
  <si>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</si>
  <si>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</si>
  <si>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</si>
  <si>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</si>
  <si>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</si>
  <si>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</si>
  <si>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</si>
  <si>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</si>
  <si>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</si>
  <si>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</si>
  <si>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</si>
  <si>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</si>
  <si>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</si>
  <si>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</si>
  <si>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</si>
  <si>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</si>
  <si>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</si>
  <si>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</si>
  <si>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</si>
  <si>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</si>
  <si>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</si>
  <si>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</si>
  <si>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</si>
  <si>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</si>
  <si>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</si>
  <si>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</si>
  <si>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</si>
  <si>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</si>
  <si>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</si>
  <si>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</si>
  <si>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</si>
  <si>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</si>
  <si>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</si>
  <si>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</si>
  <si>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</si>
  <si>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</si>
  <si>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</si>
  <si>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</si>
  <si>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</si>
  <si>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</si>
  <si>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</si>
  <si>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</si>
  <si>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</si>
  <si>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</si>
  <si>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</si>
  <si>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</si>
  <si>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</si>
  <si>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</si>
  <si>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</si>
  <si>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</si>
  <si>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</si>
  <si>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</si>
  <si>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</si>
  <si>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</si>
  <si>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</si>
  <si>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</si>
  <si>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</si>
  <si>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</si>
  <si>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</si>
  <si>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</si>
  <si>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</si>
  <si>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</si>
  <si>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</si>
  <si>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</si>
  <si>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</si>
  <si>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</si>
  <si>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</si>
  <si>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</si>
  <si>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</si>
  <si>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</si>
  <si>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</si>
  <si>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</si>
  <si>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</si>
  <si>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</si>
  <si>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</si>
  <si>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</si>
  <si>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</si>
  <si>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</si>
  <si>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</si>
  <si>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</si>
  <si>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</si>
  <si>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</si>
  <si>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</si>
  <si>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</si>
  <si>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</si>
  <si>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</si>
  <si>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</si>
  <si>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</si>
  <si>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</si>
  <si>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</si>
  <si>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</si>
  <si>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</si>
  <si>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</si>
  <si>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</si>
  <si>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</si>
  <si>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</si>
  <si>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</si>
  <si>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</si>
  <si>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</si>
  <si>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</si>
  <si>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</si>
  <si>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</si>
  <si>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</si>
  <si>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</si>
  <si>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</si>
  <si>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</si>
  <si>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</si>
  <si>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</si>
  <si>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</si>
  <si>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</si>
  <si>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</si>
  <si>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</si>
  <si>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</si>
  <si>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</si>
  <si>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</si>
  <si>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</si>
  <si>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</si>
  <si>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</si>
  <si>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</si>
  <si>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</si>
  <si>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</si>
  <si>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</si>
  <si>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</si>
  <si>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</si>
  <si>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</si>
  <si>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</si>
  <si>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</si>
  <si>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</si>
  <si>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</si>
  <si>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</si>
  <si>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</si>
  <si>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</si>
  <si>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</si>
  <si>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</si>
  <si>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</si>
  <si>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</si>
  <si>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</si>
  <si>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</si>
  <si>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</si>
  <si>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</si>
  <si>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</si>
  <si>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</si>
  <si>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</si>
  <si>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</si>
  <si>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</si>
  <si>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</si>
  <si>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</si>
  <si>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</si>
  <si>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</si>
  <si>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</si>
  <si>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</si>
  <si>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</si>
  <si>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</si>
  <si>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</si>
  <si>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</si>
  <si>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</si>
  <si>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</si>
  <si>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</si>
  <si>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</si>
  <si>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</si>
  <si>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</si>
  <si>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</si>
  <si>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</si>
  <si>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</si>
  <si>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</si>
  <si>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</si>
  <si>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</si>
  <si>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</si>
  <si>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</si>
  <si>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</si>
  <si>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</si>
  <si>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</si>
  <si>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</si>
  <si>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</si>
  <si>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</si>
  <si>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</si>
  <si>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</si>
  <si>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</si>
  <si>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</si>
  <si>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</si>
  <si>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</si>
  <si>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</si>
  <si>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</si>
  <si>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</si>
  <si>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</si>
  <si>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</si>
  <si>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</si>
  <si>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</si>
  <si>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</si>
  <si>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</si>
  <si>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</si>
  <si>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</si>
  <si>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</si>
  <si>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</si>
  <si>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</si>
  <si>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</si>
  <si>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</si>
  <si>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</si>
  <si>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</si>
  <si>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</si>
  <si>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</si>
  <si>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</si>
  <si>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</si>
  <si>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</si>
  <si>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</si>
  <si>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</si>
  <si>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</si>
  <si>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</si>
  <si>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</si>
  <si>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</si>
  <si>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</si>
  <si>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</si>
  <si>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</si>
  <si>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</si>
  <si>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</si>
  <si>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</si>
  <si>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</si>
  <si>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</si>
  <si>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</si>
  <si>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</si>
  <si>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</si>
  <si>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</si>
  <si>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</si>
  <si>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</si>
  <si>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</si>
  <si>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</si>
  <si>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</si>
  <si>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</si>
  <si>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</si>
  <si>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</si>
  <si>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</si>
  <si>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</si>
  <si>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</si>
  <si>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</si>
  <si>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</si>
  <si>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</si>
  <si>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</si>
  <si>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</si>
  <si>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</si>
  <si>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</si>
  <si>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</si>
  <si>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</si>
  <si>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</si>
  <si>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</si>
  <si>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</si>
  <si>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</si>
  <si>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</si>
  <si>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</si>
  <si>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</si>
  <si>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</si>
  <si>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</si>
  <si>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</si>
  <si>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</si>
  <si>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</si>
  <si>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</si>
  <si>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</si>
  <si>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</si>
  <si>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</si>
  <si>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</si>
  <si>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</si>
  <si>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</si>
  <si>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</si>
  <si>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</si>
  <si>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</si>
  <si>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</si>
  <si>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</si>
  <si>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</si>
  <si>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</si>
  <si>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</si>
  <si>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</si>
  <si>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</si>
  <si>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</si>
  <si>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</si>
  <si>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</si>
  <si>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</si>
  <si>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</si>
  <si>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</si>
  <si>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</si>
  <si>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</si>
  <si>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</si>
  <si>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</si>
  <si>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</si>
  <si>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</si>
  <si>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</si>
  <si>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</si>
  <si>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</si>
  <si>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</si>
  <si>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</si>
  <si>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</si>
  <si>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</si>
  <si>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</si>
  <si>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</si>
  <si>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</si>
  <si>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</si>
  <si>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</si>
  <si>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</si>
  <si>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</si>
  <si>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</si>
  <si>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</si>
  <si>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</si>
  <si>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</si>
  <si>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</si>
  <si>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</si>
  <si>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</si>
  <si>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</si>
  <si>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</si>
  <si>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</si>
  <si>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</si>
  <si>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</si>
  <si>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</si>
  <si>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</si>
  <si>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</si>
  <si>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</si>
  <si>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</si>
  <si>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</si>
  <si>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</si>
  <si>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</si>
  <si>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</si>
  <si>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</si>
  <si>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</si>
  <si>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</si>
  <si>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</si>
  <si>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</si>
  <si>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</si>
  <si>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</si>
  <si>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</si>
  <si>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</si>
  <si>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</si>
  <si>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</si>
  <si>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</si>
  <si>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</si>
  <si>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</si>
  <si>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</si>
  <si>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</si>
  <si>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</si>
  <si>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</si>
  <si>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</si>
  <si>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</si>
  <si>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</si>
  <si>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</si>
  <si>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</si>
  <si>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</si>
  <si>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</si>
  <si>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</si>
  <si>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</si>
  <si>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</si>
  <si>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</si>
  <si>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</si>
  <si>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</si>
  <si>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</si>
  <si>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</si>
  <si>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</si>
  <si>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</si>
  <si>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</si>
  <si>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</si>
  <si>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</si>
  <si>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</si>
  <si>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</si>
  <si>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</si>
  <si>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</si>
  <si>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</si>
  <si>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</si>
  <si>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</si>
  <si>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</si>
  <si>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</si>
  <si>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</si>
  <si>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</si>
  <si>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</si>
  <si>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</si>
  <si>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</si>
  <si>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</si>
  <si>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</si>
  <si>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</si>
  <si>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</si>
  <si>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</si>
  <si>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</si>
  <si>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</si>
  <si>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</si>
  <si>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</si>
  <si>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</si>
  <si>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</si>
  <si>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</si>
  <si>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</si>
  <si>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</si>
  <si>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</si>
  <si>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</si>
  <si>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</si>
  <si>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</si>
  <si>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</si>
  <si>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</si>
  <si>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</si>
  <si>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</si>
  <si>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</si>
  <si>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</si>
  <si>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</si>
  <si>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</si>
  <si>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</si>
  <si>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</si>
  <si>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</si>
  <si>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</si>
  <si>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</si>
  <si>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</si>
  <si>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</si>
  <si>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</si>
  <si>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</si>
  <si>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</si>
  <si>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</si>
  <si>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</si>
  <si>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</si>
  <si>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</si>
  <si>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</si>
  <si>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</si>
  <si>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</si>
  <si>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</si>
  <si>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</si>
  <si>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</si>
  <si>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</si>
  <si>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</si>
  <si>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</si>
  <si>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</si>
  <si>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</si>
  <si>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</si>
  <si>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</si>
  <si>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</si>
  <si>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</si>
  <si>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</si>
  <si>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</si>
  <si>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</si>
  <si>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</si>
  <si>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</si>
  <si>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</si>
  <si>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</si>
  <si>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</si>
  <si>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</si>
  <si>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</si>
  <si>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</si>
  <si>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</si>
  <si>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</si>
  <si>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</si>
  <si>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</si>
  <si>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</si>
  <si>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</si>
  <si>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</si>
  <si>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</si>
  <si>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</si>
  <si>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</si>
  <si>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</si>
  <si>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</si>
  <si>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</si>
  <si>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</si>
  <si>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</si>
  <si>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</si>
  <si>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</si>
  <si>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</si>
  <si>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</si>
  <si>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</si>
  <si>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</si>
  <si>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</si>
  <si>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</si>
  <si>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</si>
  <si>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</si>
  <si>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</si>
  <si>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</si>
  <si>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</si>
  <si>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</si>
  <si>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</si>
  <si>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</si>
  <si>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</si>
  <si>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</si>
  <si>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</si>
  <si>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</si>
  <si>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</si>
  <si>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</si>
  <si>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</si>
  <si>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</si>
  <si>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</si>
  <si>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</si>
  <si>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</si>
  <si>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</si>
  <si>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</si>
  <si>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</si>
  <si>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</si>
  <si>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</si>
  <si>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</si>
  <si>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</si>
  <si>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</si>
  <si>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</si>
  <si>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</si>
  <si>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</si>
  <si>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</si>
  <si>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</si>
  <si>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</si>
  <si>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</si>
  <si>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</si>
  <si>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</si>
  <si>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</si>
  <si>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</si>
  <si>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</si>
  <si>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</si>
  <si>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</si>
  <si>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</si>
  <si>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</si>
  <si>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</si>
  <si>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</si>
  <si>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</si>
  <si>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</si>
  <si>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</si>
  <si>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</si>
  <si>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</si>
  <si>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</si>
  <si>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</si>
  <si>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</si>
  <si>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</si>
  <si>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</si>
  <si>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</si>
  <si>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</si>
  <si>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</si>
  <si>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</si>
  <si>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</si>
  <si>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</si>
  <si>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</si>
  <si>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</si>
  <si>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</si>
  <si>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</si>
  <si>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</si>
  <si>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</si>
  <si>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</si>
  <si>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</si>
  <si>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</si>
  <si>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</si>
  <si>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</si>
  <si>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</si>
  <si>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</si>
  <si>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</si>
  <si>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</si>
  <si>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</si>
  <si>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</si>
  <si>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</si>
  <si>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</si>
  <si>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</si>
  <si>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</si>
  <si>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</si>
  <si>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</si>
  <si>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</si>
  <si>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</si>
  <si>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</si>
  <si>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</si>
  <si>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</si>
  <si>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</si>
  <si>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</si>
  <si>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</si>
  <si>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</si>
  <si>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</si>
  <si>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</si>
  <si>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</si>
  <si>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</si>
  <si>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</si>
  <si>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</si>
  <si>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</si>
  <si>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</si>
  <si>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</si>
  <si>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</si>
  <si>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</si>
  <si>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</si>
  <si>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</si>
  <si>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</si>
  <si>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</si>
  <si>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</si>
  <si>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</si>
  <si>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</si>
  <si>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</si>
  <si>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</si>
  <si>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</si>
  <si>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</si>
  <si>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</si>
  <si>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</si>
  <si>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</si>
  <si>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</si>
  <si>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</si>
  <si>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</si>
  <si>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</si>
  <si>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</si>
  <si>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</si>
  <si>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</si>
  <si>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</si>
  <si>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</si>
  <si>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</si>
  <si>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</si>
  <si>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</si>
  <si>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</si>
  <si>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</si>
  <si>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</si>
  <si>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</si>
  <si>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</si>
  <si>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</si>
  <si>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</si>
  <si>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</si>
  <si>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</si>
  <si>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</si>
  <si>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</si>
  <si>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</si>
  <si>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</si>
  <si>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</si>
  <si>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</si>
  <si>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</si>
  <si>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</si>
  <si>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</si>
  <si>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</si>
  <si>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</si>
  <si>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</si>
  <si>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</si>
  <si>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</si>
  <si>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</si>
  <si>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</si>
  <si>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</si>
  <si>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</si>
  <si>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</si>
  <si>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</si>
  <si>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</si>
  <si>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</si>
  <si>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</si>
  <si>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</si>
  <si>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</si>
  <si>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</si>
  <si>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</si>
  <si>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</si>
  <si>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</si>
  <si>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</si>
  <si>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</si>
  <si>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</si>
  <si>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</si>
  <si>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</si>
  <si>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</si>
  <si>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</si>
  <si>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</si>
  <si>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</si>
  <si>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</si>
  <si>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</si>
  <si>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</si>
  <si>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</si>
  <si>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</si>
  <si>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</si>
  <si>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</si>
  <si>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</si>
  <si>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</si>
  <si>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</si>
  <si>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</si>
  <si>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</si>
  <si>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</si>
  <si>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</si>
  <si>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</si>
  <si>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</si>
  <si>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</si>
  <si>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</si>
  <si>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</si>
  <si>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</si>
  <si>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</si>
  <si>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BLANZ, SEBASTIAN</t>
  </si>
  <si>
    <t>KINDELMANN, MIKA</t>
  </si>
  <si>
    <t>SKUBATZ, MARKUS</t>
  </si>
  <si>
    <t>GREPPMAYR, ANDREAS</t>
  </si>
  <si>
    <t>TAVASZI, ROBERT</t>
  </si>
  <si>
    <t>BAYERER, ROBERT</t>
  </si>
  <si>
    <t>2:16</t>
  </si>
  <si>
    <t>6:34</t>
  </si>
  <si>
    <t>Awkward match to scout...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</si>
</sst>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10_091_ULK_TEL_E2025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45972.864583333336</v>
      </c>
      <c r="C3" s="178"/>
      <c r="D3" s="39">
        <v>655</v>
      </c>
      <c r="E3" s="29"/>
      <c r="F3" s="26">
        <f>SUBTOTAL(3,I17:I106)</f>
        <v>2</v>
      </c>
      <c r="G3" s="27">
        <f>IF(OR(D3="",D3=0),"",F3/D3)</f>
        <v>3.0534351145038168E-3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3.0534351145038168E-3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0.30534351145038169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1.8053435114503817</v>
      </c>
      <c r="N7" s="58"/>
      <c r="O7" s="2"/>
      <c r="P7" s="2"/>
      <c r="Q7" s="86">
        <f>SUM(R5,S5,AC16)</f>
        <v>1.8053435114503817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1.8053435114503817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91</v>
      </c>
      <c r="D17" s="32" t="s">
        <v>758</v>
      </c>
      <c r="E17" s="33">
        <v>3</v>
      </c>
      <c r="F17" s="36">
        <v>51</v>
      </c>
      <c r="G17" s="36">
        <v>32</v>
      </c>
      <c r="H17" s="38" t="str">
        <f>IF(I17="","",$I$14)</f>
        <v>SCOUTING</v>
      </c>
      <c r="I17" s="34">
        <v>364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91</v>
      </c>
      <c r="D18" s="32" t="s">
        <v>757</v>
      </c>
      <c r="E18" s="33">
        <v>3</v>
      </c>
      <c r="F18" s="36">
        <v>60</v>
      </c>
      <c r="G18" s="36">
        <v>46</v>
      </c>
      <c r="H18" s="38" t="str">
        <f t="shared" ref="H18:H81" si="8">IF(I18="","",$I$14)</f>
        <v>SCOUTING</v>
      </c>
      <c r="I18" s="34">
        <v>437</v>
      </c>
      <c r="J18" s="13" t="s">
        <v>4</v>
      </c>
      <c r="K18" s="13" t="s">
        <v>63</v>
      </c>
      <c r="L18" s="13" t="s">
        <v>75</v>
      </c>
      <c r="M18" s="13" t="s">
        <v>164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1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"E2025091"</v>
      </c>
      <c r="F3" s="45" t="str">
        <f t="shared" ref="F3:F16" si="0">""""&amp;B3&amp;"""" &amp; " : " &amp;C3&amp;","</f>
        <v>"name" : "E2025091",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"E091"</v>
      </c>
      <c r="F4" s="45" t="str">
        <f t="shared" si="0"/>
        <v>"cod" : "E091",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091</v>
      </c>
      <c r="F6" s="45" t="str">
        <f t="shared" si="0"/>
        <v>"number" : 091,</v>
      </c>
    </row>
    <row r="7" spans="2:6" x14ac:dyDescent="0.2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"BLANZ, SEBASTIAN"</v>
      </c>
      <c r="F10" s="45" t="str">
        <f t="shared" si="0"/>
        <v>"Data_entry" : "BLANZ, SEBASTIAN",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"KINDELMANN, MIKA"</v>
      </c>
      <c r="F11" s="45" t="str">
        <f t="shared" si="0"/>
        <v>"Caller_1" : "KINDELMANN, MIKA",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"SKUBATZ, MARKUS"</v>
      </c>
      <c r="F12" s="45" t="str">
        <f t="shared" si="0"/>
        <v>"Caller_2" : "SKUBATZ, MARKUS",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"GREPPMAYR, ANDREAS"</v>
      </c>
      <c r="F13" s="45" t="str">
        <f t="shared" si="0"/>
        <v>"Timerkeeper" : "GREPPMAYR, ANDREAS",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"BAYERER, ROBERT"</v>
      </c>
      <c r="F14" s="45" t="str">
        <f t="shared" si="0"/>
        <v>"Shotclock" : "BAYERER, ROBERT",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"TAVASZI, ROBERT"</v>
      </c>
      <c r="F15" s="45" t="str">
        <f t="shared" si="0"/>
        <v>"IRS" : "TAVASZI, ROBERT",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655</v>
      </c>
      <c r="F25" s="45" t="str">
        <f t="shared" ref="F25:F48" si="1">""""&amp;C25&amp;"""" &amp; " : " &amp;D25&amp;","</f>
        <v>"total_actions" : 655,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"Awkward match to scout..."</v>
      </c>
      <c r="F51" s="45" t="str">
        <f>""""&amp;B51&amp;"""" &amp; " : " &amp;C51&amp;","</f>
        <v>"comments" : "Awkward match to scout...",</v>
      </c>
    </row>
    <row r="52" spans="2:6" x14ac:dyDescent="0.2">
      <c r="B52" s="43" t="s">
        <v>153</v>
      </c>
      <c r="C52" s="43" t="str">
        <f>TEXT('SCOUT &amp; LOGISTICS'!F1,"0,0")</f>
        <v>10_091_ULK_TEL_E2025</v>
      </c>
      <c r="F52" s="45" t="str">
        <f>""""&amp;B52&amp;"""" &amp; " : " &amp;C52</f>
        <v>"result" : 10_091_ULK_TEL_E2025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E091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BLANZ, SEBASTIAN</v>
      </c>
      <c r="C8" s="201"/>
      <c r="D8" s="201"/>
      <c r="E8" s="201"/>
      <c r="F8" s="201"/>
      <c r="G8" s="201" t="str">
        <f>IF('SCOUT &amp; LOGISTICS'!D7="","",'SCOUT &amp; LOGISTICS'!D7)</f>
        <v>KINDELMANN, MIKA</v>
      </c>
      <c r="H8" s="201"/>
      <c r="I8" s="201"/>
      <c r="J8" s="201"/>
      <c r="K8" s="201"/>
      <c r="L8" s="201" t="str">
        <f>IF('SCOUT &amp; LOGISTICS'!D8="","",'SCOUT &amp; LOGISTICS'!D8)</f>
        <v>SKUBATZ, MARKUS</v>
      </c>
      <c r="M8" s="201"/>
      <c r="N8" s="201"/>
      <c r="O8" s="201"/>
      <c r="P8" s="201"/>
      <c r="Q8" s="201" t="str">
        <f>IF('SCOUT &amp; LOGISTICS'!D9="","",'SCOUT &amp; LOGISTICS'!D9)</f>
        <v>GREPPMAYR, ANDREAS</v>
      </c>
      <c r="R8" s="201"/>
      <c r="S8" s="201"/>
      <c r="T8" s="201"/>
      <c r="U8" s="201"/>
      <c r="V8" s="201" t="str">
        <f>IF('SCOUT &amp; LOGISTICS'!D10="","",'SCOUT &amp; LOGISTICS'!D10)</f>
        <v>BAYERER, ROBERT</v>
      </c>
      <c r="W8" s="201"/>
      <c r="X8" s="201"/>
      <c r="Y8" s="201"/>
      <c r="Z8" s="201"/>
      <c r="AA8" s="201" t="str">
        <f>IF('SCOUT &amp; LOGISTICS'!D11="","",'SCOUT &amp; LOGISTICS'!D11)</f>
        <v>TAVASZI, ROBERT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655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3.0534351145038168E-3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Awkward match to scout...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1.8053435114503817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75B6FE8-D09A-46E5-813F-A2FDEA7D7FB6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2025-11-12T16:08:56Z</cp:lastPrinted>
  <dcterms:created xsi:type="dcterms:W3CDTF">2023-09-19T19:50:35Z</dcterms:created>
  <dcterms:modified xsi:type="dcterms:W3CDTF">2025-11-12T16:11:11Z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