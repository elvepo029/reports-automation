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99" documentId="8_{5B9F7AE1-D37A-4B95-B308-AFE41AAE16E7}" xr6:coauthVersionLast="47" xr6:coauthVersionMax="47" xr10:uidLastSave="{D2319192-2683-4A4C-9E15-F673EF147BFA}"/>
  <bookViews>
    <workbookView xWindow="-4275" yWindow="-14250" windowWidth="2160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<sst xmlns="http://schemas.openxmlformats.org/spreadsheetml/2006/main" count="3377" uniqueCount="840">
  <si>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</si>
  <si>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</si>
  <si>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</si>
  <si>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</si>
  <si>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</si>
  <si>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</si>
  <si>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</si>
  <si>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</si>
  <si>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</si>
  <si>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</si>
  <si>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</si>
  <si>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</si>
  <si>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</si>
  <si>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</si>
  <si>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</si>
  <si>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</si>
  <si>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</si>
  <si>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</si>
  <si>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</si>
  <si>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</si>
  <si>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</si>
  <si>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</si>
  <si>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</si>
  <si>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</si>
  <si>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</si>
  <si>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</si>
  <si>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</si>
  <si>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</si>
  <si>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</si>
  <si>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</si>
  <si>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</si>
  <si>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</si>
  <si>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</si>
  <si>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</si>
  <si>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</si>
  <si>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</si>
  <si>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</si>
  <si>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</si>
  <si>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</si>
  <si>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</si>
  <si>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</si>
  <si>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</si>
  <si>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</si>
  <si>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</si>
  <si>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</si>
  <si>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</si>
  <si>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</si>
  <si>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</si>
  <si>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</si>
  <si>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</si>
  <si>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</si>
  <si>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</si>
  <si>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</si>
  <si>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</si>
  <si>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</si>
  <si>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</si>
  <si>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</si>
  <si>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</si>
  <si>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</si>
  <si>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</si>
  <si>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</si>
  <si>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</si>
  <si>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</si>
  <si>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</si>
  <si>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</si>
  <si>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</si>
  <si>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</si>
  <si>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</si>
  <si>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</si>
  <si>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</si>
  <si>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</si>
  <si>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</si>
  <si>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</si>
  <si>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</si>
  <si>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</si>
  <si>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</si>
  <si>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</si>
  <si>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</si>
  <si>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</si>
  <si>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</si>
  <si>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</si>
  <si>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</si>
  <si>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</si>
  <si>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</si>
  <si>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</si>
  <si>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</si>
  <si>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</si>
  <si>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</si>
  <si>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</si>
  <si>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</si>
  <si>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</si>
  <si>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</si>
  <si>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</si>
  <si>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</si>
  <si>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</si>
  <si>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</si>
  <si>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</si>
  <si>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</si>
  <si>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</si>
  <si>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</si>
  <si>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</si>
  <si>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</si>
  <si>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</si>
  <si>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</si>
  <si>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</si>
  <si>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</si>
  <si>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</si>
  <si>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</si>
  <si>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</si>
  <si>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</si>
  <si>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</si>
  <si>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</si>
  <si>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</si>
  <si>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</si>
  <si>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</si>
  <si>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</si>
  <si>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</si>
  <si>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</si>
  <si>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</si>
  <si>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</si>
  <si>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</si>
  <si>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</si>
  <si>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</si>
  <si>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</si>
  <si>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</si>
  <si>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</si>
  <si>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</si>
  <si>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</si>
  <si>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</si>
  <si>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</si>
  <si>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</si>
  <si>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</si>
  <si>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</si>
  <si>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</si>
  <si>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</si>
  <si>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</si>
  <si>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</si>
  <si>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</si>
  <si>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</si>
  <si>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</si>
  <si>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</si>
  <si>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</si>
  <si>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</si>
  <si>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</si>
  <si>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</si>
  <si>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</si>
  <si>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</si>
  <si>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</si>
  <si>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</si>
  <si>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</si>
  <si>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</si>
  <si>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</si>
  <si>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</si>
  <si>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</si>
  <si>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</si>
  <si>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</si>
  <si>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</si>
  <si>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</si>
  <si>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</si>
  <si>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</si>
  <si>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</si>
  <si>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</si>
  <si>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</si>
  <si>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</si>
  <si>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</si>
  <si>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</si>
  <si>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</si>
  <si>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</si>
  <si>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</si>
  <si>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</si>
  <si>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</si>
  <si>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</si>
  <si>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</si>
  <si>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</si>
  <si>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</si>
  <si>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</si>
  <si>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</si>
  <si>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</si>
  <si>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</si>
  <si>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</si>
  <si>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</si>
  <si>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</si>
  <si>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</si>
  <si>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</si>
  <si>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</si>
  <si>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</si>
  <si>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</si>
  <si>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</si>
  <si>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</si>
  <si>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</si>
  <si>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</si>
  <si>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</si>
  <si>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</si>
  <si>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</si>
  <si>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</si>
  <si>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</si>
  <si>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</si>
  <si>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</si>
  <si>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</si>
  <si>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</si>
  <si>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</si>
  <si>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</si>
  <si>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</si>
  <si>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</si>
  <si>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</si>
  <si>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</si>
  <si>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</si>
  <si>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</si>
  <si>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</si>
  <si>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</si>
  <si>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</si>
  <si>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</si>
  <si>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</si>
  <si>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</si>
  <si>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</si>
  <si>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</si>
  <si>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</si>
  <si>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</si>
  <si>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</si>
  <si>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</si>
  <si>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</si>
  <si>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</si>
  <si>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</si>
  <si>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</si>
  <si>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</si>
  <si>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</si>
  <si>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</si>
  <si>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</si>
  <si>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</si>
  <si>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</si>
  <si>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</si>
  <si>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</si>
  <si>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</si>
  <si>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</si>
  <si>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</si>
  <si>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</si>
  <si>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</si>
  <si>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</si>
  <si>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</si>
  <si>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</si>
  <si>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</si>
  <si>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</si>
  <si>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</si>
  <si>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</si>
  <si>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</si>
  <si>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</si>
  <si>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</si>
  <si>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</si>
  <si>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</si>
  <si>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</si>
  <si>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</si>
  <si>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</si>
  <si>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</si>
  <si>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</si>
  <si>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</si>
  <si>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</si>
  <si>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</si>
  <si>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</si>
  <si>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</si>
  <si>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</si>
  <si>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</si>
  <si>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</si>
  <si>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</si>
  <si>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</si>
  <si>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</si>
  <si>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</si>
  <si>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</si>
  <si>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</si>
  <si>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</si>
  <si>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</si>
  <si>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</si>
  <si>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</si>
  <si>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</si>
  <si>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</si>
  <si>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</si>
  <si>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</si>
  <si>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</si>
  <si>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</si>
  <si>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</si>
  <si>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</si>
  <si>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</si>
  <si>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</si>
  <si>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</si>
  <si>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</si>
  <si>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</si>
  <si>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</si>
  <si>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</si>
  <si>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</si>
  <si>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</si>
  <si>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</si>
  <si>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</si>
  <si>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</si>
  <si>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</si>
  <si>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</si>
  <si>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</si>
  <si>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</si>
  <si>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</si>
  <si>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</si>
  <si>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</si>
  <si>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</si>
  <si>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</si>
  <si>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</si>
  <si>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</si>
  <si>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</si>
  <si>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</si>
  <si>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</si>
  <si>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</si>
  <si>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</si>
  <si>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</si>
  <si>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</si>
  <si>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</si>
  <si>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</si>
  <si>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</si>
  <si>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</si>
  <si>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</si>
  <si>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</si>
  <si>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</si>
  <si>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</si>
  <si>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</si>
  <si>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</si>
  <si>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</si>
  <si>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</si>
  <si>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</si>
  <si>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</si>
  <si>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</si>
  <si>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</si>
  <si>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</si>
  <si>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</si>
  <si>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</si>
  <si>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</si>
  <si>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</si>
  <si>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</si>
  <si>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</si>
  <si>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</si>
  <si>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</si>
  <si>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</si>
  <si>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</si>
  <si>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</si>
  <si>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</si>
  <si>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</si>
  <si>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</si>
  <si>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</si>
  <si>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</si>
  <si>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</si>
  <si>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</si>
  <si>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</si>
  <si>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</si>
  <si>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</si>
  <si>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</si>
  <si>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</si>
  <si>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</si>
  <si>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</si>
  <si>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</si>
  <si>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</si>
  <si>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</si>
  <si>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</si>
  <si>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</si>
  <si>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</si>
  <si>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</si>
  <si>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</si>
  <si>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</si>
  <si>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</si>
  <si>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</si>
  <si>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</si>
  <si>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</si>
  <si>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</si>
  <si>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</si>
  <si>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</si>
  <si>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</si>
  <si>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</si>
  <si>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</si>
  <si>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</si>
  <si>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</si>
  <si>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</si>
  <si>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</si>
  <si>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</si>
  <si>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</si>
  <si>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</si>
  <si>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</si>
  <si>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</si>
  <si>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</si>
  <si>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</si>
  <si>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</si>
  <si>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</si>
  <si>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</si>
  <si>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</si>
  <si>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</si>
  <si>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</si>
  <si>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</si>
  <si>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</si>
  <si>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</si>
  <si>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</si>
  <si>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</si>
  <si>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</si>
  <si>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</si>
  <si>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</si>
  <si>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</si>
  <si>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</si>
  <si>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</si>
  <si>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</si>
  <si>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</si>
  <si>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</si>
  <si>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</si>
  <si>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</si>
  <si>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</si>
  <si>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</si>
  <si>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</si>
  <si>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</si>
  <si>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</si>
  <si>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</si>
  <si>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</si>
  <si>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</si>
  <si>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</si>
  <si>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</si>
  <si>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</si>
  <si>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</si>
  <si>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</si>
  <si>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</si>
  <si>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</si>
  <si>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</si>
  <si>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</si>
  <si>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</si>
  <si>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</si>
  <si>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</si>
  <si>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</si>
  <si>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</si>
  <si>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</si>
  <si>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</si>
  <si>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</si>
  <si>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</si>
  <si>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</si>
  <si>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</si>
  <si>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</si>
  <si>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</si>
  <si>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</si>
  <si>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</si>
  <si>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</si>
  <si>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</si>
  <si>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</si>
  <si>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</si>
  <si>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</si>
  <si>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</si>
  <si>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</si>
  <si>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</si>
  <si>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</si>
  <si>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</si>
  <si>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</si>
  <si>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</si>
  <si>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</si>
  <si>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</si>
  <si>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</si>
  <si>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</si>
  <si>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</si>
  <si>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</si>
  <si>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</si>
  <si>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</si>
  <si>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</si>
  <si>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</si>
  <si>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</si>
  <si>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</si>
  <si>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</si>
  <si>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</si>
  <si>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</si>
  <si>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</si>
  <si>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</si>
  <si>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</si>
  <si>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</si>
  <si>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</si>
  <si>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</si>
  <si>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</si>
  <si>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</si>
  <si>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</si>
  <si>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</si>
  <si>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</si>
  <si>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</si>
  <si>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</si>
  <si>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</si>
  <si>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</si>
  <si>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</si>
  <si>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</si>
  <si>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</si>
  <si>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</si>
  <si>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</si>
  <si>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</si>
  <si>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</si>
  <si>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</si>
  <si>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</si>
  <si>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</si>
  <si>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</si>
  <si>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</si>
  <si>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</si>
  <si>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</si>
  <si>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</si>
  <si>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</si>
  <si>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</si>
  <si>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</si>
  <si>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</si>
  <si>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</si>
  <si>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</si>
  <si>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</si>
  <si>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</si>
  <si>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</si>
  <si>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</si>
  <si>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</si>
  <si>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</si>
  <si>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</si>
  <si>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</si>
  <si>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</si>
  <si>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</si>
  <si>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</si>
  <si>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</si>
  <si>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</si>
  <si>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</si>
  <si>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</si>
  <si>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</si>
  <si>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</si>
  <si>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</si>
  <si>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</si>
  <si>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</si>
  <si>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</si>
  <si>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</si>
  <si>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</si>
  <si>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</si>
  <si>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</si>
  <si>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</si>
  <si>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</si>
  <si>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</si>
  <si>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</si>
  <si>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</si>
  <si>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</si>
  <si>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</si>
  <si>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</si>
  <si>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</si>
  <si>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</si>
  <si>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</si>
  <si>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</si>
  <si>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</si>
  <si>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</si>
  <si>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</si>
  <si>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</si>
  <si>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</si>
  <si>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</si>
  <si>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</si>
  <si>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</si>
  <si>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</si>
  <si>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</si>
  <si>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</si>
  <si>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</si>
  <si>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</si>
  <si>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</si>
  <si>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</si>
  <si>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</si>
  <si>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</si>
  <si>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</si>
  <si>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</si>
  <si>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</si>
  <si>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</si>
  <si>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</si>
  <si>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</si>
  <si>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</si>
  <si>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</si>
  <si>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</si>
  <si>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</si>
  <si>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</si>
  <si>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</si>
  <si>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</si>
  <si>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</si>
  <si>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</si>
  <si>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</si>
  <si>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</si>
  <si>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</si>
  <si>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</si>
  <si>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</si>
  <si>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</si>
  <si>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</si>
  <si>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</si>
  <si>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</si>
  <si>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</si>
  <si>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</si>
  <si>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</si>
  <si>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</si>
  <si>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</si>
  <si>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</si>
  <si>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</si>
  <si>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</si>
  <si>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</si>
  <si>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</si>
  <si>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</si>
  <si>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</si>
  <si>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</si>
  <si>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</si>
  <si>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</si>
  <si>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</si>
  <si>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</si>
  <si>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</si>
  <si>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</si>
  <si>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</si>
  <si>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</si>
  <si>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</si>
  <si>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</si>
  <si>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</si>
  <si>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</si>
  <si>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</si>
  <si>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</si>
  <si>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</si>
  <si>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</si>
  <si>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</si>
  <si>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</si>
  <si>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</si>
  <si>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</si>
  <si>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</si>
  <si>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</si>
  <si>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</si>
  <si>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</si>
  <si>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</si>
  <si>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</si>
  <si>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</si>
  <si>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</si>
  <si>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</si>
  <si>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</si>
  <si>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</si>
  <si>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</si>
  <si>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</si>
  <si>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</si>
  <si>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</si>
  <si>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</si>
  <si>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</si>
  <si>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</si>
  <si>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</si>
  <si>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</si>
  <si>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</si>
  <si>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</si>
  <si>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</si>
  <si>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</si>
  <si>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</si>
  <si>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</si>
  <si>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</si>
  <si>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</si>
  <si>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</si>
  <si>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</si>
  <si>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</si>
  <si>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</si>
  <si>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</si>
  <si>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</si>
  <si>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</si>
  <si>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</si>
  <si>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</si>
  <si>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</si>
  <si>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</si>
  <si>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</si>
  <si>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</si>
  <si>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</si>
  <si>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</si>
  <si>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</si>
  <si>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</si>
  <si>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</si>
  <si>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</si>
  <si>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</si>
  <si>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</si>
  <si>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</si>
  <si>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</si>
  <si>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</si>
  <si>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</si>
  <si>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</si>
  <si>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</si>
  <si>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</si>
  <si>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</si>
  <si>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</si>
  <si>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</si>
  <si>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</si>
  <si>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</si>
  <si>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</si>
  <si>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</si>
  <si>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</si>
  <si>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</si>
  <si>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</si>
  <si>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</si>
  <si>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</si>
  <si>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</si>
  <si>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</si>
  <si>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</si>
  <si>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</si>
  <si>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</si>
  <si>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</si>
  <si>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</si>
  <si>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</si>
  <si>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</si>
  <si>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</si>
  <si>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</si>
  <si>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</si>
  <si>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</si>
  <si>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</si>
  <si>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</si>
  <si>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</si>
  <si>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</si>
  <si>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</si>
  <si>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</si>
  <si>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</si>
  <si>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</si>
  <si>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</si>
  <si>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</si>
  <si>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</si>
  <si>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</si>
  <si>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</si>
  <si>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</si>
  <si>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</si>
  <si>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</si>
  <si>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</si>
  <si>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</si>
  <si>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</si>
  <si>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</si>
  <si>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</si>
  <si>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</si>
  <si>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</si>
  <si>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</si>
  <si>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</si>
  <si>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</si>
  <si>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</si>
  <si>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</si>
  <si>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</si>
  <si>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</si>
  <si>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</si>
  <si>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</si>
  <si>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</si>
  <si>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</si>
  <si>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</si>
  <si>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</si>
  <si>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</si>
  <si>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</si>
  <si>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</si>
  <si>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</si>
  <si>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</si>
  <si>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</si>
  <si>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</si>
  <si>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</si>
  <si>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</si>
  <si>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</si>
  <si>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</si>
  <si>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</si>
  <si>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</si>
  <si>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</si>
  <si>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</si>
  <si>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</si>
  <si>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</si>
  <si>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</si>
  <si>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</si>
  <si>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</si>
  <si>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</si>
  <si>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</si>
  <si>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</si>
  <si>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</si>
  <si>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</si>
  <si>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</si>
  <si>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</si>
  <si>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</si>
  <si>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</si>
  <si>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</si>
  <si>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</si>
  <si>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</si>
  <si>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</si>
  <si>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</si>
  <si>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</si>
  <si>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</si>
  <si>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</si>
  <si>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</si>
  <si>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</si>
  <si>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</si>
  <si>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</si>
  <si>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</si>
  <si>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</si>
  <si>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</si>
  <si>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</si>
  <si>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</si>
  <si>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</si>
  <si>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</si>
  <si>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</si>
  <si>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</si>
  <si>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</si>
  <si>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</si>
  <si>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</si>
  <si>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</si>
  <si>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</si>
  <si>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</si>
  <si>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</si>
  <si>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</si>
  <si>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</si>
  <si>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</si>
  <si>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</si>
  <si>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</si>
  <si>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</si>
  <si>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</si>
  <si>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</si>
  <si>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</si>
  <si>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</si>
  <si>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</si>
  <si>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</si>
  <si>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</si>
  <si>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</si>
  <si>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</si>
  <si>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</si>
  <si>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</si>
  <si>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</si>
  <si>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</si>
  <si>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</si>
  <si>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</si>
  <si>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</si>
  <si>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</si>
  <si>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</si>
  <si>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</si>
  <si>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</si>
  <si>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</si>
  <si>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</si>
  <si>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</si>
  <si>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</si>
  <si>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</si>
  <si>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</si>
  <si>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</si>
  <si>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</si>
  <si>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</si>
  <si>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</si>
  <si>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</si>
  <si>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</si>
  <si>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</si>
  <si>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</si>
  <si>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</si>
  <si>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C:\Users\eloi.verge\OneDrive - EUROLEAGUE\Desktop\GAME REPORTS\25-26</t>
  </si>
  <si>
    <t>ORHAN YENIHAYAT</t>
  </si>
  <si>
    <t>YUKSEL NAZLIGUL</t>
  </si>
  <si>
    <t>ALPKAN HACIYAKUPOGLU</t>
  </si>
  <si>
    <t>ELOI VERGÉ</t>
  </si>
  <si>
    <t>07:58</t>
  </si>
  <si>
    <t>07:14</t>
  </si>
  <si>
    <t>05:55</t>
  </si>
  <si>
    <t>01:45</t>
  </si>
  <si>
    <t>01:10</t>
  </si>
  <si>
    <t>00:01</t>
  </si>
  <si>
    <t>06:34</t>
  </si>
  <si>
    <t>04:05</t>
  </si>
  <si>
    <t>05:19</t>
  </si>
  <si>
    <t xml:space="preserve">Weird first quarter with too many corrections in your case, but then you really really fixed it at the second half and reached your usual level (if not better).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</si>
</sst>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10_092_BAH_CLU_U2025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92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46001.791666666664</v>
      </c>
      <c r="C3" s="157"/>
      <c r="D3" s="39">
        <v>579</v>
      </c>
      <c r="E3" s="29"/>
      <c r="F3" s="26">
        <f>SUBTOTAL(3,I17:I106)</f>
        <v>9</v>
      </c>
      <c r="G3" s="27">
        <f>IF(OR(D3="",D3=0),"",F3/D3)</f>
        <v>1.5544041450777202E-2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Bahcesehir College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BAH</v>
      </c>
      <c r="I4" s="5"/>
      <c r="J4" s="119" t="s">
        <v>714</v>
      </c>
      <c r="K4" s="54" t="s">
        <v>742</v>
      </c>
      <c r="L4" s="5"/>
      <c r="M4" s="167" t="s">
        <v>839</v>
      </c>
      <c r="N4" s="168"/>
      <c r="O4" s="2"/>
      <c r="P4" s="2"/>
      <c r="Q4" s="84" t="s">
        <v>175</v>
      </c>
      <c r="R4" s="94">
        <f>(IF(G3="",0,G3))</f>
        <v>1.5544041450777202E-2</v>
      </c>
      <c r="S4" s="61">
        <f>SUM(I13:M13)</f>
        <v>0</v>
      </c>
      <c r="T4" s="78"/>
      <c r="U4" s="61">
        <f>AC18</f>
        <v>3</v>
      </c>
      <c r="V4" s="61">
        <f>+AC22</f>
        <v>3</v>
      </c>
      <c r="W4" s="61">
        <f>AC24</f>
        <v>1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U-BT Cluj-Napoca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CLU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1.5544041450777202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3</v>
      </c>
      <c r="W5" s="70">
        <f t="shared" si="1"/>
        <v>1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771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12.05440414507772</v>
      </c>
      <c r="N7" s="58"/>
      <c r="O7" s="2"/>
      <c r="P7" s="2"/>
      <c r="Q7" s="86">
        <f>SUM(R5,S5,AC16)</f>
        <v>12.05440414507772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826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12.05440414507772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827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828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92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829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10.5</v>
      </c>
      <c r="AD16" s="75">
        <f>SUM(AD17:AD24)</f>
        <v>45</v>
      </c>
      <c r="AE16" s="76" t="s">
        <v>42</v>
      </c>
      <c r="AF16" s="75">
        <f>SUM(AF17:AF24)</f>
        <v>7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92</v>
      </c>
      <c r="D17" s="32" t="s">
        <v>830</v>
      </c>
      <c r="E17" s="33">
        <v>1</v>
      </c>
      <c r="F17" s="36">
        <v>5</v>
      </c>
      <c r="G17" s="36">
        <v>6</v>
      </c>
      <c r="H17" s="38" t="str">
        <f>IF(I17="","",$I$14)</f>
        <v>SCOUTING</v>
      </c>
      <c r="I17" s="34">
        <v>27</v>
      </c>
      <c r="J17" s="13" t="s">
        <v>4</v>
      </c>
      <c r="K17" s="13" t="s">
        <v>62</v>
      </c>
      <c r="L17" s="13" t="s">
        <v>6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6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92</v>
      </c>
      <c r="D18" s="32" t="s">
        <v>831</v>
      </c>
      <c r="E18" s="33">
        <v>1</v>
      </c>
      <c r="F18" s="36">
        <v>8</v>
      </c>
      <c r="G18" s="36">
        <v>6</v>
      </c>
      <c r="H18" s="38" t="str">
        <f t="shared" ref="H18:H81" si="8">IF(I18="","",$I$14)</f>
        <v>SCOUTING</v>
      </c>
      <c r="I18" s="34">
        <v>36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2</v>
      </c>
      <c r="Z18" s="105" t="s">
        <v>62</v>
      </c>
      <c r="AA18" s="62">
        <f>COUNTIF($K$17:$K$106,Z18)</f>
        <v>6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92</v>
      </c>
      <c r="D19" s="32" t="s">
        <v>832</v>
      </c>
      <c r="E19" s="33">
        <v>1</v>
      </c>
      <c r="F19" s="36">
        <v>13</v>
      </c>
      <c r="G19" s="36">
        <v>9</v>
      </c>
      <c r="H19" s="38" t="str">
        <f t="shared" si="8"/>
        <v>SCOUTING</v>
      </c>
      <c r="I19" s="34">
        <v>50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U2025</v>
      </c>
      <c r="C20" s="31">
        <f t="shared" si="3"/>
        <v>92</v>
      </c>
      <c r="D20" s="32" t="s">
        <v>833</v>
      </c>
      <c r="E20" s="33">
        <v>1</v>
      </c>
      <c r="F20" s="36">
        <v>19</v>
      </c>
      <c r="G20" s="36">
        <v>15</v>
      </c>
      <c r="H20" s="38" t="str">
        <f t="shared" si="8"/>
        <v>SCOUTING</v>
      </c>
      <c r="I20" s="34">
        <v>108</v>
      </c>
      <c r="J20" s="13" t="s">
        <v>3</v>
      </c>
      <c r="K20" s="13" t="s">
        <v>63</v>
      </c>
      <c r="L20" s="13" t="s">
        <v>7</v>
      </c>
      <c r="M20" s="13" t="s">
        <v>167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U2025</v>
      </c>
      <c r="C21" s="31">
        <f t="shared" si="3"/>
        <v>92</v>
      </c>
      <c r="D21" s="32" t="s">
        <v>834</v>
      </c>
      <c r="E21" s="33">
        <v>1</v>
      </c>
      <c r="F21" s="36">
        <v>20</v>
      </c>
      <c r="G21" s="36">
        <v>17</v>
      </c>
      <c r="H21" s="38" t="str">
        <f t="shared" si="8"/>
        <v>SCOUTING</v>
      </c>
      <c r="I21" s="34">
        <v>123</v>
      </c>
      <c r="J21" s="13" t="s">
        <v>3</v>
      </c>
      <c r="K21" s="13" t="s">
        <v>62</v>
      </c>
      <c r="L21" s="13" t="s">
        <v>7</v>
      </c>
      <c r="M21" s="13" t="s">
        <v>167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>U2025</v>
      </c>
      <c r="C22" s="31">
        <f t="shared" si="3"/>
        <v>92</v>
      </c>
      <c r="D22" s="32" t="s">
        <v>835</v>
      </c>
      <c r="E22" s="33">
        <v>1</v>
      </c>
      <c r="F22" s="36">
        <v>22</v>
      </c>
      <c r="G22" s="36">
        <v>20</v>
      </c>
      <c r="H22" s="38" t="str">
        <f t="shared" si="8"/>
        <v>SCOUTING</v>
      </c>
      <c r="I22" s="34">
        <v>139</v>
      </c>
      <c r="J22" s="13" t="s">
        <v>4</v>
      </c>
      <c r="K22" s="13" t="s">
        <v>63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2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>U2025</v>
      </c>
      <c r="C23" s="31">
        <f t="shared" si="3"/>
        <v>92</v>
      </c>
      <c r="D23" s="32" t="s">
        <v>836</v>
      </c>
      <c r="E23" s="33">
        <v>2</v>
      </c>
      <c r="F23" s="36">
        <v>22</v>
      </c>
      <c r="G23" s="36">
        <v>25</v>
      </c>
      <c r="H23" s="38" t="str">
        <f t="shared" si="8"/>
        <v>SCOUTING</v>
      </c>
      <c r="I23" s="34">
        <v>194</v>
      </c>
      <c r="J23" s="13" t="s">
        <v>4</v>
      </c>
      <c r="K23" s="13" t="s">
        <v>62</v>
      </c>
      <c r="L23" s="13" t="s">
        <v>6</v>
      </c>
      <c r="M23" s="13" t="s">
        <v>28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>U2025</v>
      </c>
      <c r="C24" s="31">
        <f t="shared" si="3"/>
        <v>92</v>
      </c>
      <c r="D24" s="32" t="s">
        <v>837</v>
      </c>
      <c r="E24" s="33">
        <v>2</v>
      </c>
      <c r="F24" s="36">
        <v>29</v>
      </c>
      <c r="G24" s="36">
        <v>29</v>
      </c>
      <c r="H24" s="38" t="str">
        <f t="shared" si="8"/>
        <v>SCOUTING</v>
      </c>
      <c r="I24" s="34">
        <v>223</v>
      </c>
      <c r="J24" s="13" t="s">
        <v>4</v>
      </c>
      <c r="K24" s="13" t="s">
        <v>62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>U2025</v>
      </c>
      <c r="C25" s="31">
        <f t="shared" si="3"/>
        <v>92</v>
      </c>
      <c r="D25" s="32" t="s">
        <v>838</v>
      </c>
      <c r="E25" s="33">
        <v>3</v>
      </c>
      <c r="F25" s="36">
        <v>50</v>
      </c>
      <c r="G25" s="36">
        <v>53</v>
      </c>
      <c r="H25" s="38" t="str">
        <f t="shared" si="8"/>
        <v>SCOUTING</v>
      </c>
      <c r="I25" s="34">
        <v>363</v>
      </c>
      <c r="J25" s="13" t="s">
        <v>4</v>
      </c>
      <c r="K25" s="13" t="s">
        <v>62</v>
      </c>
      <c r="L25" s="13" t="s">
        <v>47</v>
      </c>
      <c r="M25" s="13" t="s">
        <v>168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REPORT_U2025092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"U2025092"</v>
      </c>
      <c r="F3" s="45" t="str">
        <f t="shared" ref="F3:F16" si="0">""""&amp;B3&amp;"""" &amp; " : " &amp;C3&amp;","</f>
        <v>"name" : "U2025092",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"U092"</v>
      </c>
      <c r="F4" s="45" t="str">
        <f t="shared" si="0"/>
        <v>"cod" : "U092",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092</v>
      </c>
      <c r="F6" s="45" t="str">
        <f t="shared" si="0"/>
        <v>"number" : 092,</v>
      </c>
    </row>
    <row r="7" spans="2:6" x14ac:dyDescent="0.2">
      <c r="B7" s="43" t="s">
        <v>116</v>
      </c>
      <c r="C7" s="43" t="str">
        <f ca="1">""""&amp;TEXT('SCOUT &amp; LOGISTICS'!B3,"dd/mm/aaaa")&amp;""""</f>
        <v>"10/12/Wednesday"</v>
      </c>
      <c r="F7" s="45" t="str">
        <f t="shared" ca="1" si="0"/>
        <v>"date" : "10/12/Wednesday",</v>
      </c>
    </row>
    <row r="8" spans="2:6" x14ac:dyDescent="0.2">
      <c r="B8" s="43" t="s">
        <v>125</v>
      </c>
      <c r="C8" s="43" t="str">
        <f>""""&amp;'SCOUT &amp; LOGISTICS'!D4 &amp;""""</f>
        <v>"Bahcesehir College Istanbul"</v>
      </c>
      <c r="F8" s="45" t="str">
        <f t="shared" si="0"/>
        <v>"home_team" : "Bahcesehir College Istanbul",</v>
      </c>
    </row>
    <row r="9" spans="2:6" x14ac:dyDescent="0.2">
      <c r="B9" s="43" t="s">
        <v>126</v>
      </c>
      <c r="C9" s="43" t="str">
        <f>""""&amp;'SCOUT &amp; LOGISTICS'!D5&amp;""""</f>
        <v>"U-BT Cluj-Napoca"</v>
      </c>
      <c r="F9" s="45" t="str">
        <f t="shared" si="0"/>
        <v>"away_team" : "U-BT Cluj-Napoca",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"YUKSEL NAZLIGUL"</v>
      </c>
      <c r="F13" s="45" t="str">
        <f t="shared" si="0"/>
        <v>"Timerkeeper" : "YUKSEL NAZLIGUL",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"ALPKAN HACIYAKUPOGLU"</v>
      </c>
      <c r="F14" s="45" t="str">
        <f t="shared" si="0"/>
        <v>"Shotclock" : "ALPKAN HACIYAKUPOGLU",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579</v>
      </c>
      <c r="F25" s="45" t="str">
        <f t="shared" ref="F25:F48" si="1">""""&amp;C25&amp;"""" &amp; " : " &amp;D25&amp;","</f>
        <v>"total_actions" : 579,</v>
      </c>
    </row>
    <row r="26" spans="2:6" x14ac:dyDescent="0.2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">
      <c r="C27" s="43" t="s">
        <v>133</v>
      </c>
      <c r="D27" s="43" t="str">
        <f>""""&amp;IF(OR(D25="",D25=0),"",TEXT(D26/D25,"0,0%"))&amp;""""</f>
        <v>"1,6%"</v>
      </c>
      <c r="F27" s="45" t="str">
        <f t="shared" si="1"/>
        <v>"%_corrections" : "1,6%",</v>
      </c>
    </row>
    <row r="28" spans="2:6" x14ac:dyDescent="0.2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6</v>
      </c>
      <c r="F31" s="45" t="str">
        <f t="shared" si="1"/>
        <v>"q1" : 6,</v>
      </c>
    </row>
    <row r="32" spans="2:6" x14ac:dyDescent="0.2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2</v>
      </c>
      <c r="F36" s="45" t="str">
        <f t="shared" si="1"/>
        <v>"boxscore_corrections" : 2,</v>
      </c>
    </row>
    <row r="37" spans="3:6" x14ac:dyDescent="0.2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"Weird first quarter with too many corrections in your case, but then you really really fixed it at the second half and reached your usual level (if not better). "</v>
      </c>
      <c r="F51" s="45" t="str">
        <f>""""&amp;B51&amp;"""" &amp; " : " &amp;C51&amp;","</f>
        <v>"comments" : "Weird first quarter with too many corrections in your case, but then you really really fixed it at the second half and reached your usual level (if not better). ",</v>
      </c>
    </row>
    <row r="52" spans="2:6" x14ac:dyDescent="0.2">
      <c r="B52" s="43" t="s">
        <v>153</v>
      </c>
      <c r="C52" s="43" t="str">
        <f>TEXT('SCOUT &amp; LOGISTICS'!F1,"0,0")</f>
        <v>10_092_BAH_CLU_U2025</v>
      </c>
      <c r="F52" s="45" t="str">
        <f>""""&amp;B52&amp;"""" &amp; " : " &amp;C52</f>
        <v>"result" : 10_092_BAH_CLU_U2025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U092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10/12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Bahcesehir College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U-Bt Cluj-Napoca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SERTAC DOSTEL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YUKSEL NAZLIGUL</v>
      </c>
      <c r="R8" s="206"/>
      <c r="S8" s="206"/>
      <c r="T8" s="206"/>
      <c r="U8" s="206"/>
      <c r="V8" s="206" t="str">
        <f>IF('SCOUT &amp; LOGISTICS'!D10="","",'SCOUT &amp; LOGISTICS'!D10)</f>
        <v>ALPKAN HACIYAKUPOGLU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579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9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1.5544041450777202E-2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6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6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2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1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 xml:space="preserve">Weird first quarter with too many corrections in your case, but then you really really fixed it at the second half and reached your usual level (if not better).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12.05440414507772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CD8030-F6E5-45E5-931C-10C9867C488F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2025-12-10T16:17:45Z</cp:lastPrinted>
  <dcterms:created xsi:type="dcterms:W3CDTF">2023-09-19T19:50:35Z</dcterms:created>
  <dcterms:modified xsi:type="dcterms:W3CDTF">2025-12-11T17:33:01Z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