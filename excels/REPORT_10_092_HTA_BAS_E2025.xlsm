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643EE266-9590-43AB-9305-0FEE1689C2A5}" xr6:coauthVersionLast="47" xr6:coauthVersionMax="47" xr10:uidLastSave="{639B0A2C-916C-4760-BD48-599313829D02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<sst xmlns="http://schemas.openxmlformats.org/spreadsheetml/2006/main" count="3256" uniqueCount="760">
  <si>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</si>
  <si>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</si>
  <si>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</si>
  <si>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</si>
  <si>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</si>
  <si>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</si>
  <si>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</si>
  <si>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</si>
  <si>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</si>
  <si>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</si>
  <si>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</si>
  <si>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</si>
  <si>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</si>
  <si>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</si>
  <si>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</si>
  <si>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</si>
  <si>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</si>
  <si>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</si>
  <si>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</si>
  <si>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</si>
  <si>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</si>
  <si>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</si>
  <si>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</si>
  <si>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</si>
  <si>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</si>
  <si>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</si>
  <si>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</si>
  <si>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</si>
  <si>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</si>
  <si>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</si>
  <si>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</si>
  <si>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</si>
  <si>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</si>
  <si>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</si>
  <si>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</si>
  <si>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</si>
  <si>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</si>
  <si>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</si>
  <si>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</si>
  <si>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</si>
  <si>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</si>
  <si>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</si>
  <si>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</si>
  <si>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</si>
  <si>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</si>
  <si>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</si>
  <si>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</si>
  <si>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</si>
  <si>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</si>
  <si>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</si>
  <si>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</si>
  <si>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</si>
  <si>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</si>
  <si>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</si>
  <si>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</si>
  <si>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</si>
  <si>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</si>
  <si>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</si>
  <si>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</si>
  <si>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</si>
  <si>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</si>
  <si>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</si>
  <si>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</si>
  <si>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</si>
  <si>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</si>
  <si>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</si>
  <si>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</si>
  <si>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</si>
  <si>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</si>
  <si>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</si>
  <si>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</si>
  <si>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</si>
  <si>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</si>
  <si>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</si>
  <si>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</si>
  <si>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</si>
  <si>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</si>
  <si>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</si>
  <si>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</si>
  <si>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</si>
  <si>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</si>
  <si>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</si>
  <si>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</si>
  <si>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</si>
  <si>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</si>
  <si>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</si>
  <si>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</si>
  <si>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</si>
  <si>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</si>
  <si>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</si>
  <si>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</si>
  <si>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</si>
  <si>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</si>
  <si>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</si>
  <si>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</si>
  <si>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</si>
  <si>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</si>
  <si>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</si>
  <si>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</si>
  <si>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</si>
  <si>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</si>
  <si>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</si>
  <si>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</si>
  <si>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</si>
  <si>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</si>
  <si>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</si>
  <si>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</si>
  <si>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</si>
  <si>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</si>
  <si>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</si>
  <si>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</si>
  <si>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</si>
  <si>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</si>
  <si>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</si>
  <si>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</si>
  <si>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</si>
  <si>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</si>
  <si>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</si>
  <si>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</si>
  <si>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</si>
  <si>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</si>
  <si>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</si>
  <si>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</si>
  <si>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</si>
  <si>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</si>
  <si>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</si>
  <si>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</si>
  <si>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</si>
  <si>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</si>
  <si>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</si>
  <si>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</si>
  <si>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</si>
  <si>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</si>
  <si>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</si>
  <si>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</si>
  <si>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</si>
  <si>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</si>
  <si>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</si>
  <si>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</si>
  <si>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</si>
  <si>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</si>
  <si>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</si>
  <si>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</si>
  <si>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</si>
  <si>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</si>
  <si>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</si>
  <si>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</si>
  <si>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</si>
  <si>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</si>
  <si>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</si>
  <si>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</si>
  <si>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</si>
  <si>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</si>
  <si>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</si>
  <si>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</si>
  <si>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</si>
  <si>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</si>
  <si>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</si>
  <si>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</si>
  <si>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</si>
  <si>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</si>
  <si>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</si>
  <si>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</si>
  <si>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</si>
  <si>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</si>
  <si>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</si>
  <si>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</si>
  <si>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</si>
  <si>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</si>
  <si>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</si>
  <si>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</si>
  <si>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</si>
  <si>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</si>
  <si>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</si>
  <si>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</si>
  <si>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</si>
  <si>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</si>
  <si>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</si>
  <si>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</si>
  <si>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</si>
  <si>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</si>
  <si>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</si>
  <si>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</si>
  <si>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</si>
  <si>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</si>
  <si>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</si>
  <si>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</si>
  <si>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</si>
  <si>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</si>
  <si>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</si>
  <si>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</si>
  <si>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</si>
  <si>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</si>
  <si>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</si>
  <si>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</si>
  <si>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</si>
  <si>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</si>
  <si>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</si>
  <si>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</si>
  <si>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</si>
  <si>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</si>
  <si>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</si>
  <si>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</si>
  <si>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</si>
  <si>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</si>
  <si>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</si>
  <si>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</si>
  <si>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</si>
  <si>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</si>
  <si>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</si>
  <si>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</si>
  <si>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</si>
  <si>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</si>
  <si>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</si>
  <si>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</si>
  <si>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</si>
  <si>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</si>
  <si>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</si>
  <si>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</si>
  <si>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</si>
  <si>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</si>
  <si>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</si>
  <si>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</si>
  <si>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</si>
  <si>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</si>
  <si>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</si>
  <si>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</si>
  <si>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</si>
  <si>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</si>
  <si>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</si>
  <si>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</si>
  <si>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</si>
  <si>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</si>
  <si>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</si>
  <si>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</si>
  <si>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</si>
  <si>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</si>
  <si>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</si>
  <si>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</si>
  <si>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</si>
  <si>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</si>
  <si>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</si>
  <si>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</si>
  <si>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</si>
  <si>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</si>
  <si>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</si>
  <si>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</si>
  <si>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</si>
  <si>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</si>
  <si>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</si>
  <si>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</si>
  <si>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</si>
  <si>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</si>
  <si>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</si>
  <si>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</si>
  <si>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</si>
  <si>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</si>
  <si>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</si>
  <si>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</si>
  <si>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</si>
  <si>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</si>
  <si>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</si>
  <si>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</si>
  <si>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</si>
  <si>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</si>
  <si>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</si>
  <si>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</si>
  <si>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</si>
  <si>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</si>
  <si>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</si>
  <si>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</si>
  <si>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</si>
  <si>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</si>
  <si>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</si>
  <si>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</si>
  <si>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</si>
  <si>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</si>
  <si>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</si>
  <si>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</si>
  <si>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</si>
  <si>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</si>
  <si>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</si>
  <si>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</si>
  <si>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</si>
  <si>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</si>
  <si>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</si>
  <si>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</si>
  <si>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</si>
  <si>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</si>
  <si>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</si>
  <si>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</si>
  <si>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</si>
  <si>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</si>
  <si>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</si>
  <si>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</si>
  <si>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</si>
  <si>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</si>
  <si>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</si>
  <si>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</si>
  <si>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</si>
  <si>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</si>
  <si>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</si>
  <si>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</si>
  <si>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</si>
  <si>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</si>
  <si>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</si>
  <si>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</si>
  <si>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</si>
  <si>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</si>
  <si>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</si>
  <si>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</si>
  <si>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</si>
  <si>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</si>
  <si>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</si>
  <si>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</si>
  <si>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</si>
  <si>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</si>
  <si>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</si>
  <si>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</si>
  <si>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</si>
  <si>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</si>
  <si>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</si>
  <si>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</si>
  <si>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</si>
  <si>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</si>
  <si>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</si>
  <si>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</si>
  <si>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</si>
  <si>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</si>
  <si>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</si>
  <si>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</si>
  <si>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</si>
  <si>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</si>
  <si>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</si>
  <si>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</si>
  <si>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</si>
  <si>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</si>
  <si>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</si>
  <si>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</si>
  <si>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</si>
  <si>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</si>
  <si>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</si>
  <si>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</si>
  <si>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</si>
  <si>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</si>
  <si>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</si>
  <si>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</si>
  <si>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</si>
  <si>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</si>
  <si>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</si>
  <si>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</si>
  <si>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</si>
  <si>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</si>
  <si>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</si>
  <si>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</si>
  <si>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</si>
  <si>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</si>
  <si>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</si>
  <si>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</si>
  <si>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</si>
  <si>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</si>
  <si>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</si>
  <si>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</si>
  <si>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</si>
  <si>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</si>
  <si>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</si>
  <si>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</si>
  <si>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</si>
  <si>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</si>
  <si>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</si>
  <si>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</si>
  <si>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</si>
  <si>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</si>
  <si>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</si>
  <si>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</si>
  <si>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</si>
  <si>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</si>
  <si>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</si>
  <si>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</si>
  <si>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</si>
  <si>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</si>
  <si>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</si>
  <si>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</si>
  <si>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</si>
  <si>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</si>
  <si>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</si>
  <si>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</si>
  <si>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</si>
  <si>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</si>
  <si>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</si>
  <si>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</si>
  <si>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</si>
  <si>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</si>
  <si>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</si>
  <si>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</si>
  <si>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</si>
  <si>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</si>
  <si>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</si>
  <si>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</si>
  <si>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</si>
  <si>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</si>
  <si>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</si>
  <si>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</si>
  <si>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</si>
  <si>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</si>
  <si>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</si>
  <si>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</si>
  <si>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</si>
  <si>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</si>
  <si>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</si>
  <si>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</si>
  <si>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</si>
  <si>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</si>
  <si>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</si>
  <si>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</si>
  <si>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</si>
  <si>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</si>
  <si>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</si>
  <si>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</si>
  <si>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</si>
  <si>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</si>
  <si>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</si>
  <si>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</si>
  <si>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</si>
  <si>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</si>
  <si>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</si>
  <si>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</si>
  <si>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</si>
  <si>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</si>
  <si>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</si>
  <si>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</si>
  <si>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</si>
  <si>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</si>
  <si>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</si>
  <si>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</si>
  <si>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</si>
  <si>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</si>
  <si>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</si>
  <si>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</si>
  <si>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</si>
  <si>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</si>
  <si>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</si>
  <si>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</si>
  <si>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</si>
  <si>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</si>
  <si>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</si>
  <si>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</si>
  <si>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</si>
  <si>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</si>
  <si>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</si>
  <si>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</si>
  <si>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</si>
  <si>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</si>
  <si>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</si>
  <si>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</si>
  <si>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</si>
  <si>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</si>
  <si>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</si>
  <si>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</si>
  <si>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</si>
  <si>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</si>
  <si>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</si>
  <si>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</si>
  <si>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</si>
  <si>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</si>
  <si>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</si>
  <si>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</si>
  <si>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</si>
  <si>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</si>
  <si>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</si>
  <si>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</si>
  <si>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</si>
  <si>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</si>
  <si>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</si>
  <si>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</si>
  <si>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</si>
  <si>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</si>
  <si>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</si>
  <si>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</si>
  <si>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</si>
  <si>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</si>
  <si>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</si>
  <si>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</si>
  <si>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</si>
  <si>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</si>
  <si>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</si>
  <si>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</si>
  <si>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</si>
  <si>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</si>
  <si>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</si>
  <si>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</si>
  <si>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</si>
  <si>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</si>
  <si>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</si>
  <si>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</si>
  <si>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</si>
  <si>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</si>
  <si>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</si>
  <si>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</si>
  <si>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</si>
  <si>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</si>
  <si>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</si>
  <si>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</si>
  <si>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</si>
  <si>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</si>
  <si>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</si>
  <si>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</si>
  <si>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</si>
  <si>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</si>
  <si>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</si>
  <si>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</si>
  <si>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</si>
  <si>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</si>
  <si>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</si>
  <si>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</si>
  <si>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</si>
  <si>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</si>
  <si>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</si>
  <si>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</si>
  <si>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</si>
  <si>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</si>
  <si>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</si>
  <si>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</si>
  <si>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</si>
  <si>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</si>
  <si>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</si>
  <si>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</si>
  <si>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</si>
  <si>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</si>
  <si>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</si>
  <si>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</si>
  <si>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</si>
  <si>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</si>
  <si>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</si>
  <si>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</si>
  <si>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</si>
  <si>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</si>
  <si>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</si>
  <si>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</si>
  <si>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</si>
  <si>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</si>
  <si>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</si>
  <si>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</si>
  <si>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</si>
  <si>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</si>
  <si>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</si>
  <si>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</si>
  <si>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</si>
  <si>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</si>
  <si>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</si>
  <si>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</si>
  <si>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</si>
  <si>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</si>
  <si>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</si>
  <si>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</si>
  <si>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</si>
  <si>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</si>
  <si>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</si>
  <si>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</si>
  <si>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</si>
  <si>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</si>
  <si>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</si>
  <si>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</si>
  <si>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</si>
  <si>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</si>
  <si>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</si>
  <si>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</si>
  <si>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</si>
  <si>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</si>
  <si>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</si>
  <si>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</si>
  <si>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</si>
  <si>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</si>
  <si>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</si>
  <si>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</si>
  <si>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</si>
  <si>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</si>
  <si>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</si>
  <si>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</si>
  <si>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</si>
  <si>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</si>
  <si>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</si>
  <si>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</si>
  <si>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</si>
  <si>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</si>
  <si>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</si>
  <si>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</si>
  <si>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</si>
  <si>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</si>
  <si>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</si>
  <si>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</si>
  <si>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</si>
  <si>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</si>
  <si>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</si>
  <si>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</si>
  <si>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</si>
  <si>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</si>
  <si>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</si>
  <si>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</si>
  <si>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</si>
  <si>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</si>
  <si>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</si>
  <si>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</si>
  <si>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</si>
  <si>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</si>
  <si>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</si>
  <si>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</si>
  <si>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</si>
  <si>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</si>
  <si>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</si>
  <si>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</si>
  <si>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</si>
  <si>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</si>
  <si>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</si>
  <si>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</si>
  <si>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</si>
  <si>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</si>
  <si>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</si>
  <si>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</si>
  <si>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</si>
  <si>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</si>
  <si>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</si>
  <si>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</si>
  <si>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</si>
  <si>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</si>
  <si>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</si>
  <si>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</si>
  <si>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</si>
  <si>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</si>
  <si>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</si>
  <si>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</si>
  <si>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</si>
  <si>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</si>
  <si>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</si>
  <si>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</si>
  <si>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</si>
  <si>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</si>
  <si>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</si>
  <si>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</si>
  <si>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</si>
  <si>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</si>
  <si>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</si>
  <si>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</si>
  <si>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</si>
  <si>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</si>
  <si>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</si>
  <si>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</si>
  <si>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</si>
  <si>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</si>
  <si>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</si>
  <si>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</si>
  <si>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</si>
  <si>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</si>
  <si>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</si>
  <si>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</si>
  <si>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</si>
  <si>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</si>
  <si>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</si>
  <si>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</si>
  <si>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</si>
  <si>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</si>
  <si>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</si>
  <si>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</si>
  <si>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</si>
  <si>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</si>
  <si>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</si>
  <si>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</si>
  <si>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</si>
  <si>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</si>
  <si>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</si>
  <si>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</si>
  <si>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</si>
  <si>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</si>
  <si>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</si>
  <si>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</si>
  <si>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</si>
  <si>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</si>
  <si>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</si>
  <si>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</si>
  <si>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</si>
  <si>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</si>
  <si>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</si>
  <si>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</si>
  <si>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</si>
  <si>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</si>
  <si>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</si>
  <si>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</si>
  <si>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</si>
  <si>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</si>
  <si>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</si>
  <si>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</si>
  <si>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</si>
  <si>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</si>
  <si>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</si>
  <si>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</si>
  <si>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</si>
  <si>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</si>
  <si>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</si>
  <si>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</si>
  <si>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</si>
  <si>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</si>
  <si>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</si>
  <si>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</si>
  <si>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</si>
  <si>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</si>
  <si>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</si>
  <si>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</si>
  <si>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</si>
  <si>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</si>
  <si>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</si>
  <si>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</si>
  <si>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</si>
  <si>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</si>
  <si>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</si>
  <si>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</si>
  <si>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</si>
  <si>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</si>
  <si>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</si>
  <si>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</si>
  <si>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</si>
  <si>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</si>
  <si>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</si>
  <si>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</si>
  <si>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</si>
  <si>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</si>
  <si>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</si>
  <si>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</si>
  <si>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</si>
  <si>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</si>
  <si>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</si>
  <si>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</si>
  <si>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</si>
  <si>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</si>
  <si>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</si>
  <si>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</si>
  <si>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</si>
  <si>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</si>
  <si>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</si>
  <si>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</si>
  <si>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</si>
  <si>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</si>
  <si>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</si>
  <si>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</si>
  <si>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</si>
  <si>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</si>
  <si>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</si>
  <si>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</si>
  <si>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</si>
  <si>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</si>
  <si>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</si>
  <si>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</si>
  <si>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VERY EARLY ON SET, ALL TESTS DONE, AND FOLLOWING THE PREGAME VERY ACCURATELY</t>
  </si>
  <si>
    <t>VERY GOOD JOB. MINIMAL CORRECTIONS (NO MISTAKES). SMALL EDITIONS. CONGRATS.</t>
  </si>
  <si>
    <t>MONIKA NEDYALKOVA</t>
  </si>
  <si>
    <t>ANASTASIOS KARIOFYLIS</t>
  </si>
  <si>
    <t>SOLON MINAS</t>
  </si>
  <si>
    <t>ANGELOS KALOGERAKOS</t>
  </si>
  <si>
    <t>8:59</t>
  </si>
  <si>
    <t>corrected the fouler</t>
  </si>
  <si>
    <t>7:42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</si>
</sst>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18" sqref="N1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10_092_HTA_BAS_E2025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45972.878472222219</v>
      </c>
      <c r="C3" s="157"/>
      <c r="D3" s="39">
        <v>562</v>
      </c>
      <c r="E3" s="29"/>
      <c r="F3" s="26">
        <f>SUBTOTAL(3,I17:I106)</f>
        <v>2</v>
      </c>
      <c r="G3" s="27">
        <f>IF(OR(D3="",D3=0),"",F3/D3)</f>
        <v>3.5587188612099642E-3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3.5587188612099642E-3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0.35587188612099641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753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1.8558718861209964</v>
      </c>
      <c r="N7" s="58"/>
      <c r="O7" s="2"/>
      <c r="P7" s="2"/>
      <c r="Q7" s="86">
        <f>SUM(R5,S5,AC16)</f>
        <v>1.8558718861209964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754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1.8558718861209964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26.2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92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751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92</v>
      </c>
      <c r="D17" s="32" t="s">
        <v>757</v>
      </c>
      <c r="E17" s="33">
        <v>3</v>
      </c>
      <c r="F17" s="36">
        <v>60</v>
      </c>
      <c r="G17" s="36">
        <v>51</v>
      </c>
      <c r="H17" s="38" t="str">
        <f>IF(I17="","",$I$14)</f>
        <v>SCOUTING</v>
      </c>
      <c r="I17" s="34">
        <v>281</v>
      </c>
      <c r="J17" s="13" t="s">
        <v>3</v>
      </c>
      <c r="K17" s="13" t="s">
        <v>63</v>
      </c>
      <c r="L17" s="13" t="s">
        <v>6</v>
      </c>
      <c r="M17" s="13" t="s">
        <v>8</v>
      </c>
      <c r="N17" s="35" t="s">
        <v>758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92</v>
      </c>
      <c r="D18" s="32" t="s">
        <v>759</v>
      </c>
      <c r="E18" s="33">
        <v>3</v>
      </c>
      <c r="F18" s="36">
        <v>65</v>
      </c>
      <c r="G18" s="36">
        <v>53</v>
      </c>
      <c r="H18" s="38" t="str">
        <f t="shared" ref="H18:H81" si="8">IF(I18="","",$I$14)</f>
        <v>SCOUTING</v>
      </c>
      <c r="I18" s="34">
        <v>300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REPORT_E2025092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"E2025092"</v>
      </c>
      <c r="F3" s="45" t="str">
        <f t="shared" ref="F3:F16" si="0">""""&amp;B3&amp;"""" &amp; " : " &amp;C3&amp;","</f>
        <v>"name" : "E2025092",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"E092"</v>
      </c>
      <c r="F4" s="45" t="str">
        <f t="shared" si="0"/>
        <v>"cod" : "E092",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092</v>
      </c>
      <c r="F6" s="45" t="str">
        <f t="shared" si="0"/>
        <v>"number" : 092,</v>
      </c>
    </row>
    <row r="7" spans="2:6" x14ac:dyDescent="0.2">
      <c r="B7" s="43" t="s">
        <v>116</v>
      </c>
      <c r="C7" s="43" t="str">
        <f ca="1">""""&amp;TEXT('SCOUT &amp; LOGISTICS'!B3,"dd/mm/aaaa")&amp;""""</f>
        <v>"11/11/2025"</v>
      </c>
      <c r="F7" s="45" t="str">
        <f t="shared" ca="1" si="0"/>
        <v>"date" : "11/11/2025",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"MONIKA NEDYALKOVA"</v>
      </c>
      <c r="F11" s="45" t="str">
        <f t="shared" si="0"/>
        <v>"Caller_1" : "MONIKA NEDYALKOVA",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"ANASTASIOS KARIOFYLIS"</v>
      </c>
      <c r="F12" s="45" t="str">
        <f t="shared" si="0"/>
        <v>"Caller_2" : "ANASTASIOS KARIOFYLIS",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"SOLON MINAS"</v>
      </c>
      <c r="F13" s="45" t="str">
        <f t="shared" si="0"/>
        <v>"Timerkeeper" : "SOLON MINAS",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"ANGELOS KALOGERAKOS"</v>
      </c>
      <c r="F14" s="45" t="str">
        <f t="shared" si="0"/>
        <v>"Shotclock" : "ANGELOS KALOGERAKOS",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562</v>
      </c>
      <c r="F25" s="45" t="str">
        <f t="shared" ref="F25:F48" si="1">""""&amp;C25&amp;"""" &amp; " : " &amp;D25&amp;","</f>
        <v>"total_actions" : 562,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JOB. MINIMAL CORRECTIONS (NO MISTAKES). SMALL EDITIONS. CONGRATS."</v>
      </c>
      <c r="F51" s="45" t="str">
        <f>""""&amp;B51&amp;"""" &amp; " : " &amp;C51&amp;","</f>
        <v>"comments" : "VERY GOOD JOB. MINIMAL CORRECTIONS (NO MISTAKES). SMALL EDITIONS. CONGRATS.",</v>
      </c>
    </row>
    <row r="52" spans="2:6" x14ac:dyDescent="0.2">
      <c r="B52" s="43" t="s">
        <v>153</v>
      </c>
      <c r="C52" s="43" t="str">
        <f>TEXT('SCOUT &amp; LOGISTICS'!F1,"0,0")</f>
        <v>10_092_HTA_BAS_E2025</v>
      </c>
      <c r="F52" s="45" t="str">
        <f>""""&amp;B52&amp;"""" &amp; " : " &amp;C52</f>
        <v>"result" : 10_092_HTA_BAS_E2025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E092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11/11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MONIKA NEDYALKOVA</v>
      </c>
      <c r="H8" s="206"/>
      <c r="I8" s="206"/>
      <c r="J8" s="206"/>
      <c r="K8" s="206"/>
      <c r="L8" s="206" t="str">
        <f>IF('SCOUT &amp; LOGISTICS'!D8="","",'SCOUT &amp; LOGISTICS'!D8)</f>
        <v>ANASTASIOS KARIOFYLIS</v>
      </c>
      <c r="M8" s="206"/>
      <c r="N8" s="206"/>
      <c r="O8" s="206"/>
      <c r="P8" s="206"/>
      <c r="Q8" s="206" t="str">
        <f>IF('SCOUT &amp; LOGISTICS'!D9="","",'SCOUT &amp; LOGISTICS'!D9)</f>
        <v>SOLON MINAS</v>
      </c>
      <c r="R8" s="206"/>
      <c r="S8" s="206"/>
      <c r="T8" s="206"/>
      <c r="U8" s="206"/>
      <c r="V8" s="206" t="str">
        <f>IF('SCOUT &amp; LOGISTICS'!D10="","",'SCOUT &amp; LOGISTICS'!D10)</f>
        <v>ANGELOS KALOGERAKOS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562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3.5587188612099642E-3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JOB. MINIMAL CORRECTIONS (NO MISTAKES). SMALL EDITIONS. CONGRATS.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1.8558718861209964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F7895B-6700-45C0-B005-C4CED0DBBBE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2025-11-11T21:06:40Z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