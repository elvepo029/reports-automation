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61" documentId="8_{7250755A-A268-42C6-B363-6C93229D5596}" xr6:coauthVersionLast="47" xr6:coauthVersionMax="47" xr10:uidLastSave="{EEA2B049-168A-465F-9CCE-9878E5C46686}"/>
  <bookViews>
    <workbookView minimized="1" xWindow="1560" yWindow="2800" windowWidth="14400" windowHeight="728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<sst xmlns="http://schemas.openxmlformats.org/spreadsheetml/2006/main" count="3270" uniqueCount="763">
  <si>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</si>
  <si>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</si>
  <si>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</si>
  <si>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</si>
  <si>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</si>
  <si>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</si>
  <si>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</si>
  <si>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</si>
  <si>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</si>
  <si>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</si>
  <si>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</si>
  <si>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</si>
  <si>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</si>
  <si>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</si>
  <si>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</si>
  <si>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</si>
  <si>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</si>
  <si>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</si>
  <si>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</si>
  <si>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</si>
  <si>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</si>
  <si>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</si>
  <si>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</si>
  <si>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</si>
  <si>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</si>
  <si>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</si>
  <si>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</si>
  <si>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</si>
  <si>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</si>
  <si>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</si>
  <si>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</si>
  <si>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</si>
  <si>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</si>
  <si>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</si>
  <si>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</si>
  <si>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</si>
  <si>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</si>
  <si>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</si>
  <si>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</si>
  <si>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</si>
  <si>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</si>
  <si>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</si>
  <si>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</si>
  <si>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</si>
  <si>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</si>
  <si>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</si>
  <si>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</si>
  <si>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</si>
  <si>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</si>
  <si>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</si>
  <si>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</si>
  <si>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</si>
  <si>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</si>
  <si>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</si>
  <si>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</si>
  <si>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</si>
  <si>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</si>
  <si>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</si>
  <si>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</si>
  <si>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</si>
  <si>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</si>
  <si>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</si>
  <si>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</si>
  <si>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</si>
  <si>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</si>
  <si>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</si>
  <si>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</si>
  <si>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</si>
  <si>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</si>
  <si>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</si>
  <si>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</si>
  <si>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</si>
  <si>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</si>
  <si>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</si>
  <si>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</si>
  <si>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</si>
  <si>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</si>
  <si>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</si>
  <si>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</si>
  <si>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</si>
  <si>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</si>
  <si>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</si>
  <si>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</si>
  <si>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</si>
  <si>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</si>
  <si>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</si>
  <si>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</si>
  <si>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</si>
  <si>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</si>
  <si>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</si>
  <si>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</si>
  <si>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</si>
  <si>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</si>
  <si>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</si>
  <si>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</si>
  <si>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</si>
  <si>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</si>
  <si>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</si>
  <si>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</si>
  <si>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</si>
  <si>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</si>
  <si>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</si>
  <si>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</si>
  <si>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</si>
  <si>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</si>
  <si>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</si>
  <si>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</si>
  <si>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</si>
  <si>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</si>
  <si>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</si>
  <si>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</si>
  <si>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</si>
  <si>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</si>
  <si>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</si>
  <si>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</si>
  <si>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</si>
  <si>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</si>
  <si>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</si>
  <si>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</si>
  <si>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</si>
  <si>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</si>
  <si>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</si>
  <si>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</si>
  <si>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</si>
  <si>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</si>
  <si>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</si>
  <si>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</si>
  <si>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</si>
  <si>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</si>
  <si>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</si>
  <si>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</si>
  <si>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</si>
  <si>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</si>
  <si>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</si>
  <si>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</si>
  <si>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</si>
  <si>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</si>
  <si>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</si>
  <si>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</si>
  <si>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</si>
  <si>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</si>
  <si>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</si>
  <si>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</si>
  <si>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</si>
  <si>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</si>
  <si>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</si>
  <si>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</si>
  <si>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</si>
  <si>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</si>
  <si>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</si>
  <si>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</si>
  <si>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</si>
  <si>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</si>
  <si>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</si>
  <si>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</si>
  <si>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</si>
  <si>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</si>
  <si>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</si>
  <si>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</si>
  <si>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</si>
  <si>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</si>
  <si>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</si>
  <si>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</si>
  <si>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</si>
  <si>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</si>
  <si>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</si>
  <si>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</si>
  <si>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</si>
  <si>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</si>
  <si>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</si>
  <si>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</si>
  <si>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</si>
  <si>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</si>
  <si>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</si>
  <si>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</si>
  <si>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</si>
  <si>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</si>
  <si>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</si>
  <si>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</si>
  <si>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</si>
  <si>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</si>
  <si>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</si>
  <si>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</si>
  <si>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</si>
  <si>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</si>
  <si>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</si>
  <si>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</si>
  <si>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</si>
  <si>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</si>
  <si>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</si>
  <si>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</si>
  <si>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</si>
  <si>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</si>
  <si>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</si>
  <si>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</si>
  <si>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</si>
  <si>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</si>
  <si>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</si>
  <si>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</si>
  <si>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</si>
  <si>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</si>
  <si>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</si>
  <si>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</si>
  <si>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</si>
  <si>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</si>
  <si>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</si>
  <si>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</si>
  <si>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</si>
  <si>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</si>
  <si>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</si>
  <si>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</si>
  <si>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</si>
  <si>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</si>
  <si>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</si>
  <si>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</si>
  <si>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</si>
  <si>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</si>
  <si>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</si>
  <si>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</si>
  <si>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</si>
  <si>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</si>
  <si>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</si>
  <si>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</si>
  <si>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</si>
  <si>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</si>
  <si>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</si>
  <si>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</si>
  <si>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</si>
  <si>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</si>
  <si>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</si>
  <si>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</si>
  <si>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</si>
  <si>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</si>
  <si>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</si>
  <si>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</si>
  <si>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</si>
  <si>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</si>
  <si>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</si>
  <si>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</si>
  <si>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</si>
  <si>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</si>
  <si>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</si>
  <si>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</si>
  <si>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</si>
  <si>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</si>
  <si>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</si>
  <si>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</si>
  <si>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</si>
  <si>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</si>
  <si>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</si>
  <si>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</si>
  <si>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</si>
  <si>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</si>
  <si>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</si>
  <si>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</si>
  <si>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</si>
  <si>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</si>
  <si>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</si>
  <si>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</si>
  <si>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</si>
  <si>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</si>
  <si>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</si>
  <si>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</si>
  <si>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</si>
  <si>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</si>
  <si>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</si>
  <si>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</si>
  <si>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</si>
  <si>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</si>
  <si>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</si>
  <si>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</si>
  <si>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</si>
  <si>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</si>
  <si>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</si>
  <si>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</si>
  <si>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</si>
  <si>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</si>
  <si>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</si>
  <si>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</si>
  <si>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</si>
  <si>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</si>
  <si>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</si>
  <si>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</si>
  <si>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</si>
  <si>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</si>
  <si>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</si>
  <si>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</si>
  <si>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</si>
  <si>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</si>
  <si>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</si>
  <si>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</si>
  <si>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</si>
  <si>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</si>
  <si>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</si>
  <si>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</si>
  <si>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</si>
  <si>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</si>
  <si>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</si>
  <si>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</si>
  <si>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</si>
  <si>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</si>
  <si>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</si>
  <si>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</si>
  <si>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</si>
  <si>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</si>
  <si>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</si>
  <si>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</si>
  <si>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</si>
  <si>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</si>
  <si>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</si>
  <si>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</si>
  <si>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</si>
  <si>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</si>
  <si>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</si>
  <si>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</si>
  <si>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</si>
  <si>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</si>
  <si>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</si>
  <si>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</si>
  <si>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</si>
  <si>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</si>
  <si>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</si>
  <si>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</si>
  <si>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</si>
  <si>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</si>
  <si>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</si>
  <si>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</si>
  <si>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</si>
  <si>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</si>
  <si>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</si>
  <si>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</si>
  <si>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</si>
  <si>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</si>
  <si>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</si>
  <si>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</si>
  <si>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</si>
  <si>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</si>
  <si>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</si>
  <si>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</si>
  <si>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</si>
  <si>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</si>
  <si>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</si>
  <si>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</si>
  <si>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</si>
  <si>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</si>
  <si>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</si>
  <si>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</si>
  <si>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</si>
  <si>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</si>
  <si>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</si>
  <si>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</si>
  <si>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</si>
  <si>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</si>
  <si>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</si>
  <si>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</si>
  <si>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</si>
  <si>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</si>
  <si>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</si>
  <si>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</si>
  <si>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</si>
  <si>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</si>
  <si>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</si>
  <si>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</si>
  <si>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</si>
  <si>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</si>
  <si>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</si>
  <si>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</si>
  <si>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</si>
  <si>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</si>
  <si>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</si>
  <si>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</si>
  <si>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</si>
  <si>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</si>
  <si>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</si>
  <si>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</si>
  <si>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</si>
  <si>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</si>
  <si>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</si>
  <si>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</si>
  <si>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</si>
  <si>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</si>
  <si>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</si>
  <si>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</si>
  <si>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</si>
  <si>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</si>
  <si>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</si>
  <si>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</si>
  <si>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</si>
  <si>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</si>
  <si>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</si>
  <si>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</si>
  <si>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</si>
  <si>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</si>
  <si>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</si>
  <si>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</si>
  <si>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</si>
  <si>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</si>
  <si>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</si>
  <si>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</si>
  <si>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</si>
  <si>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</si>
  <si>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</si>
  <si>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</si>
  <si>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</si>
  <si>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</si>
  <si>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</si>
  <si>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</si>
  <si>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</si>
  <si>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</si>
  <si>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</si>
  <si>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</si>
  <si>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</si>
  <si>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</si>
  <si>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</si>
  <si>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</si>
  <si>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</si>
  <si>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</si>
  <si>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</si>
  <si>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</si>
  <si>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</si>
  <si>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</si>
  <si>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</si>
  <si>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</si>
  <si>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</si>
  <si>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</si>
  <si>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</si>
  <si>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</si>
  <si>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</si>
  <si>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</si>
  <si>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</si>
  <si>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</si>
  <si>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</si>
  <si>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</si>
  <si>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</si>
  <si>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</si>
  <si>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</si>
  <si>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</si>
  <si>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</si>
  <si>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</si>
  <si>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</si>
  <si>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</si>
  <si>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</si>
  <si>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</si>
  <si>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</si>
  <si>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</si>
  <si>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</si>
  <si>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</si>
  <si>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</si>
  <si>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</si>
  <si>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</si>
  <si>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</si>
  <si>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</si>
  <si>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</si>
  <si>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</si>
  <si>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</si>
  <si>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</si>
  <si>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</si>
  <si>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</si>
  <si>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</si>
  <si>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</si>
  <si>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</si>
  <si>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</si>
  <si>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</si>
  <si>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</si>
  <si>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</si>
  <si>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</si>
  <si>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</si>
  <si>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</si>
  <si>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</si>
  <si>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</si>
  <si>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</si>
  <si>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</si>
  <si>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</si>
  <si>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</si>
  <si>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</si>
  <si>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</si>
  <si>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</si>
  <si>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</si>
  <si>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</si>
  <si>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</si>
  <si>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</si>
  <si>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</si>
  <si>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</si>
  <si>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</si>
  <si>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</si>
  <si>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</si>
  <si>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</si>
  <si>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</si>
  <si>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</si>
  <si>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</si>
  <si>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</si>
  <si>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</si>
  <si>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</si>
  <si>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</si>
  <si>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</si>
  <si>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</si>
  <si>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</si>
  <si>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</si>
  <si>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</si>
  <si>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</si>
  <si>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</si>
  <si>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</si>
  <si>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</si>
  <si>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</si>
  <si>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</si>
  <si>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</si>
  <si>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</si>
  <si>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</si>
  <si>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</si>
  <si>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</si>
  <si>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</si>
  <si>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</si>
  <si>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</si>
  <si>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</si>
  <si>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</si>
  <si>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</si>
  <si>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</si>
  <si>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</si>
  <si>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</si>
  <si>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</si>
  <si>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</si>
  <si>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</si>
  <si>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</si>
  <si>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</si>
  <si>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</si>
  <si>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</si>
  <si>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</si>
  <si>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</si>
  <si>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</si>
  <si>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</si>
  <si>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</si>
  <si>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</si>
  <si>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</si>
  <si>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</si>
  <si>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</si>
  <si>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</si>
  <si>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</si>
  <si>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</si>
  <si>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</si>
  <si>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</si>
  <si>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</si>
  <si>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</si>
  <si>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</si>
  <si>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</si>
  <si>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</si>
  <si>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</si>
  <si>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</si>
  <si>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</si>
  <si>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</si>
  <si>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</si>
  <si>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</si>
  <si>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</si>
  <si>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</si>
  <si>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</si>
  <si>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</si>
  <si>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</si>
  <si>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</si>
  <si>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</si>
  <si>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</si>
  <si>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</si>
  <si>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</si>
  <si>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</si>
  <si>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</si>
  <si>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</si>
  <si>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</si>
  <si>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</si>
  <si>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</si>
  <si>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</si>
  <si>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</si>
  <si>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</si>
  <si>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</si>
  <si>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</si>
  <si>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</si>
  <si>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</si>
  <si>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</si>
  <si>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</si>
  <si>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</si>
  <si>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</si>
  <si>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</si>
  <si>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</si>
  <si>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</si>
  <si>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</si>
  <si>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</si>
  <si>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</si>
  <si>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</si>
  <si>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</si>
  <si>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</si>
  <si>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</si>
  <si>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</si>
  <si>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</si>
  <si>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</si>
  <si>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</si>
  <si>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</si>
  <si>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</si>
  <si>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</si>
  <si>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</si>
  <si>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</si>
  <si>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</si>
  <si>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</si>
  <si>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</si>
  <si>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</si>
  <si>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</si>
  <si>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</si>
  <si>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</si>
  <si>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</si>
  <si>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</si>
  <si>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</si>
  <si>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</si>
  <si>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</si>
  <si>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</si>
  <si>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</si>
  <si>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</si>
  <si>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</si>
  <si>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</si>
  <si>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</si>
  <si>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</si>
  <si>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</si>
  <si>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</si>
  <si>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</si>
  <si>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</si>
  <si>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</si>
  <si>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</si>
  <si>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</si>
  <si>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</si>
  <si>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</si>
  <si>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</si>
  <si>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</si>
  <si>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</si>
  <si>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</si>
  <si>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</si>
  <si>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</si>
  <si>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</si>
  <si>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</si>
  <si>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</si>
  <si>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</si>
  <si>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</si>
  <si>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</si>
  <si>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</si>
  <si>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</si>
  <si>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</si>
  <si>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</si>
  <si>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</si>
  <si>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</si>
  <si>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</si>
  <si>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</si>
  <si>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</si>
  <si>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</si>
  <si>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</si>
  <si>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</si>
  <si>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</si>
  <si>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</si>
  <si>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</si>
  <si>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</si>
  <si>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</si>
  <si>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</si>
  <si>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</si>
  <si>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</si>
  <si>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</si>
  <si>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</si>
  <si>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</si>
  <si>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</si>
  <si>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</si>
  <si>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</si>
  <si>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</si>
  <si>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</si>
  <si>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</si>
  <si>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</si>
  <si>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</si>
  <si>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</si>
  <si>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</si>
  <si>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</si>
  <si>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</si>
  <si>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</si>
  <si>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</si>
  <si>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</si>
  <si>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</si>
  <si>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</si>
  <si>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</si>
  <si>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</si>
  <si>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</si>
  <si>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</si>
  <si>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</si>
  <si>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</si>
  <si>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</si>
  <si>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</si>
  <si>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</si>
  <si>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</si>
  <si>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</si>
  <si>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</si>
  <si>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</si>
  <si>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</si>
  <si>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</si>
  <si>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</si>
  <si>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</si>
  <si>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</si>
  <si>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</si>
  <si>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</si>
  <si>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</si>
  <si>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</si>
  <si>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</si>
  <si>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</si>
  <si>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</si>
  <si>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</si>
  <si>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</si>
  <si>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</si>
  <si>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</si>
  <si>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</si>
  <si>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</si>
  <si>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</si>
  <si>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</si>
  <si>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</si>
  <si>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</si>
  <si>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</si>
  <si>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</si>
  <si>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</si>
  <si>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</si>
  <si>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</si>
  <si>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</si>
  <si>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</si>
  <si>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</si>
  <si>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</si>
  <si>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</si>
  <si>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</si>
  <si>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</si>
  <si>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</si>
  <si>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</si>
  <si>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</si>
  <si>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</si>
  <si>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</si>
  <si>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</si>
  <si>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</si>
  <si>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</si>
  <si>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</si>
  <si>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</si>
  <si>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</si>
  <si>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</si>
  <si>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</si>
  <si>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</si>
  <si>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</si>
  <si>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</si>
  <si>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</si>
  <si>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</si>
  <si>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</si>
  <si>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</si>
  <si>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</si>
  <si>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</si>
  <si>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</si>
  <si>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</si>
  <si>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</si>
  <si>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</si>
  <si>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DJAMEL SOUDANI</t>
  </si>
  <si>
    <t>CHRISTIAN MOLLET</t>
  </si>
  <si>
    <t>BASTIEN BONNETON</t>
  </si>
  <si>
    <t>PATRICK JOLIVET</t>
  </si>
  <si>
    <t>MAGALI CARTIER</t>
  </si>
  <si>
    <t>AXEL QUENEY</t>
  </si>
  <si>
    <t>05:21</t>
  </si>
  <si>
    <t>04:36</t>
  </si>
  <si>
    <t>01:37</t>
  </si>
  <si>
    <t>04:52</t>
  </si>
  <si>
    <t>Very good work overall. I like that you have the ability to check the IRS on doubtful plays on your own. There’s a 2-point shot that you recorded as a 3-pointer, even though two referees clearly signaled it as a two. I’m not sure if it was a misclick or if you entered the basket without checking the referees. Be careful with that. When you correct the value of a shot, you must delete the play and re-enter it so that the shotting chart matches the box score. During the game, you can modify the play to be quick, but at the end of the quarter, it must be deleted and re-entered. Lastly, when the game clock starts, take a look at the computer to make sure the program’s timer is also running.</t>
  </si>
  <si>
    <t>C:\Users\xavi.mateu\OneDrive - EUROLEAGUE\Desktop</t>
  </si>
  <si>
    <t>XAVI MATEU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</si>
</sst>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10</v>
      </c>
      <c r="D1" s="124" t="s">
        <v>749</v>
      </c>
      <c r="E1" s="125">
        <v>2025</v>
      </c>
      <c r="F1" s="120" t="str">
        <f>TEXT(C1,"00") &amp; "_" &amp; TEXT(C2,"000")&amp; "_" &amp; H4 &amp; "_" &amp; H5 &amp; "_" &amp; B2</f>
        <v>10_093_PRS_PAN_E2025</v>
      </c>
      <c r="G1" s="5"/>
      <c r="H1" s="5"/>
      <c r="I1" s="5"/>
      <c r="J1" s="8" t="s">
        <v>707</v>
      </c>
      <c r="K1" s="121" t="s">
        <v>742</v>
      </c>
      <c r="L1" s="121"/>
      <c r="M1" s="122" t="s">
        <v>239</v>
      </c>
      <c r="N1" s="121" t="s">
        <v>761</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93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45972.864583333336</v>
      </c>
      <c r="C3" s="157"/>
      <c r="D3" s="39">
        <v>711</v>
      </c>
      <c r="E3" s="29"/>
      <c r="F3" s="26">
        <f>SUBTOTAL(3,I17:I106)</f>
        <v>5</v>
      </c>
      <c r="G3" s="27">
        <f>IF(OR(D3="",D3=0),"",F3/D3)</f>
        <v>7.0323488045007029E-3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Paris Basketball</v>
      </c>
      <c r="E4" s="161"/>
      <c r="F4" s="161"/>
      <c r="G4" s="162"/>
      <c r="H4" s="118" t="str">
        <f>IF(ISERROR(VLOOKUP($B$2&amp;TEXT($C$2,"000"),GAMES!$A$3:$I$562,6,FALSE)),"LOC",VLOOKUP($B$2&amp;TEXT($C$2,"000"),GAMES!$A$3:$I$562,6,FALSE))</f>
        <v>PRS</v>
      </c>
      <c r="I4" s="5"/>
      <c r="J4" s="119" t="s">
        <v>714</v>
      </c>
      <c r="K4" s="54" t="s">
        <v>743</v>
      </c>
      <c r="L4" s="5"/>
      <c r="M4" s="167" t="s">
        <v>760</v>
      </c>
      <c r="N4" s="168"/>
      <c r="O4" s="2"/>
      <c r="P4" s="2"/>
      <c r="Q4" s="84" t="s">
        <v>175</v>
      </c>
      <c r="R4" s="94">
        <f>(IF(G3="",0,G3))</f>
        <v>7.0323488045007029E-3</v>
      </c>
      <c r="S4" s="61">
        <f>SUM(I13:M13)</f>
        <v>0</v>
      </c>
      <c r="T4" s="78"/>
      <c r="U4" s="61">
        <f>AC18</f>
        <v>2</v>
      </c>
      <c r="V4" s="61">
        <f>+AC22</f>
        <v>2</v>
      </c>
      <c r="W4" s="61">
        <f>AC24</f>
        <v>0</v>
      </c>
      <c r="X4" s="61">
        <f>AC29</f>
        <v>1</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Panathinaikos AKTOR Athens</v>
      </c>
      <c r="E5" s="174"/>
      <c r="F5" s="174"/>
      <c r="G5" s="175"/>
      <c r="H5" s="118" t="str">
        <f>IF(ISERROR(VLOOKUP($B$2&amp;TEXT($C$2,"000"),GAMES!$A$3:$I$562,7,FALSE)),"VIS",VLOOKUP($B$2&amp;TEXT($C$2,"000"),GAMES!$A$3:$I$562,7,FALSE))</f>
        <v>PAN</v>
      </c>
      <c r="I5" s="5"/>
      <c r="J5" s="5"/>
      <c r="K5" s="5"/>
      <c r="L5" s="5"/>
      <c r="M5" s="169"/>
      <c r="N5" s="170"/>
      <c r="O5" s="2"/>
      <c r="P5" s="2"/>
      <c r="Q5" s="89" t="s">
        <v>174</v>
      </c>
      <c r="R5" s="94">
        <f>R4*R3</f>
        <v>0.70323488045007032</v>
      </c>
      <c r="S5" s="70">
        <f t="shared" ref="S5" si="0">S4*S3</f>
        <v>0</v>
      </c>
      <c r="T5" s="92"/>
      <c r="U5" s="70">
        <f t="shared" ref="U5:AG5" si="1">U4*U3</f>
        <v>1</v>
      </c>
      <c r="V5" s="70">
        <f t="shared" si="1"/>
        <v>2</v>
      </c>
      <c r="W5" s="70">
        <f t="shared" si="1"/>
        <v>0</v>
      </c>
      <c r="X5" s="70">
        <f t="shared" si="1"/>
        <v>1</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4.7032348804500703</v>
      </c>
      <c r="N7" s="58"/>
      <c r="O7" s="2"/>
      <c r="P7" s="2"/>
      <c r="Q7" s="86">
        <f>SUM(R5,S5,AC16)</f>
        <v>4.7032348804500703</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4.7032348804500703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93</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762</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4</v>
      </c>
      <c r="AD16" s="75">
        <f>SUM(AD17:AD24)</f>
        <v>45</v>
      </c>
      <c r="AE16" s="76" t="s">
        <v>42</v>
      </c>
      <c r="AF16" s="75">
        <f>SUM(AF17:AF24)</f>
        <v>1</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93</v>
      </c>
      <c r="D17" s="32" t="s">
        <v>756</v>
      </c>
      <c r="E17" s="33">
        <v>1</v>
      </c>
      <c r="F17" s="36">
        <v>10</v>
      </c>
      <c r="G17" s="36">
        <v>9</v>
      </c>
      <c r="H17" s="38" t="str">
        <f>IF(I17="","",$I$14)</f>
        <v>SCOUTING</v>
      </c>
      <c r="I17" s="34">
        <v>64</v>
      </c>
      <c r="J17" s="13" t="s">
        <v>4</v>
      </c>
      <c r="K17" s="13" t="s">
        <v>63</v>
      </c>
      <c r="L17" s="13" t="s">
        <v>6</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5</v>
      </c>
      <c r="Z17" s="105" t="s">
        <v>63</v>
      </c>
      <c r="AA17" s="62">
        <f>COUNTIF($K$17:$K$106,Z17)</f>
        <v>3</v>
      </c>
      <c r="AB17" s="66" t="s">
        <v>19</v>
      </c>
      <c r="AC17" s="61">
        <f t="shared" ref="AC17:AC29" si="5">COUNTIF($L$17:$L$106,AB17)</f>
        <v>0</v>
      </c>
      <c r="AD17" s="61">
        <f t="shared" ref="AD17:AD25" si="6">P17</f>
        <v>10</v>
      </c>
      <c r="AE17" s="66" t="s">
        <v>11</v>
      </c>
      <c r="AF17" s="65">
        <f t="shared" ref="AF17:AF48" si="7">COUNTIF($M$17:$M$106,AE17)</f>
        <v>1</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93</v>
      </c>
      <c r="D18" s="32" t="s">
        <v>757</v>
      </c>
      <c r="E18" s="33">
        <v>2</v>
      </c>
      <c r="F18" s="36">
        <v>36</v>
      </c>
      <c r="G18" s="36">
        <v>45</v>
      </c>
      <c r="H18" s="38" t="str">
        <f t="shared" ref="H18:H81" si="8">IF(I18="","",$I$14)</f>
        <v>SCOUTING</v>
      </c>
      <c r="I18" s="34">
        <v>278</v>
      </c>
      <c r="J18" s="13" t="s">
        <v>4</v>
      </c>
      <c r="K18" s="13" t="s">
        <v>62</v>
      </c>
      <c r="L18" s="13" t="s">
        <v>5</v>
      </c>
      <c r="M18" s="13" t="s">
        <v>10</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1</v>
      </c>
      <c r="AB18" s="66" t="s">
        <v>5</v>
      </c>
      <c r="AC18" s="61">
        <f t="shared" si="5"/>
        <v>2</v>
      </c>
      <c r="AD18" s="61">
        <f t="shared" si="6"/>
        <v>0.5</v>
      </c>
      <c r="AE18" s="66" t="s">
        <v>12</v>
      </c>
      <c r="AF18" s="65">
        <f t="shared" si="7"/>
        <v>0</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93</v>
      </c>
      <c r="D19" s="32" t="s">
        <v>758</v>
      </c>
      <c r="E19" s="33">
        <v>3</v>
      </c>
      <c r="F19" s="36">
        <v>70</v>
      </c>
      <c r="G19" s="36">
        <v>68</v>
      </c>
      <c r="H19" s="38" t="str">
        <f t="shared" si="8"/>
        <v>SCOUTING</v>
      </c>
      <c r="I19" s="34">
        <v>515</v>
      </c>
      <c r="J19" s="13" t="s">
        <v>4</v>
      </c>
      <c r="K19" s="13" t="s">
        <v>63</v>
      </c>
      <c r="L19" s="13" t="s">
        <v>5</v>
      </c>
      <c r="M19" s="13" t="s">
        <v>10</v>
      </c>
      <c r="N19" s="35"/>
      <c r="O19" s="5" t="s">
        <v>76</v>
      </c>
      <c r="P19" s="5">
        <v>15</v>
      </c>
      <c r="Q19" s="84">
        <f t="shared" si="4"/>
        <v>0</v>
      </c>
      <c r="R19" s="5" t="s">
        <v>172</v>
      </c>
      <c r="U19" s="66" t="s">
        <v>8</v>
      </c>
      <c r="V19" s="65">
        <f t="shared" si="9"/>
        <v>0</v>
      </c>
      <c r="W19" s="75"/>
      <c r="X19" s="82"/>
      <c r="Y19" s="83"/>
      <c r="Z19" s="105" t="s">
        <v>61</v>
      </c>
      <c r="AA19" s="62">
        <f>COUNTIF($K$17:$K$106,Z19)</f>
        <v>1</v>
      </c>
      <c r="AB19" s="66" t="s">
        <v>76</v>
      </c>
      <c r="AC19" s="61">
        <f t="shared" si="5"/>
        <v>0</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93</v>
      </c>
      <c r="D20" s="32" t="s">
        <v>759</v>
      </c>
      <c r="E20" s="33">
        <v>3</v>
      </c>
      <c r="F20" s="36">
        <v>57</v>
      </c>
      <c r="G20" s="36">
        <v>59</v>
      </c>
      <c r="H20" s="38" t="str">
        <f t="shared" si="8"/>
        <v>SCOUTING</v>
      </c>
      <c r="I20" s="34">
        <v>457</v>
      </c>
      <c r="J20" s="13" t="s">
        <v>4</v>
      </c>
      <c r="K20" s="13" t="s">
        <v>63</v>
      </c>
      <c r="L20" s="13" t="s">
        <v>6</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93</v>
      </c>
      <c r="D21" s="32" t="s">
        <v>759</v>
      </c>
      <c r="E21" s="33">
        <v>3</v>
      </c>
      <c r="F21" s="36">
        <v>57</v>
      </c>
      <c r="G21" s="36">
        <v>59</v>
      </c>
      <c r="H21" s="38" t="str">
        <f t="shared" si="8"/>
        <v>SCOUTING</v>
      </c>
      <c r="I21" s="34">
        <v>424</v>
      </c>
      <c r="J21" s="13" t="s">
        <v>4</v>
      </c>
      <c r="K21" s="13" t="s">
        <v>61</v>
      </c>
      <c r="L21" s="13" t="s">
        <v>75</v>
      </c>
      <c r="M21" s="13" t="s">
        <v>164</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3</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1</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REPORT_E2025093</v>
      </c>
    </row>
    <row r="2" spans="2:6" x14ac:dyDescent="0.25">
      <c r="F2" s="45" t="s">
        <v>157</v>
      </c>
    </row>
    <row r="3" spans="2:6" x14ac:dyDescent="0.25">
      <c r="B3" s="43" t="s">
        <v>156</v>
      </c>
      <c r="C3" s="43" t="str">
        <f>""""&amp;'SCOUT &amp; LOGISTICS'!B2&amp;TEXT('SCOUT &amp; LOGISTICS'!C2,"000")&amp;""""</f>
        <v>"E2025093"</v>
      </c>
      <c r="F3" s="45" t="str">
        <f t="shared" ref="F3:F16" si="0">""""&amp;B3&amp;"""" &amp; " : " &amp;C3&amp;","</f>
        <v>"name" : "E2025093",</v>
      </c>
    </row>
    <row r="4" spans="2:6" x14ac:dyDescent="0.25">
      <c r="B4" s="43" t="s">
        <v>119</v>
      </c>
      <c r="C4" s="43" t="str">
        <f>""""&amp;LEFT('SCOUT &amp; LOGISTICS'!B2,1) &amp; TEXT('SCOUT &amp; LOGISTICS'!C2,"000")&amp;""""</f>
        <v>"E093"</v>
      </c>
      <c r="F4" s="45" t="str">
        <f t="shared" si="0"/>
        <v>"cod" : "E093",</v>
      </c>
    </row>
    <row r="5" spans="2:6" x14ac:dyDescent="0.25">
      <c r="B5" s="43" t="s">
        <v>117</v>
      </c>
      <c r="C5" s="43" t="str">
        <f>""""&amp;LEFT('SCOUT &amp; LOGISTICS'!B2,1)&amp;""""</f>
        <v>"E"</v>
      </c>
      <c r="F5" s="45" t="str">
        <f t="shared" si="0"/>
        <v>"competition" : "E",</v>
      </c>
    </row>
    <row r="6" spans="2:6" x14ac:dyDescent="0.25">
      <c r="B6" s="43" t="s">
        <v>118</v>
      </c>
      <c r="C6" s="43" t="str">
        <f>TEXT('SCOUT &amp; LOGISTICS'!C2,"000")</f>
        <v>093</v>
      </c>
      <c r="F6" s="45" t="str">
        <f t="shared" si="0"/>
        <v>"number" : 093,</v>
      </c>
    </row>
    <row r="7" spans="2:6" x14ac:dyDescent="0.25">
      <c r="B7" s="43" t="s">
        <v>116</v>
      </c>
      <c r="C7" s="43" t="str">
        <f ca="1">""""&amp;TEXT('SCOUT &amp; LOGISTICS'!B3,"dd/mm/aaaa")&amp;""""</f>
        <v>"11/11/Tuesday"</v>
      </c>
      <c r="F7" s="45" t="str">
        <f t="shared" ca="1" si="0"/>
        <v>"date" : "11/11/Tuesday",</v>
      </c>
    </row>
    <row r="8" spans="2:6" x14ac:dyDescent="0.25">
      <c r="B8" s="43" t="s">
        <v>125</v>
      </c>
      <c r="C8" s="43" t="str">
        <f>""""&amp;'SCOUT &amp; LOGISTICS'!D4 &amp;""""</f>
        <v>"Paris Basketball"</v>
      </c>
      <c r="F8" s="45" t="str">
        <f t="shared" si="0"/>
        <v>"home_team" : "Paris Basketball",</v>
      </c>
    </row>
    <row r="9" spans="2:6" x14ac:dyDescent="0.25">
      <c r="B9" s="43" t="s">
        <v>126</v>
      </c>
      <c r="C9" s="43" t="str">
        <f>""""&amp;'SCOUT &amp; LOGISTICS'!D5&amp;""""</f>
        <v>"Panathinaikos AKTOR Athens"</v>
      </c>
      <c r="F9" s="45" t="str">
        <f t="shared" si="0"/>
        <v>"away_team" : "Panathinaikos AKTOR Athens",</v>
      </c>
    </row>
    <row r="10" spans="2:6" x14ac:dyDescent="0.25">
      <c r="B10" s="43" t="s">
        <v>127</v>
      </c>
      <c r="C10" s="43" t="str">
        <f>""""&amp;IF('SCOUT &amp; LOGISTICS'!D6="","",'SCOUT &amp; LOGISTICS'!D6)&amp;""""</f>
        <v>"DJAMEL SOUDANI"</v>
      </c>
      <c r="F10" s="45" t="str">
        <f t="shared" si="0"/>
        <v>"Data_entry" : "DJAMEL SOUDANI",</v>
      </c>
    </row>
    <row r="11" spans="2:6" x14ac:dyDescent="0.25">
      <c r="B11" s="43" t="s">
        <v>128</v>
      </c>
      <c r="C11" s="43" t="str">
        <f>""""&amp;IF('SCOUT &amp; LOGISTICS'!D7="","",'SCOUT &amp; LOGISTICS'!D7)&amp;""""</f>
        <v>"CHRISTIAN MOLLET"</v>
      </c>
      <c r="F11" s="45" t="str">
        <f t="shared" si="0"/>
        <v>"Caller_1" : "CHRISTIAN MOLLET",</v>
      </c>
    </row>
    <row r="12" spans="2:6" x14ac:dyDescent="0.25">
      <c r="B12" s="43" t="s">
        <v>129</v>
      </c>
      <c r="C12" s="43" t="str">
        <f>""""&amp;IF('SCOUT &amp; LOGISTICS'!D8="","",'SCOUT &amp; LOGISTICS'!D8)&amp;""""</f>
        <v>"BASTIEN BONNETON"</v>
      </c>
      <c r="F12" s="45" t="str">
        <f t="shared" si="0"/>
        <v>"Caller_2" : "BASTIEN BONNETON",</v>
      </c>
    </row>
    <row r="13" spans="2:6" x14ac:dyDescent="0.25">
      <c r="B13" s="43" t="s">
        <v>98</v>
      </c>
      <c r="C13" s="43" t="str">
        <f>""""&amp;IF('SCOUT &amp; LOGISTICS'!D9="","",'SCOUT &amp; LOGISTICS'!D9)&amp;""""</f>
        <v>"PATRICK JOLIVET"</v>
      </c>
      <c r="F13" s="45" t="str">
        <f t="shared" si="0"/>
        <v>"Timerkeeper" : "PATRICK JOLIVET",</v>
      </c>
    </row>
    <row r="14" spans="2:6" x14ac:dyDescent="0.25">
      <c r="B14" s="43" t="s">
        <v>99</v>
      </c>
      <c r="C14" s="43" t="str">
        <f>""""&amp;IF('SCOUT &amp; LOGISTICS'!D10="","",'SCOUT &amp; LOGISTICS'!D10)&amp;""""</f>
        <v>"MAGALI CARTIER"</v>
      </c>
      <c r="F14" s="45" t="str">
        <f t="shared" si="0"/>
        <v>"Shotclock" : "MAGALI CARTIER",</v>
      </c>
    </row>
    <row r="15" spans="2:6" x14ac:dyDescent="0.25">
      <c r="B15" s="43" t="s">
        <v>108</v>
      </c>
      <c r="C15" s="43" t="str">
        <f>""""&amp;IF('SCOUT &amp; LOGISTICS'!D11="","",'SCOUT &amp; LOGISTICS'!D11)&amp;""""</f>
        <v>"AXEL QUENEY"</v>
      </c>
      <c r="F15" s="45" t="str">
        <f t="shared" si="0"/>
        <v>"IRS" : "AXEL QUENEY",</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711</v>
      </c>
      <c r="F25" s="45" t="str">
        <f t="shared" ref="F25:F48" si="1">""""&amp;C25&amp;"""" &amp; " : " &amp;D25&amp;","</f>
        <v>"total_actions" : 711,</v>
      </c>
    </row>
    <row r="26" spans="2:6" x14ac:dyDescent="0.25">
      <c r="C26" s="43" t="s">
        <v>132</v>
      </c>
      <c r="D26" s="43">
        <f>'SCOUT &amp; LOGISTICS'!F3</f>
        <v>5</v>
      </c>
      <c r="F26" s="45" t="str">
        <f t="shared" si="1"/>
        <v>"total_correcions" : 5,</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1</v>
      </c>
      <c r="F30" s="45" t="str">
        <f t="shared" si="1"/>
        <v>"away_team" : 1,</v>
      </c>
    </row>
    <row r="31" spans="2:6" x14ac:dyDescent="0.25">
      <c r="C31" s="43" t="s">
        <v>135</v>
      </c>
      <c r="D31" s="43">
        <f>'SCOUT &amp; LOGISTICS'!AG17</f>
        <v>1</v>
      </c>
      <c r="F31" s="45" t="str">
        <f t="shared" si="1"/>
        <v>"q1" : 1,</v>
      </c>
    </row>
    <row r="32" spans="2:6" x14ac:dyDescent="0.25">
      <c r="C32" s="43" t="s">
        <v>136</v>
      </c>
      <c r="D32" s="43">
        <f>'SCOUT &amp; LOGISTICS'!AG18</f>
        <v>1</v>
      </c>
      <c r="F32" s="45" t="str">
        <f t="shared" si="1"/>
        <v>"q2" : 1,</v>
      </c>
    </row>
    <row r="33" spans="3:6" x14ac:dyDescent="0.25">
      <c r="C33" s="43" t="s">
        <v>137</v>
      </c>
      <c r="D33" s="43">
        <f>'SCOUT &amp; LOGISTICS'!AG19</f>
        <v>3</v>
      </c>
      <c r="F33" s="45" t="str">
        <f t="shared" si="1"/>
        <v>"q3" : 3,</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5</v>
      </c>
      <c r="F37" s="45" t="str">
        <f t="shared" si="1"/>
        <v>"scoresheet_corrections" : 5,</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"Very good work overall. I like that you have the ability to check the IRS on doubtful plays on your own. There’s a 2-point shot that you recorded as a 3-pointer, even though two referees clearly signaled it as a two. I’m not sure if it was a misclick or if you entered the basket without checking the referees. Be careful with that. When you correct the value of a shot, you must delete the play and re-enter it so that the shotting chart matches the box score. During the game, you can modify the play to be quick, but at the end of the quarter, it must be deleted and re-entered. Lastly, when the game clock starts, take a look at the computer to make sure the program’s timer is also running."</v>
      </c>
      <c r="F51" s="45" t="str">
        <f>""""&amp;B51&amp;"""" &amp; " : " &amp;C51&amp;","</f>
        <v>"comments" : "Very good work overall. I like that you have the ability to check the IRS on doubtful plays on your own. There’s a 2-point shot that you recorded as a 3-pointer, even though two referees clearly signaled it as a two. I’m not sure if it was a misclick or if you entered the basket without checking the referees. Be careful with that. When you correct the value of a shot, you must delete the play and re-enter it so that the shotting chart matches the box score. During the game, you can modify the play to be quick, but at the end of the quarter, it must be deleted and re-entered. Lastly, when the game clock starts, take a look at the computer to make sure the program’s timer is also running.",</v>
      </c>
    </row>
    <row r="52" spans="2:6" x14ac:dyDescent="0.25">
      <c r="B52" s="43" t="s">
        <v>153</v>
      </c>
      <c r="C52" s="43" t="str">
        <f>TEXT('SCOUT &amp; LOGISTICS'!F1,"0,0")</f>
        <v>10_093_PRS_PAN_E2025</v>
      </c>
      <c r="F52" s="45" t="str">
        <f>""""&amp;B52&amp;"""" &amp; " : " &amp;C52</f>
        <v>"result" : 10_093_PRS_PAN_E2025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E093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11/11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Paris Basketball</v>
      </c>
      <c r="C6" s="212"/>
      <c r="D6" s="212"/>
      <c r="E6" s="212"/>
      <c r="F6" s="212"/>
      <c r="G6" s="212"/>
      <c r="H6" s="212"/>
      <c r="I6" s="212"/>
      <c r="J6" s="212"/>
      <c r="K6" s="212"/>
      <c r="L6" s="212"/>
      <c r="M6" s="212"/>
      <c r="N6" s="212"/>
      <c r="O6" s="212"/>
      <c r="P6" s="212"/>
      <c r="Q6" s="212" t="str">
        <f>PROPER('SCOUT &amp; LOGISTICS'!D5)</f>
        <v>Panathinaikos Aktor Athens</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DJAMEL SOUDANI</v>
      </c>
      <c r="C8" s="206"/>
      <c r="D8" s="206"/>
      <c r="E8" s="206"/>
      <c r="F8" s="206"/>
      <c r="G8" s="206" t="str">
        <f>IF('SCOUT &amp; LOGISTICS'!D7="","",'SCOUT &amp; LOGISTICS'!D7)</f>
        <v>CHRISTIAN MOLLET</v>
      </c>
      <c r="H8" s="206"/>
      <c r="I8" s="206"/>
      <c r="J8" s="206"/>
      <c r="K8" s="206"/>
      <c r="L8" s="206" t="str">
        <f>IF('SCOUT &amp; LOGISTICS'!D8="","",'SCOUT &amp; LOGISTICS'!D8)</f>
        <v>BASTIEN BONNETON</v>
      </c>
      <c r="M8" s="206"/>
      <c r="N8" s="206"/>
      <c r="O8" s="206"/>
      <c r="P8" s="206"/>
      <c r="Q8" s="206" t="str">
        <f>IF('SCOUT &amp; LOGISTICS'!D9="","",'SCOUT &amp; LOGISTICS'!D9)</f>
        <v>PATRICK JOLIVET</v>
      </c>
      <c r="R8" s="206"/>
      <c r="S8" s="206"/>
      <c r="T8" s="206"/>
      <c r="U8" s="206"/>
      <c r="V8" s="206" t="str">
        <f>IF('SCOUT &amp; LOGISTICS'!D10="","",'SCOUT &amp; LOGISTICS'!D10)</f>
        <v>MAGALI CARTIER</v>
      </c>
      <c r="W8" s="206"/>
      <c r="X8" s="206"/>
      <c r="Y8" s="206"/>
      <c r="Z8" s="206"/>
      <c r="AA8" s="206" t="str">
        <f>IF('SCOUT &amp; LOGISTICS'!D11="","",'SCOUT &amp; LOGISTICS'!D11)</f>
        <v>AXEL QUENEY</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711</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7.0323488045007029E-3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3</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1</v>
      </c>
      <c r="I22" s="197"/>
      <c r="J22" s="197"/>
      <c r="K22" s="197"/>
      <c r="L22" s="197"/>
      <c r="M22" s="197"/>
      <c r="N22" s="197">
        <f>'SCOUT &amp; LOGISTICS'!AG19</f>
        <v>3</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5</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2</v>
      </c>
      <c r="C27" s="197"/>
      <c r="D27" s="197"/>
      <c r="E27" s="197"/>
      <c r="F27" s="197"/>
      <c r="G27" s="197">
        <f>'SCOUT &amp; LOGISTICS'!AC22</f>
        <v>2</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Very good work overall. I like that you have the ability to check the IRS on doubtful plays on your own. There’s a 2-point shot that you recorded as a 3-pointer, even though two referees clearly signaled it as a two. I’m not sure if it was a misclick or if you entered the basket without checking the referees. Be careful with that. When you correct the value of a shot, you must delete the play and re-enter it so that the shotting chart matches the box score. During the game, you can modify the play to be quick, but at the end of the quarter, it must be deleted and re-entered. Lastly, when the game clock starts, take a look at the computer to make sure the program’s timer is also running.</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4.7032348804500703</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95E5DD6E-1C3B-4A29-A4B7-4B8797D21159}"/>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2025-11-12T15:32:33Z</cp:lastPrinted>
  <dcterms:created xsi:type="dcterms:W3CDTF">2023-09-19T19:50:35Z</dcterms:created>
  <dcterms:modified xsi:type="dcterms:W3CDTF">2025-11-12T15:32:41Z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