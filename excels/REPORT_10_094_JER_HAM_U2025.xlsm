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3" documentId="8_{2BA78255-7448-49E7-9C75-7B73EAA56EA6}" xr6:coauthVersionLast="47" xr6:coauthVersionMax="47" xr10:uidLastSave="{AF045BFC-5198-43C1-ABCD-189F2ED4AA55}"/>
  <bookViews>
    <workbookView xWindow="19090" yWindow="-140" windowWidth="19420" windowHeight="115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<sst xmlns="http://schemas.openxmlformats.org/spreadsheetml/2006/main" count="3382" uniqueCount="842">
  <si>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</si>
  <si>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</si>
  <si>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</si>
  <si>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</si>
  <si>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</si>
  <si>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</si>
  <si>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</si>
  <si>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</si>
  <si>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</si>
  <si>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</si>
  <si>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</si>
  <si>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</si>
  <si>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</si>
  <si>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</si>
  <si>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</si>
  <si>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</si>
  <si>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</si>
  <si>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</si>
  <si>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</si>
  <si>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</si>
  <si>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</si>
  <si>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</si>
  <si>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</si>
  <si>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</si>
  <si>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</si>
  <si>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</si>
  <si>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</si>
  <si>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</si>
  <si>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</si>
  <si>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</si>
  <si>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</si>
  <si>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</si>
  <si>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</si>
  <si>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</si>
  <si>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</si>
  <si>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</si>
  <si>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</si>
  <si>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</si>
  <si>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</si>
  <si>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</si>
  <si>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</si>
  <si>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</si>
  <si>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</si>
  <si>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</si>
  <si>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</si>
  <si>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</si>
  <si>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</si>
  <si>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</si>
  <si>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</si>
  <si>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</si>
  <si>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</si>
  <si>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</si>
  <si>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</si>
  <si>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</si>
  <si>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</si>
  <si>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</si>
  <si>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</si>
  <si>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</si>
  <si>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</si>
  <si>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</si>
  <si>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</si>
  <si>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</si>
  <si>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</si>
  <si>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</si>
  <si>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</si>
  <si>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</si>
  <si>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</si>
  <si>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</si>
  <si>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</si>
  <si>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</si>
  <si>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</si>
  <si>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</si>
  <si>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</si>
  <si>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</si>
  <si>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</si>
  <si>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</si>
  <si>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</si>
  <si>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</si>
  <si>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</si>
  <si>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</si>
  <si>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</si>
  <si>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</si>
  <si>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</si>
  <si>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</si>
  <si>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</si>
  <si>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</si>
  <si>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</si>
  <si>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</si>
  <si>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</si>
  <si>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</si>
  <si>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</si>
  <si>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</si>
  <si>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</si>
  <si>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</si>
  <si>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</si>
  <si>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</si>
  <si>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</si>
  <si>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</si>
  <si>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</si>
  <si>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</si>
  <si>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</si>
  <si>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</si>
  <si>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</si>
  <si>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</si>
  <si>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</si>
  <si>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</si>
  <si>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</si>
  <si>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</si>
  <si>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</si>
  <si>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</si>
  <si>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</si>
  <si>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</si>
  <si>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</si>
  <si>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</si>
  <si>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</si>
  <si>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</si>
  <si>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</si>
  <si>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</si>
  <si>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</si>
  <si>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</si>
  <si>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</si>
  <si>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</si>
  <si>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</si>
  <si>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</si>
  <si>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</si>
  <si>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</si>
  <si>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</si>
  <si>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</si>
  <si>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</si>
  <si>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</si>
  <si>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</si>
  <si>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</si>
  <si>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</si>
  <si>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</si>
  <si>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</si>
  <si>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</si>
  <si>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</si>
  <si>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</si>
  <si>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</si>
  <si>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</si>
  <si>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</si>
  <si>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</si>
  <si>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</si>
  <si>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</si>
  <si>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</si>
  <si>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</si>
  <si>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</si>
  <si>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</si>
  <si>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</si>
  <si>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</si>
  <si>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</si>
  <si>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</si>
  <si>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</si>
  <si>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</si>
  <si>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</si>
  <si>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</si>
  <si>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</si>
  <si>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</si>
  <si>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</si>
  <si>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</si>
  <si>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</si>
  <si>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</si>
  <si>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</si>
  <si>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</si>
  <si>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</si>
  <si>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</si>
  <si>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</si>
  <si>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</si>
  <si>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</si>
  <si>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</si>
  <si>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</si>
  <si>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</si>
  <si>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</si>
  <si>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</si>
  <si>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</si>
  <si>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</si>
  <si>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</si>
  <si>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</si>
  <si>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</si>
  <si>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</si>
  <si>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</si>
  <si>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</si>
  <si>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</si>
  <si>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</si>
  <si>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</si>
  <si>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</si>
  <si>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</si>
  <si>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</si>
  <si>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</si>
  <si>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</si>
  <si>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</si>
  <si>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</si>
  <si>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</si>
  <si>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</si>
  <si>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</si>
  <si>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</si>
  <si>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</si>
  <si>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</si>
  <si>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</si>
  <si>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</si>
  <si>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</si>
  <si>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</si>
  <si>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</si>
  <si>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</si>
  <si>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</si>
  <si>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</si>
  <si>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</si>
  <si>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</si>
  <si>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</si>
  <si>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</si>
  <si>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</si>
  <si>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</si>
  <si>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</si>
  <si>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</si>
  <si>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</si>
  <si>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</si>
  <si>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</si>
  <si>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</si>
  <si>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</si>
  <si>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</si>
  <si>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</si>
  <si>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</si>
  <si>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</si>
  <si>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</si>
  <si>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</si>
  <si>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</si>
  <si>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</si>
  <si>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</si>
  <si>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</si>
  <si>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</si>
  <si>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</si>
  <si>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</si>
  <si>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</si>
  <si>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</si>
  <si>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</si>
  <si>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</si>
  <si>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</si>
  <si>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</si>
  <si>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</si>
  <si>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</si>
  <si>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</si>
  <si>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</si>
  <si>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</si>
  <si>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</si>
  <si>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</si>
  <si>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</si>
  <si>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</si>
  <si>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</si>
  <si>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</si>
  <si>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</si>
  <si>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</si>
  <si>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</si>
  <si>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</si>
  <si>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</si>
  <si>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</si>
  <si>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</si>
  <si>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</si>
  <si>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</si>
  <si>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</si>
  <si>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</si>
  <si>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</si>
  <si>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</si>
  <si>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</si>
  <si>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</si>
  <si>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</si>
  <si>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</si>
  <si>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</si>
  <si>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</si>
  <si>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</si>
  <si>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</si>
  <si>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</si>
  <si>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</si>
  <si>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</si>
  <si>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</si>
  <si>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</si>
  <si>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</si>
  <si>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</si>
  <si>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</si>
  <si>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</si>
  <si>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</si>
  <si>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</si>
  <si>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</si>
  <si>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</si>
  <si>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</si>
  <si>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</si>
  <si>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</si>
  <si>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</si>
  <si>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</si>
  <si>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</si>
  <si>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</si>
  <si>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</si>
  <si>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</si>
  <si>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</si>
  <si>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</si>
  <si>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</si>
  <si>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</si>
  <si>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</si>
  <si>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</si>
  <si>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</si>
  <si>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</si>
  <si>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</si>
  <si>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</si>
  <si>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</si>
  <si>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</si>
  <si>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</si>
  <si>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</si>
  <si>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</si>
  <si>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</si>
  <si>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</si>
  <si>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</si>
  <si>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</si>
  <si>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</si>
  <si>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</si>
  <si>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</si>
  <si>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</si>
  <si>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</si>
  <si>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</si>
  <si>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</si>
  <si>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</si>
  <si>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</si>
  <si>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</si>
  <si>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</si>
  <si>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</si>
  <si>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</si>
  <si>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</si>
  <si>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</si>
  <si>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</si>
  <si>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</si>
  <si>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</si>
  <si>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</si>
  <si>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</si>
  <si>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</si>
  <si>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</si>
  <si>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</si>
  <si>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</si>
  <si>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</si>
  <si>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</si>
  <si>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</si>
  <si>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</si>
  <si>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</si>
  <si>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</si>
  <si>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</si>
  <si>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</si>
  <si>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</si>
  <si>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</si>
  <si>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</si>
  <si>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</si>
  <si>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</si>
  <si>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</si>
  <si>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</si>
  <si>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</si>
  <si>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</si>
  <si>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</si>
  <si>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</si>
  <si>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</si>
  <si>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</si>
  <si>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</si>
  <si>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</si>
  <si>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</si>
  <si>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</si>
  <si>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</si>
  <si>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</si>
  <si>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</si>
  <si>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</si>
  <si>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</si>
  <si>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</si>
  <si>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</si>
  <si>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</si>
  <si>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</si>
  <si>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</si>
  <si>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</si>
  <si>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</si>
  <si>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</si>
  <si>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</si>
  <si>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</si>
  <si>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</si>
  <si>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</si>
  <si>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</si>
  <si>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</si>
  <si>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</si>
  <si>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</si>
  <si>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</si>
  <si>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</si>
  <si>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</si>
  <si>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</si>
  <si>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</si>
  <si>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</si>
  <si>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</si>
  <si>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</si>
  <si>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</si>
  <si>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</si>
  <si>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</si>
  <si>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</si>
  <si>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</si>
  <si>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</si>
  <si>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</si>
  <si>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</si>
  <si>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</si>
  <si>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</si>
  <si>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</si>
  <si>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</si>
  <si>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</si>
  <si>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</si>
  <si>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</si>
  <si>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</si>
  <si>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</si>
  <si>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</si>
  <si>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</si>
  <si>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</si>
  <si>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</si>
  <si>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</si>
  <si>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</si>
  <si>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</si>
  <si>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</si>
  <si>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</si>
  <si>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</si>
  <si>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</si>
  <si>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</si>
  <si>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</si>
  <si>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</si>
  <si>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</si>
  <si>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</si>
  <si>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</si>
  <si>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</si>
  <si>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</si>
  <si>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</si>
  <si>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</si>
  <si>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</si>
  <si>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</si>
  <si>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</si>
  <si>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</si>
  <si>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</si>
  <si>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</si>
  <si>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</si>
  <si>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</si>
  <si>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</si>
  <si>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</si>
  <si>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</si>
  <si>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</si>
  <si>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</si>
  <si>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</si>
  <si>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</si>
  <si>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</si>
  <si>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</si>
  <si>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</si>
  <si>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</si>
  <si>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</si>
  <si>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</si>
  <si>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</si>
  <si>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</si>
  <si>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</si>
  <si>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</si>
  <si>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</si>
  <si>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</si>
  <si>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</si>
  <si>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</si>
  <si>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</si>
  <si>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</si>
  <si>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</si>
  <si>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</si>
  <si>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</si>
  <si>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</si>
  <si>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</si>
  <si>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</si>
  <si>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</si>
  <si>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</si>
  <si>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</si>
  <si>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</si>
  <si>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</si>
  <si>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</si>
  <si>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</si>
  <si>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</si>
  <si>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</si>
  <si>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</si>
  <si>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</si>
  <si>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</si>
  <si>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</si>
  <si>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</si>
  <si>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</si>
  <si>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</si>
  <si>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</si>
  <si>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</si>
  <si>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</si>
  <si>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</si>
  <si>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</si>
  <si>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</si>
  <si>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</si>
  <si>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</si>
  <si>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</si>
  <si>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</si>
  <si>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</si>
  <si>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</si>
  <si>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</si>
  <si>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</si>
  <si>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</si>
  <si>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</si>
  <si>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</si>
  <si>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</si>
  <si>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</si>
  <si>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</si>
  <si>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</si>
  <si>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</si>
  <si>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</si>
  <si>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</si>
  <si>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</si>
  <si>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</si>
  <si>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</si>
  <si>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</si>
  <si>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</si>
  <si>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</si>
  <si>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</si>
  <si>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</si>
  <si>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</si>
  <si>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</si>
  <si>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</si>
  <si>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</si>
  <si>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</si>
  <si>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</si>
  <si>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</si>
  <si>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</si>
  <si>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</si>
  <si>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</si>
  <si>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</si>
  <si>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</si>
  <si>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</si>
  <si>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</si>
  <si>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</si>
  <si>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</si>
  <si>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</si>
  <si>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</si>
  <si>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</si>
  <si>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</si>
  <si>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</si>
  <si>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</si>
  <si>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</si>
  <si>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</si>
  <si>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</si>
  <si>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</si>
  <si>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</si>
  <si>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</si>
  <si>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</si>
  <si>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</si>
  <si>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</si>
  <si>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</si>
  <si>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</si>
  <si>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</si>
  <si>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</si>
  <si>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</si>
  <si>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</si>
  <si>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</si>
  <si>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</si>
  <si>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</si>
  <si>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</si>
  <si>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</si>
  <si>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</si>
  <si>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</si>
  <si>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</si>
  <si>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</si>
  <si>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</si>
  <si>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</si>
  <si>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</si>
  <si>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</si>
  <si>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</si>
  <si>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</si>
  <si>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</si>
  <si>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</si>
  <si>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</si>
  <si>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</si>
  <si>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</si>
  <si>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</si>
  <si>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</si>
  <si>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</si>
  <si>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</si>
  <si>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</si>
  <si>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</si>
  <si>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</si>
  <si>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</si>
  <si>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</si>
  <si>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</si>
  <si>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</si>
  <si>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</si>
  <si>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</si>
  <si>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</si>
  <si>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</si>
  <si>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</si>
  <si>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</si>
  <si>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</si>
  <si>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</si>
  <si>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</si>
  <si>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</si>
  <si>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</si>
  <si>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</si>
  <si>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</si>
  <si>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</si>
  <si>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</si>
  <si>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</si>
  <si>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</si>
  <si>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</si>
  <si>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</si>
  <si>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</si>
  <si>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</si>
  <si>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</si>
  <si>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</si>
  <si>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</si>
  <si>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</si>
  <si>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</si>
  <si>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</si>
  <si>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</si>
  <si>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</si>
  <si>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</si>
  <si>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</si>
  <si>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</si>
  <si>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</si>
  <si>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</si>
  <si>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</si>
  <si>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</si>
  <si>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</si>
  <si>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</si>
  <si>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</si>
  <si>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</si>
  <si>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</si>
  <si>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</si>
  <si>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</si>
  <si>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</si>
  <si>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</si>
  <si>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</si>
  <si>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</si>
  <si>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</si>
  <si>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</si>
  <si>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</si>
  <si>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</si>
  <si>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</si>
  <si>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</si>
  <si>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</si>
  <si>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</si>
  <si>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</si>
  <si>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</si>
  <si>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</si>
  <si>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</si>
  <si>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</si>
  <si>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</si>
  <si>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</si>
  <si>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</si>
  <si>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</si>
  <si>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</si>
  <si>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</si>
  <si>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</si>
  <si>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</si>
  <si>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</si>
  <si>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</si>
  <si>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</si>
  <si>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</si>
  <si>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</si>
  <si>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</si>
  <si>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</si>
  <si>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</si>
  <si>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</si>
  <si>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</si>
  <si>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</si>
  <si>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</si>
  <si>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</si>
  <si>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</si>
  <si>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</si>
  <si>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</si>
  <si>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</si>
  <si>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</si>
  <si>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</si>
  <si>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</si>
  <si>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</si>
  <si>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</si>
  <si>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</si>
  <si>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</si>
  <si>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</si>
  <si>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</si>
  <si>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</si>
  <si>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</si>
  <si>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</si>
  <si>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</si>
  <si>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</si>
  <si>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</si>
  <si>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</si>
  <si>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</si>
  <si>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</si>
  <si>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</si>
  <si>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</si>
  <si>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</si>
  <si>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</si>
  <si>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</si>
  <si>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</si>
  <si>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</si>
  <si>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</si>
  <si>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</si>
  <si>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</si>
  <si>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</si>
  <si>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</si>
  <si>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</si>
  <si>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</si>
  <si>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</si>
  <si>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</si>
  <si>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</si>
  <si>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</si>
  <si>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</si>
  <si>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</si>
  <si>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</si>
  <si>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</si>
  <si>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</si>
  <si>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</si>
  <si>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</si>
  <si>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</si>
  <si>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</si>
  <si>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</si>
  <si>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</si>
  <si>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</si>
  <si>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</si>
  <si>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</si>
  <si>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</si>
  <si>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</si>
  <si>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</si>
  <si>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</si>
  <si>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</si>
  <si>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</si>
  <si>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</si>
  <si>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</si>
  <si>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</si>
  <si>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</si>
  <si>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</si>
  <si>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</si>
  <si>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</si>
  <si>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</si>
  <si>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</si>
  <si>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</si>
  <si>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</si>
  <si>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</si>
  <si>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</si>
  <si>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</si>
  <si>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</si>
  <si>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</si>
  <si>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</si>
  <si>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</si>
  <si>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</si>
  <si>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</si>
  <si>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</si>
  <si>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</si>
  <si>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</si>
  <si>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</si>
  <si>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</si>
  <si>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</si>
  <si>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</si>
  <si>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</si>
  <si>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</si>
  <si>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</si>
  <si>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</si>
  <si>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</si>
  <si>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</si>
  <si>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</si>
  <si>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</si>
  <si>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</si>
  <si>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</si>
  <si>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</si>
  <si>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</si>
  <si>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</si>
  <si>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</si>
  <si>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</si>
  <si>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</si>
  <si>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</si>
  <si>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</si>
  <si>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</si>
  <si>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</si>
  <si>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</si>
  <si>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</si>
  <si>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</si>
  <si>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</si>
  <si>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</si>
  <si>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</si>
  <si>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</si>
  <si>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</si>
  <si>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</si>
  <si>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</si>
  <si>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</si>
  <si>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</si>
  <si>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</si>
  <si>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</si>
  <si>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</si>
  <si>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</si>
  <si>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</si>
  <si>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</si>
  <si>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</si>
  <si>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</si>
  <si>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</si>
  <si>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</si>
  <si>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</si>
  <si>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</si>
  <si>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</si>
  <si>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</si>
  <si>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</si>
  <si>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</si>
  <si>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</si>
  <si>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</si>
  <si>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</si>
  <si>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</si>
  <si>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</si>
  <si>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</si>
  <si>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</si>
  <si>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</si>
  <si>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</si>
  <si>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</si>
  <si>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</si>
  <si>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</si>
  <si>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</si>
  <si>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</si>
  <si>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</si>
  <si>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</si>
  <si>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</si>
  <si>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</si>
  <si>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</si>
  <si>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</si>
  <si>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</si>
  <si>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</si>
  <si>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</si>
  <si>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</si>
  <si>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</si>
  <si>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</si>
  <si>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</si>
  <si>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</si>
  <si>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</si>
  <si>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</si>
  <si>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ALMOG BAND</t>
  </si>
  <si>
    <t>AVISHAI SLONIM</t>
  </si>
  <si>
    <t>TAL GRAFF</t>
  </si>
  <si>
    <t>OZ HAMAMA</t>
  </si>
  <si>
    <t>MAOZ HAREL</t>
  </si>
  <si>
    <t>ORIOL GARCIA</t>
  </si>
  <si>
    <t>04:33</t>
  </si>
  <si>
    <t>04:05</t>
  </si>
  <si>
    <t>07:32</t>
  </si>
  <si>
    <t>05:56</t>
  </si>
  <si>
    <t>02:40</t>
  </si>
  <si>
    <t>04:32</t>
  </si>
  <si>
    <t>06:22</t>
  </si>
  <si>
    <t>08:51</t>
  </si>
  <si>
    <t>First game of the season to start being used again. Good communication during the game. On scouting many mistakes on missidentity and there were a sequence missing on 1Q. Please remember that every 1st time out of the quarte MUST be also a TV time out. So if it was requested by a team we'll have to score 2 TOUT (1 for the team+TV TOUT).</t>
  </si>
  <si>
    <t>C:\Users\oriol.garcia\OneDrive - EUROLEAGUE\Documents\Season 25-26\Reports\Eurocup\Hapoel Jerusalem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</si>
</sst>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J17" activePane="bottomRight" state="frozen"/>
      <selection pane="topRight" activeCell="H1" sqref="H1"/>
      <selection pane="bottomLeft" activeCell="A17" sqref="A17"/>
      <selection pane="bottomRight" activeCell="N24" sqref="N24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10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10_094_JER_HAM_U2025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841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94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46000.833333333336</v>
      </c>
      <c r="C3" s="178"/>
      <c r="D3" s="39">
        <v>615</v>
      </c>
      <c r="E3" s="29"/>
      <c r="F3" s="26">
        <f>SUBTOTAL(3,I17:I106)</f>
        <v>10</v>
      </c>
      <c r="G3" s="27">
        <f>IF(OR(D3="",D3=0),"",F3/D3)</f>
        <v>1.6260162601626018E-2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Hapoel Bank Yahav Jerusalem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JER</v>
      </c>
      <c r="I4" s="5"/>
      <c r="J4" s="119" t="s">
        <v>714</v>
      </c>
      <c r="K4" s="54" t="s">
        <v>743</v>
      </c>
      <c r="L4" s="5"/>
      <c r="M4" s="185" t="s">
        <v>840</v>
      </c>
      <c r="N4" s="186"/>
      <c r="O4" s="2"/>
      <c r="P4" s="2"/>
      <c r="Q4" s="84" t="s">
        <v>175</v>
      </c>
      <c r="R4" s="94">
        <f>(IF(G3="",0,G3))</f>
        <v>1.6260162601626018E-2</v>
      </c>
      <c r="S4" s="61">
        <f>SUM(I13:M13)</f>
        <v>1</v>
      </c>
      <c r="T4" s="78"/>
      <c r="U4" s="61">
        <f>AC18</f>
        <v>0</v>
      </c>
      <c r="V4" s="61">
        <f>+AC22</f>
        <v>6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4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Veolia Towers Hamburg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HAM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1.6260162601626018</v>
      </c>
      <c r="S5" s="70">
        <f t="shared" ref="S5" si="0">S4*S3</f>
        <v>1</v>
      </c>
      <c r="T5" s="92"/>
      <c r="U5" s="70">
        <f t="shared" ref="U5:AG5" si="1">U4*U3</f>
        <v>0</v>
      </c>
      <c r="V5" s="70">
        <f t="shared" si="1"/>
        <v>6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10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826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827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18.626016260162601</v>
      </c>
      <c r="N7" s="58"/>
      <c r="O7" s="2"/>
      <c r="P7" s="2"/>
      <c r="Q7" s="86">
        <f>SUM(R5,S5,AC16)</f>
        <v>18.626016260162601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18.626016260162601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829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830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94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831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10</v>
      </c>
      <c r="J15" s="24">
        <f>SUBTOTAL(3,J17:J106)</f>
        <v>10</v>
      </c>
      <c r="K15" s="24">
        <f>SUBTOTAL(3,K17:K106)</f>
        <v>10</v>
      </c>
      <c r="L15" s="24">
        <f>SUBTOTAL(3,L17:L106)</f>
        <v>10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1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10</v>
      </c>
      <c r="Z16" s="90" t="s">
        <v>110</v>
      </c>
      <c r="AA16" s="75">
        <f>SUM(AA17:AA24)</f>
        <v>10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16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2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94</v>
      </c>
      <c r="D17" s="32" t="s">
        <v>832</v>
      </c>
      <c r="E17" s="33">
        <v>1</v>
      </c>
      <c r="F17" s="36">
        <v>14</v>
      </c>
      <c r="G17" s="36">
        <v>11</v>
      </c>
      <c r="H17" s="38" t="str">
        <f>IF(I17="","",$I$14)</f>
        <v>SCOUTING</v>
      </c>
      <c r="I17" s="34">
        <v>72</v>
      </c>
      <c r="J17" s="13" t="s">
        <v>4</v>
      </c>
      <c r="K17" s="13" t="s">
        <v>62</v>
      </c>
      <c r="L17" s="13" t="s">
        <v>6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10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94</v>
      </c>
      <c r="D18" s="32" t="s">
        <v>833</v>
      </c>
      <c r="E18" s="33">
        <v>1</v>
      </c>
      <c r="F18" s="36">
        <v>14</v>
      </c>
      <c r="G18" s="36">
        <v>13</v>
      </c>
      <c r="H18" s="38" t="str">
        <f t="shared" ref="H18:H81" si="8">IF(I18="","",$I$14)</f>
        <v>SCOUTING</v>
      </c>
      <c r="I18" s="34">
        <v>78</v>
      </c>
      <c r="J18" s="13" t="s">
        <v>4</v>
      </c>
      <c r="K18" s="13" t="s">
        <v>61</v>
      </c>
      <c r="L18" s="13" t="s">
        <v>7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4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94</v>
      </c>
      <c r="D19" s="32" t="s">
        <v>833</v>
      </c>
      <c r="E19" s="33">
        <v>1</v>
      </c>
      <c r="F19" s="36">
        <v>14</v>
      </c>
      <c r="G19" s="36">
        <v>13</v>
      </c>
      <c r="H19" s="38" t="str">
        <f t="shared" si="8"/>
        <v>SCOUTING</v>
      </c>
      <c r="I19" s="34">
        <v>79</v>
      </c>
      <c r="J19" s="13" t="s">
        <v>4</v>
      </c>
      <c r="K19" s="13" t="s">
        <v>63</v>
      </c>
      <c r="L19" s="13" t="s">
        <v>6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5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U2025</v>
      </c>
      <c r="C20" s="31">
        <f t="shared" si="3"/>
        <v>94</v>
      </c>
      <c r="D20" s="32" t="s">
        <v>833</v>
      </c>
      <c r="E20" s="33">
        <v>1</v>
      </c>
      <c r="F20" s="36">
        <v>14</v>
      </c>
      <c r="G20" s="36">
        <v>13</v>
      </c>
      <c r="H20" s="38" t="str">
        <f t="shared" si="8"/>
        <v>SCOUTING</v>
      </c>
      <c r="I20" s="34">
        <v>80</v>
      </c>
      <c r="J20" s="13" t="s">
        <v>4</v>
      </c>
      <c r="K20" s="13" t="s">
        <v>61</v>
      </c>
      <c r="L20" s="13" t="s">
        <v>7</v>
      </c>
      <c r="M20" s="13" t="s">
        <v>26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U2025</v>
      </c>
      <c r="C21" s="31">
        <f t="shared" si="3"/>
        <v>94</v>
      </c>
      <c r="D21" s="32" t="s">
        <v>834</v>
      </c>
      <c r="E21" s="33">
        <v>2</v>
      </c>
      <c r="F21" s="36">
        <v>34</v>
      </c>
      <c r="G21" s="36">
        <v>27</v>
      </c>
      <c r="H21" s="38" t="str">
        <f t="shared" si="8"/>
        <v>SCOUTING</v>
      </c>
      <c r="I21" s="34">
        <v>184</v>
      </c>
      <c r="J21" s="13" t="s">
        <v>4</v>
      </c>
      <c r="K21" s="13" t="s">
        <v>62</v>
      </c>
      <c r="L21" s="13" t="s">
        <v>6</v>
      </c>
      <c r="M21" s="13" t="s">
        <v>22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1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>U2025</v>
      </c>
      <c r="C22" s="31">
        <f t="shared" si="3"/>
        <v>94</v>
      </c>
      <c r="D22" s="32" t="s">
        <v>835</v>
      </c>
      <c r="E22" s="33">
        <v>2</v>
      </c>
      <c r="F22" s="36">
        <v>38</v>
      </c>
      <c r="G22" s="36">
        <v>30</v>
      </c>
      <c r="H22" s="38" t="str">
        <f t="shared" si="8"/>
        <v>SCOUTING</v>
      </c>
      <c r="I22" s="34">
        <v>212</v>
      </c>
      <c r="J22" s="13" t="s">
        <v>4</v>
      </c>
      <c r="K22" s="13" t="s">
        <v>63</v>
      </c>
      <c r="L22" s="13" t="s">
        <v>6</v>
      </c>
      <c r="M22" s="13" t="s">
        <v>27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6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>U2025</v>
      </c>
      <c r="C23" s="31">
        <f t="shared" si="3"/>
        <v>94</v>
      </c>
      <c r="D23" s="32" t="s">
        <v>836</v>
      </c>
      <c r="E23" s="33">
        <v>2</v>
      </c>
      <c r="F23" s="36">
        <v>45</v>
      </c>
      <c r="G23" s="36">
        <v>34</v>
      </c>
      <c r="H23" s="38" t="str">
        <f t="shared" si="8"/>
        <v>SCOUTING</v>
      </c>
      <c r="I23" s="34">
        <v>273</v>
      </c>
      <c r="J23" s="13" t="s">
        <v>4</v>
      </c>
      <c r="K23" s="13" t="s">
        <v>62</v>
      </c>
      <c r="L23" s="13" t="s">
        <v>6</v>
      </c>
      <c r="M23" s="13" t="s">
        <v>39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4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>U2025</v>
      </c>
      <c r="C24" s="31">
        <f t="shared" si="3"/>
        <v>94</v>
      </c>
      <c r="D24" s="32" t="s">
        <v>837</v>
      </c>
      <c r="E24" s="33">
        <v>4</v>
      </c>
      <c r="F24" s="36">
        <v>80</v>
      </c>
      <c r="G24" s="36">
        <v>63</v>
      </c>
      <c r="H24" s="38" t="str">
        <f t="shared" si="8"/>
        <v>SCOUTING</v>
      </c>
      <c r="I24" s="34">
        <v>562</v>
      </c>
      <c r="J24" s="13" t="s">
        <v>4</v>
      </c>
      <c r="K24" s="13" t="s">
        <v>61</v>
      </c>
      <c r="L24" s="13" t="s">
        <v>6</v>
      </c>
      <c r="M24" s="13" t="s">
        <v>23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>U2025</v>
      </c>
      <c r="C25" s="31">
        <f t="shared" si="3"/>
        <v>94</v>
      </c>
      <c r="D25" s="32" t="s">
        <v>838</v>
      </c>
      <c r="E25" s="33">
        <v>2</v>
      </c>
      <c r="F25" s="36">
        <v>36</v>
      </c>
      <c r="G25" s="36">
        <v>30</v>
      </c>
      <c r="H25" s="38" t="str">
        <f t="shared" si="8"/>
        <v>SCOUTING</v>
      </c>
      <c r="I25" s="34">
        <v>207</v>
      </c>
      <c r="J25" s="13" t="s">
        <v>4</v>
      </c>
      <c r="K25" s="13" t="s">
        <v>61</v>
      </c>
      <c r="L25" s="13" t="s">
        <v>7</v>
      </c>
      <c r="M25" s="13" t="s">
        <v>38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>U2025</v>
      </c>
      <c r="C26" s="31">
        <f t="shared" si="3"/>
        <v>94</v>
      </c>
      <c r="D26" s="32" t="s">
        <v>839</v>
      </c>
      <c r="E26" s="33">
        <v>4</v>
      </c>
      <c r="F26" s="36">
        <v>68</v>
      </c>
      <c r="G26" s="36">
        <v>57</v>
      </c>
      <c r="H26" s="38" t="str">
        <f t="shared" si="8"/>
        <v>SCOUTING</v>
      </c>
      <c r="I26" s="34">
        <v>496</v>
      </c>
      <c r="J26" s="13" t="s">
        <v>4</v>
      </c>
      <c r="K26" s="13" t="s">
        <v>61</v>
      </c>
      <c r="L26" s="13" t="s">
        <v>7</v>
      </c>
      <c r="M26" s="13" t="s">
        <v>38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1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2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REPORT_U2025094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"U2025094"</v>
      </c>
      <c r="F3" s="45" t="str">
        <f t="shared" ref="F3:F16" si="0">""""&amp;B3&amp;"""" &amp; " : " &amp;C3&amp;","</f>
        <v>"name" : "U2025094",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"U094"</v>
      </c>
      <c r="F4" s="45" t="str">
        <f t="shared" si="0"/>
        <v>"cod" : "U094",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094</v>
      </c>
      <c r="F6" s="45" t="str">
        <f t="shared" si="0"/>
        <v>"number" : 094,</v>
      </c>
    </row>
    <row r="7" spans="2:6" x14ac:dyDescent="0.2">
      <c r="B7" s="43" t="s">
        <v>116</v>
      </c>
      <c r="C7" s="43" t="str">
        <f ca="1">""""&amp;TEXT('SCOUT &amp; LOGISTICS'!B3,"dd/mm/aaaa")&amp;""""</f>
        <v>"09/12/Tuesday"</v>
      </c>
      <c r="F7" s="45" t="str">
        <f t="shared" ca="1" si="0"/>
        <v>"date" : "09/12/Tuesday",</v>
      </c>
    </row>
    <row r="8" spans="2:6" x14ac:dyDescent="0.2">
      <c r="B8" s="43" t="s">
        <v>125</v>
      </c>
      <c r="C8" s="43" t="str">
        <f>""""&amp;'SCOUT &amp; LOGISTICS'!D4 &amp;""""</f>
        <v>"Hapoel Bank Yahav Jerusalem"</v>
      </c>
      <c r="F8" s="45" t="str">
        <f t="shared" si="0"/>
        <v>"home_team" : "Hapoel Bank Yahav Jerusalem",</v>
      </c>
    </row>
    <row r="9" spans="2:6" x14ac:dyDescent="0.2">
      <c r="B9" s="43" t="s">
        <v>126</v>
      </c>
      <c r="C9" s="43" t="str">
        <f>""""&amp;'SCOUT &amp; LOGISTICS'!D5&amp;""""</f>
        <v>"Veolia Towers Hamburg"</v>
      </c>
      <c r="F9" s="45" t="str">
        <f t="shared" si="0"/>
        <v>"away_team" : "Veolia Towers Hamburg",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"ALMOG BAND"</v>
      </c>
      <c r="F10" s="45" t="str">
        <f t="shared" si="0"/>
        <v>"Data_entry" : "ALMOG BAND",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"AVISHAI SLONIM"</v>
      </c>
      <c r="F11" s="45" t="str">
        <f t="shared" si="0"/>
        <v>"Caller_1" : "AVISHAI SLONIM",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"TAL GRAFF"</v>
      </c>
      <c r="F12" s="45" t="str">
        <f t="shared" si="0"/>
        <v>"Caller_2" : "TAL GRAFF",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"OZ HAMAMA"</v>
      </c>
      <c r="F13" s="45" t="str">
        <f t="shared" si="0"/>
        <v>"Timerkeeper" : "OZ HAMAMA",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"MAOZ HAREL"</v>
      </c>
      <c r="F14" s="45" t="str">
        <f t="shared" si="0"/>
        <v>"Shotclock" : "MAOZ HAREL",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615</v>
      </c>
      <c r="F25" s="45" t="str">
        <f t="shared" ref="F25:F48" si="1">""""&amp;C25&amp;"""" &amp; " : " &amp;D25&amp;","</f>
        <v>"total_actions" : 615,</v>
      </c>
    </row>
    <row r="26" spans="2:6" x14ac:dyDescent="0.2">
      <c r="C26" s="43" t="s">
        <v>132</v>
      </c>
      <c r="D26" s="43">
        <f>'SCOUT &amp; LOGISTICS'!F3</f>
        <v>10</v>
      </c>
      <c r="F26" s="45" t="str">
        <f t="shared" si="1"/>
        <v>"total_correcions" : 10,</v>
      </c>
    </row>
    <row r="27" spans="2:6" x14ac:dyDescent="0.2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">
      <c r="C30" s="43" t="s">
        <v>126</v>
      </c>
      <c r="D30" s="43">
        <f>IF('SCOUT &amp; LOGISTICS'!AA19="","",'SCOUT &amp; LOGISTICS'!AA19)</f>
        <v>5</v>
      </c>
      <c r="F30" s="45" t="str">
        <f t="shared" si="1"/>
        <v>"away_team" : 5,</v>
      </c>
    </row>
    <row r="31" spans="2:6" x14ac:dyDescent="0.2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">
      <c r="C32" s="43" t="s">
        <v>136</v>
      </c>
      <c r="D32" s="43">
        <f>'SCOUT &amp; LOGISTICS'!AG18</f>
        <v>4</v>
      </c>
      <c r="F32" s="45" t="str">
        <f t="shared" si="1"/>
        <v>"q2" : 4,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10</v>
      </c>
      <c r="F37" s="45" t="str">
        <f t="shared" si="1"/>
        <v>"scoresheet_corrections" : 10,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1</v>
      </c>
      <c r="F41" s="45" t="str">
        <f t="shared" si="1"/>
        <v>"irs" : 1,</v>
      </c>
    </row>
    <row r="42" spans="3:6" x14ac:dyDescent="0.2">
      <c r="C42" s="43" t="s">
        <v>145</v>
      </c>
      <c r="D42" s="43">
        <f>'SCOUT &amp; LOGISTICS'!AF46</f>
        <v>2</v>
      </c>
      <c r="F42" s="45" t="str">
        <f t="shared" si="1"/>
        <v>"substitution" : 2,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4</v>
      </c>
      <c r="F46" s="45" t="str">
        <f t="shared" si="1"/>
        <v>"part_of_a_sequence" : 4,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"First game of the season to start being used again. Good communication during the game. On scouting many mistakes on missidentity and there were a sequence missing on 1Q. Please remember that every 1st time out of the quarte MUST be also a TV time out. So if it was requested by a team we'll have to score 2 TOUT (1 for the team+TV TOUT)."</v>
      </c>
      <c r="F51" s="45" t="str">
        <f>""""&amp;B51&amp;"""" &amp; " : " &amp;C51&amp;","</f>
        <v>"comments" : "First game of the season to start being used again. Good communication during the game. On scouting many mistakes on missidentity and there were a sequence missing on 1Q. Please remember that every 1st time out of the quarte MUST be also a TV time out. So if it was requested by a team we'll have to score 2 TOUT (1 for the team+TV TOUT).",</v>
      </c>
    </row>
    <row r="52" spans="2:6" x14ac:dyDescent="0.2">
      <c r="B52" s="43" t="s">
        <v>153</v>
      </c>
      <c r="C52" s="43" t="str">
        <f>TEXT('SCOUT &amp; LOGISTICS'!F1,"0,0")</f>
        <v>10_094_JER_HAM_U2025</v>
      </c>
      <c r="F52" s="45" t="str">
        <f>""""&amp;B52&amp;"""" &amp; " : " &amp;C52</f>
        <v>"result" : 10_094_JER_HAM_U2025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U094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09/12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Hapoel Bank Yahav Jerusalem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Veolia Towers Hamburg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ALMOG BAND</v>
      </c>
      <c r="C8" s="201"/>
      <c r="D8" s="201"/>
      <c r="E8" s="201"/>
      <c r="F8" s="201"/>
      <c r="G8" s="201" t="str">
        <f>IF('SCOUT &amp; LOGISTICS'!D7="","",'SCOUT &amp; LOGISTICS'!D7)</f>
        <v>AVISHAI SLONIM</v>
      </c>
      <c r="H8" s="201"/>
      <c r="I8" s="201"/>
      <c r="J8" s="201"/>
      <c r="K8" s="201"/>
      <c r="L8" s="201" t="str">
        <f>IF('SCOUT &amp; LOGISTICS'!D8="","",'SCOUT &amp; LOGISTICS'!D8)</f>
        <v>TAL GRAFF</v>
      </c>
      <c r="M8" s="201"/>
      <c r="N8" s="201"/>
      <c r="O8" s="201"/>
      <c r="P8" s="201"/>
      <c r="Q8" s="201" t="str">
        <f>IF('SCOUT &amp; LOGISTICS'!D9="","",'SCOUT &amp; LOGISTICS'!D9)</f>
        <v>OZ HAMAMA</v>
      </c>
      <c r="R8" s="201"/>
      <c r="S8" s="201"/>
      <c r="T8" s="201"/>
      <c r="U8" s="201"/>
      <c r="V8" s="201" t="str">
        <f>IF('SCOUT &amp; LOGISTICS'!D10="","",'SCOUT &amp; LOGISTICS'!D10)</f>
        <v>MAOZ HAREL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.5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5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OK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5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615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1.6260162601626018E-2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5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3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5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4</v>
      </c>
      <c r="C22" s="199"/>
      <c r="D22" s="199"/>
      <c r="E22" s="199"/>
      <c r="F22" s="199"/>
      <c r="G22" s="199"/>
      <c r="H22" s="199">
        <f>'SCOUT &amp; LOGISTICS'!AG18</f>
        <v>4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5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10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6</v>
      </c>
      <c r="H27" s="199"/>
      <c r="I27" s="199"/>
      <c r="J27" s="199"/>
      <c r="K27" s="199"/>
      <c r="L27" s="199">
        <f>'SCOUT &amp; LOGISTICS'!AC23</f>
        <v>4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5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First game of the season to start being used again. Good communication during the game. On scouting many mistakes on missidentity and there were a sequence missing on 1Q. Please remember that every 1st time out of the quarte MUST be also a TV time out. So if it was requested by a team we'll have to score 2 TOUT (1 for the team+TV TOUT).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18.626016260162601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E4E0515-569A-430F-92AF-06EABF0D3ECB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2025-12-10T16:18:09Z</cp:lastPrinted>
  <dcterms:created xsi:type="dcterms:W3CDTF">2023-09-19T19:50:35Z</dcterms:created>
  <dcterms:modified xsi:type="dcterms:W3CDTF">2025-12-12T17:39:12Z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