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1" documentId="8_{BB817837-DA03-4DF1-BC4C-1A1F5D513FFD}" xr6:coauthVersionLast="47" xr6:coauthVersionMax="47" xr10:uidLastSave="{9D47E540-D9F1-47BA-957A-D408BA04F25E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<sst xmlns="http://schemas.openxmlformats.org/spreadsheetml/2006/main" count="3275" uniqueCount="765">
  <si>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</si>
  <si>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</si>
  <si>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</si>
  <si>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</si>
  <si>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</si>
  <si>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</si>
  <si>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</si>
  <si>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</si>
  <si>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</si>
  <si>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</si>
  <si>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</si>
  <si>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</si>
  <si>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</si>
  <si>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</si>
  <si>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</si>
  <si>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</si>
  <si>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</si>
  <si>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</si>
  <si>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</si>
  <si>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</si>
  <si>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</si>
  <si>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</si>
  <si>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</si>
  <si>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</si>
  <si>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</si>
  <si>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</si>
  <si>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</si>
  <si>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</si>
  <si>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</si>
  <si>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</si>
  <si>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</si>
  <si>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</si>
  <si>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</si>
  <si>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</si>
  <si>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</si>
  <si>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</si>
  <si>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</si>
  <si>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</si>
  <si>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</si>
  <si>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</si>
  <si>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</si>
  <si>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</si>
  <si>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</si>
  <si>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</si>
  <si>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</si>
  <si>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</si>
  <si>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</si>
  <si>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</si>
  <si>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</si>
  <si>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</si>
  <si>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</si>
  <si>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</si>
  <si>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</si>
  <si>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</si>
  <si>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</si>
  <si>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</si>
  <si>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</si>
  <si>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</si>
  <si>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</si>
  <si>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</si>
  <si>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</si>
  <si>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</si>
  <si>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</si>
  <si>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</si>
  <si>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</si>
  <si>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</si>
  <si>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</si>
  <si>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</si>
  <si>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</si>
  <si>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</si>
  <si>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</si>
  <si>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</si>
  <si>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</si>
  <si>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</si>
  <si>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</si>
  <si>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</si>
  <si>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</si>
  <si>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</si>
  <si>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</si>
  <si>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</si>
  <si>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</si>
  <si>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</si>
  <si>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</si>
  <si>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</si>
  <si>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</si>
  <si>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</si>
  <si>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</si>
  <si>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</si>
  <si>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</si>
  <si>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</si>
  <si>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</si>
  <si>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</si>
  <si>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</si>
  <si>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</si>
  <si>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</si>
  <si>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</si>
  <si>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</si>
  <si>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</si>
  <si>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</si>
  <si>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</si>
  <si>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</si>
  <si>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</si>
  <si>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</si>
  <si>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</si>
  <si>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</si>
  <si>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</si>
  <si>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</si>
  <si>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</si>
  <si>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</si>
  <si>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</si>
  <si>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</si>
  <si>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</si>
  <si>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</si>
  <si>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</si>
  <si>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</si>
  <si>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</si>
  <si>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</si>
  <si>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</si>
  <si>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</si>
  <si>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</si>
  <si>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</si>
  <si>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</si>
  <si>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</si>
  <si>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</si>
  <si>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</si>
  <si>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</si>
  <si>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</si>
  <si>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</si>
  <si>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</si>
  <si>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</si>
  <si>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</si>
  <si>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</si>
  <si>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</si>
  <si>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</si>
  <si>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</si>
  <si>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</si>
  <si>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</si>
  <si>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</si>
  <si>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</si>
  <si>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</si>
  <si>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</si>
  <si>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</si>
  <si>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</si>
  <si>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</si>
  <si>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</si>
  <si>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</si>
  <si>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</si>
  <si>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</si>
  <si>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</si>
  <si>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</si>
  <si>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</si>
  <si>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</si>
  <si>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</si>
  <si>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</si>
  <si>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</si>
  <si>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</si>
  <si>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</si>
  <si>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</si>
  <si>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</si>
  <si>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</si>
  <si>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</si>
  <si>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</si>
  <si>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</si>
  <si>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</si>
  <si>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</si>
  <si>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</si>
  <si>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</si>
  <si>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</si>
  <si>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</si>
  <si>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</si>
  <si>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</si>
  <si>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</si>
  <si>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</si>
  <si>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</si>
  <si>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</si>
  <si>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</si>
  <si>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</si>
  <si>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</si>
  <si>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</si>
  <si>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</si>
  <si>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</si>
  <si>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</si>
  <si>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</si>
  <si>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</si>
  <si>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</si>
  <si>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</si>
  <si>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</si>
  <si>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</si>
  <si>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</si>
  <si>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</si>
  <si>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</si>
  <si>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</si>
  <si>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</si>
  <si>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</si>
  <si>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</si>
  <si>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</si>
  <si>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</si>
  <si>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</si>
  <si>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</si>
  <si>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</si>
  <si>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</si>
  <si>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</si>
  <si>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</si>
  <si>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</si>
  <si>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</si>
  <si>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</si>
  <si>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</si>
  <si>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</si>
  <si>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</si>
  <si>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</si>
  <si>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</si>
  <si>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</si>
  <si>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</si>
  <si>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</si>
  <si>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</si>
  <si>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</si>
  <si>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</si>
  <si>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</si>
  <si>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</si>
  <si>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</si>
  <si>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</si>
  <si>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</si>
  <si>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</si>
  <si>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</si>
  <si>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</si>
  <si>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</si>
  <si>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</si>
  <si>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</si>
  <si>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</si>
  <si>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</si>
  <si>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</si>
  <si>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</si>
  <si>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</si>
  <si>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</si>
  <si>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</si>
  <si>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</si>
  <si>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</si>
  <si>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</si>
  <si>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</si>
  <si>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</si>
  <si>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</si>
  <si>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</si>
  <si>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</si>
  <si>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</si>
  <si>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</si>
  <si>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</si>
  <si>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</si>
  <si>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</si>
  <si>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</si>
  <si>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</si>
  <si>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</si>
  <si>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</si>
  <si>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</si>
  <si>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</si>
  <si>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</si>
  <si>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</si>
  <si>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</si>
  <si>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</si>
  <si>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</si>
  <si>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</si>
  <si>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</si>
  <si>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</si>
  <si>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</si>
  <si>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</si>
  <si>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</si>
  <si>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</si>
  <si>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</si>
  <si>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</si>
  <si>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</si>
  <si>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</si>
  <si>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</si>
  <si>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</si>
  <si>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</si>
  <si>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</si>
  <si>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</si>
  <si>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</si>
  <si>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</si>
  <si>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</si>
  <si>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</si>
  <si>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</si>
  <si>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</si>
  <si>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</si>
  <si>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</si>
  <si>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</si>
  <si>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</si>
  <si>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</si>
  <si>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</si>
  <si>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</si>
  <si>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</si>
  <si>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</si>
  <si>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</si>
  <si>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</si>
  <si>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</si>
  <si>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</si>
  <si>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</si>
  <si>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</si>
  <si>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</si>
  <si>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</si>
  <si>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</si>
  <si>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</si>
  <si>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</si>
  <si>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</si>
  <si>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</si>
  <si>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</si>
  <si>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</si>
  <si>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</si>
  <si>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</si>
  <si>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</si>
  <si>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</si>
  <si>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</si>
  <si>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</si>
  <si>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</si>
  <si>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</si>
  <si>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</si>
  <si>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</si>
  <si>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</si>
  <si>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</si>
  <si>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</si>
  <si>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</si>
  <si>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</si>
  <si>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</si>
  <si>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</si>
  <si>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</si>
  <si>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</si>
  <si>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</si>
  <si>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</si>
  <si>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</si>
  <si>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</si>
  <si>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</si>
  <si>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</si>
  <si>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</si>
  <si>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</si>
  <si>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</si>
  <si>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</si>
  <si>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</si>
  <si>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</si>
  <si>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</si>
  <si>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</si>
  <si>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</si>
  <si>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</si>
  <si>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</si>
  <si>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</si>
  <si>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</si>
  <si>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</si>
  <si>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</si>
  <si>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</si>
  <si>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</si>
  <si>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</si>
  <si>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</si>
  <si>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</si>
  <si>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</si>
  <si>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</si>
  <si>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</si>
  <si>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</si>
  <si>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</si>
  <si>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</si>
  <si>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</si>
  <si>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</si>
  <si>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</si>
  <si>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</si>
  <si>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</si>
  <si>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</si>
  <si>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</si>
  <si>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</si>
  <si>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</si>
  <si>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</si>
  <si>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</si>
  <si>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</si>
  <si>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</si>
  <si>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</si>
  <si>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</si>
  <si>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</si>
  <si>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</si>
  <si>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</si>
  <si>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</si>
  <si>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</si>
  <si>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</si>
  <si>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</si>
  <si>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</si>
  <si>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</si>
  <si>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</si>
  <si>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</si>
  <si>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</si>
  <si>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</si>
  <si>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</si>
  <si>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</si>
  <si>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</si>
  <si>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</si>
  <si>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</si>
  <si>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</si>
  <si>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</si>
  <si>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</si>
  <si>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</si>
  <si>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</si>
  <si>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</si>
  <si>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</si>
  <si>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</si>
  <si>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</si>
  <si>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</si>
  <si>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</si>
  <si>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</si>
  <si>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</si>
  <si>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</si>
  <si>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</si>
  <si>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</si>
  <si>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</si>
  <si>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</si>
  <si>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</si>
  <si>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</si>
  <si>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</si>
  <si>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</si>
  <si>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</si>
  <si>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</si>
  <si>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</si>
  <si>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</si>
  <si>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</si>
  <si>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</si>
  <si>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</si>
  <si>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</si>
  <si>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</si>
  <si>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</si>
  <si>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</si>
  <si>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</si>
  <si>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</si>
  <si>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</si>
  <si>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</si>
  <si>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</si>
  <si>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</si>
  <si>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</si>
  <si>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</si>
  <si>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</si>
  <si>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</si>
  <si>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</si>
  <si>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</si>
  <si>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</si>
  <si>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</si>
  <si>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</si>
  <si>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</si>
  <si>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</si>
  <si>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</si>
  <si>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</si>
  <si>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</si>
  <si>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</si>
  <si>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</si>
  <si>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</si>
  <si>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</si>
  <si>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</si>
  <si>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</si>
  <si>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</si>
  <si>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</si>
  <si>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</si>
  <si>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</si>
  <si>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</si>
  <si>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</si>
  <si>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</si>
  <si>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</si>
  <si>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</si>
  <si>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</si>
  <si>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</si>
  <si>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</si>
  <si>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</si>
  <si>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</si>
  <si>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</si>
  <si>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</si>
  <si>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</si>
  <si>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</si>
  <si>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</si>
  <si>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</si>
  <si>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</si>
  <si>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</si>
  <si>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</si>
  <si>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</si>
  <si>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</si>
  <si>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</si>
  <si>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</si>
  <si>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</si>
  <si>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</si>
  <si>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</si>
  <si>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</si>
  <si>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</si>
  <si>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</si>
  <si>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</si>
  <si>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</si>
  <si>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</si>
  <si>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</si>
  <si>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</si>
  <si>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</si>
  <si>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</si>
  <si>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</si>
  <si>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</si>
  <si>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</si>
  <si>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</si>
  <si>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</si>
  <si>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</si>
  <si>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</si>
  <si>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</si>
  <si>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</si>
  <si>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</si>
  <si>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</si>
  <si>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</si>
  <si>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</si>
  <si>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</si>
  <si>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</si>
  <si>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</si>
  <si>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</si>
  <si>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</si>
  <si>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</si>
  <si>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</si>
  <si>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</si>
  <si>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</si>
  <si>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</si>
  <si>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</si>
  <si>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</si>
  <si>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</si>
  <si>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</si>
  <si>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</si>
  <si>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</si>
  <si>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</si>
  <si>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</si>
  <si>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</si>
  <si>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</si>
  <si>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</si>
  <si>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</si>
  <si>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</si>
  <si>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</si>
  <si>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</si>
  <si>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</si>
  <si>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</si>
  <si>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</si>
  <si>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</si>
  <si>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</si>
  <si>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</si>
  <si>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</si>
  <si>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</si>
  <si>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</si>
  <si>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</si>
  <si>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</si>
  <si>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</si>
  <si>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</si>
  <si>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</si>
  <si>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</si>
  <si>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</si>
  <si>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</si>
  <si>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</si>
  <si>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</si>
  <si>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</si>
  <si>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</si>
  <si>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</si>
  <si>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</si>
  <si>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</si>
  <si>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</si>
  <si>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</si>
  <si>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</si>
  <si>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</si>
  <si>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</si>
  <si>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</si>
  <si>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</si>
  <si>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</si>
  <si>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</si>
  <si>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</si>
  <si>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</si>
  <si>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</si>
  <si>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</si>
  <si>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</si>
  <si>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</si>
  <si>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</si>
  <si>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</si>
  <si>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</si>
  <si>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</si>
  <si>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</si>
  <si>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</si>
  <si>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</si>
  <si>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</si>
  <si>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</si>
  <si>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</si>
  <si>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</si>
  <si>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</si>
  <si>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</si>
  <si>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</si>
  <si>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</si>
  <si>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</si>
  <si>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</si>
  <si>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</si>
  <si>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</si>
  <si>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</si>
  <si>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</si>
  <si>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</si>
  <si>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</si>
  <si>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</si>
  <si>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</si>
  <si>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</si>
  <si>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</si>
  <si>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</si>
  <si>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</si>
  <si>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</si>
  <si>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</si>
  <si>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</si>
  <si>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</si>
  <si>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</si>
  <si>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</si>
  <si>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</si>
  <si>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</si>
  <si>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</si>
  <si>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</si>
  <si>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</si>
  <si>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</si>
  <si>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</si>
  <si>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</si>
  <si>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</si>
  <si>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</si>
  <si>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</si>
  <si>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</si>
  <si>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</si>
  <si>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</si>
  <si>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</si>
  <si>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</si>
  <si>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</si>
  <si>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</si>
  <si>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</si>
  <si>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</si>
  <si>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</si>
  <si>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</si>
  <si>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</si>
  <si>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</si>
  <si>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</si>
  <si>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</si>
  <si>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</si>
  <si>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</si>
  <si>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</si>
  <si>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</si>
  <si>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</si>
  <si>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</si>
  <si>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</si>
  <si>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</si>
  <si>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</si>
  <si>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</si>
  <si>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</si>
  <si>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</si>
  <si>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</si>
  <si>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</si>
  <si>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</si>
  <si>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</si>
  <si>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</si>
  <si>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</si>
  <si>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</si>
  <si>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</si>
  <si>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</si>
  <si>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</si>
  <si>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</si>
  <si>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</si>
  <si>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</si>
  <si>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</si>
  <si>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</si>
  <si>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</si>
  <si>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</si>
  <si>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</si>
  <si>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</si>
  <si>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</si>
  <si>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</si>
  <si>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</si>
  <si>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</si>
  <si>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</si>
  <si>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</si>
  <si>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</si>
  <si>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</si>
  <si>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</si>
  <si>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</si>
  <si>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</si>
  <si>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</si>
  <si>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</si>
  <si>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</si>
  <si>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</si>
  <si>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</si>
  <si>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</si>
  <si>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</si>
  <si>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</si>
  <si>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</si>
  <si>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</si>
  <si>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</si>
  <si>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</si>
  <si>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</si>
  <si>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</si>
  <si>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</si>
  <si>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</si>
  <si>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</si>
  <si>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</si>
  <si>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</si>
  <si>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</si>
  <si>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</si>
  <si>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</si>
  <si>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</si>
  <si>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</si>
  <si>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</si>
  <si>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</si>
  <si>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</si>
  <si>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</si>
  <si>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</si>
  <si>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</si>
  <si>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</si>
  <si>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</si>
  <si>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</si>
  <si>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</si>
  <si>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</si>
  <si>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</si>
  <si>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</si>
  <si>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</si>
  <si>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</si>
  <si>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</si>
  <si>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</si>
  <si>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</si>
  <si>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</si>
  <si>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</si>
  <si>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</si>
  <si>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</si>
  <si>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</si>
  <si>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</si>
  <si>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</si>
  <si>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</si>
  <si>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</si>
  <si>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</si>
  <si>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</si>
  <si>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</si>
  <si>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</si>
  <si>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</si>
  <si>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</si>
  <si>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</si>
  <si>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</si>
  <si>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</si>
  <si>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</si>
  <si>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</si>
  <si>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</si>
  <si>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</si>
  <si>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</si>
  <si>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</si>
  <si>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</si>
  <si>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</si>
  <si>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</si>
  <si>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</si>
  <si>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</si>
  <si>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</si>
  <si>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</si>
  <si>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</si>
  <si>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</si>
  <si>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</si>
  <si>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</si>
  <si>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</si>
  <si>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</si>
  <si>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</si>
  <si>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</si>
  <si>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</si>
  <si>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</si>
  <si>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</si>
  <si>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</si>
  <si>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</si>
  <si>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</si>
  <si>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</si>
  <si>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ORIOL GARCIA</t>
  </si>
  <si>
    <t>06:11</t>
  </si>
  <si>
    <t>03:49</t>
  </si>
  <si>
    <t>00:04</t>
  </si>
  <si>
    <t>09:32</t>
  </si>
  <si>
    <t>04:36</t>
  </si>
  <si>
    <t>07:57</t>
  </si>
  <si>
    <t>I needed moore comunication before the start of the game, the rest of the game was good. Good general scouting with some criteria corrections. About the protest, I don't know where the problem came but ensure you review the correct procedure available in moodle. Also be SURE that coach is signing in his box.</t>
  </si>
  <si>
    <t>C:\Users\oriol.garcia\OneDrive - EUROLEAGUE\Documents\Season 25-26\Reports\Euroleague\Valencia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</si>
</sst>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1" sqref="N3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10_094_PAM_MAD_E2025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94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45972.854166666664</v>
      </c>
      <c r="C3" s="157"/>
      <c r="D3" s="39">
        <v>677</v>
      </c>
      <c r="E3" s="29"/>
      <c r="F3" s="26">
        <f>SUBTOTAL(3,I17:I106)</f>
        <v>6</v>
      </c>
      <c r="G3" s="27">
        <f>IF(OR(D3="",D3=0),"",F3/D3)</f>
        <v>8.8626292466765146E-3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Valencia Basket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8.8626292466765146E-3</v>
      </c>
      <c r="S4" s="61">
        <f>SUM(I13:M13)</f>
        <v>2</v>
      </c>
      <c r="T4" s="78"/>
      <c r="U4" s="61">
        <f>AC18</f>
        <v>5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Real Madrid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0.88626292466765144</v>
      </c>
      <c r="S5" s="70">
        <f t="shared" ref="S5" si="0">S4*S3</f>
        <v>2</v>
      </c>
      <c r="T5" s="92"/>
      <c r="U5" s="70">
        <f t="shared" ref="U5:AG5" si="1">U4*U3</f>
        <v>2.5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6.3862629246676512</v>
      </c>
      <c r="N7" s="58"/>
      <c r="O7" s="2"/>
      <c r="P7" s="2"/>
      <c r="Q7" s="86">
        <f>SUM(R5,S5,AC16)</f>
        <v>6.3862629246676512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6.3862629246676512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94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94</v>
      </c>
      <c r="D17" s="32" t="s">
        <v>757</v>
      </c>
      <c r="E17" s="33">
        <v>1</v>
      </c>
      <c r="F17" s="36">
        <v>8</v>
      </c>
      <c r="G17" s="36">
        <v>8</v>
      </c>
      <c r="H17" s="38" t="str">
        <f>IF(I17="","",$I$14)</f>
        <v>SCOUTING</v>
      </c>
      <c r="I17" s="34">
        <v>39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94</v>
      </c>
      <c r="D18" s="32" t="s">
        <v>758</v>
      </c>
      <c r="E18" s="33">
        <v>2</v>
      </c>
      <c r="F18" s="36">
        <v>35</v>
      </c>
      <c r="G18" s="36">
        <v>32</v>
      </c>
      <c r="H18" s="38" t="str">
        <f t="shared" ref="H18:H81" si="8">IF(I18="","",$I$14)</f>
        <v>SCOUTING</v>
      </c>
      <c r="I18" s="34">
        <v>249</v>
      </c>
      <c r="J18" s="13" t="s">
        <v>4</v>
      </c>
      <c r="K18" s="13" t="s">
        <v>62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94</v>
      </c>
      <c r="D19" s="32" t="s">
        <v>759</v>
      </c>
      <c r="E19" s="33">
        <v>2</v>
      </c>
      <c r="F19" s="36">
        <v>45</v>
      </c>
      <c r="G19" s="36">
        <v>38</v>
      </c>
      <c r="H19" s="38" t="str">
        <f t="shared" si="8"/>
        <v>SCOUTING</v>
      </c>
      <c r="I19" s="34">
        <v>314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94</v>
      </c>
      <c r="D20" s="32" t="s">
        <v>760</v>
      </c>
      <c r="E20" s="33">
        <v>3</v>
      </c>
      <c r="F20" s="36">
        <v>48</v>
      </c>
      <c r="G20" s="36">
        <v>38</v>
      </c>
      <c r="H20" s="38" t="str">
        <f t="shared" si="8"/>
        <v>SCOUTING</v>
      </c>
      <c r="I20" s="34">
        <v>329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94</v>
      </c>
      <c r="D21" s="32" t="s">
        <v>761</v>
      </c>
      <c r="E21" s="33">
        <v>3</v>
      </c>
      <c r="F21" s="36">
        <v>57</v>
      </c>
      <c r="G21" s="36">
        <v>52</v>
      </c>
      <c r="H21" s="38" t="str">
        <f t="shared" si="8"/>
        <v>SCOUTING</v>
      </c>
      <c r="I21" s="34">
        <v>409</v>
      </c>
      <c r="J21" s="13" t="s">
        <v>4</v>
      </c>
      <c r="K21" s="13" t="s">
        <v>62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E2025</v>
      </c>
      <c r="C22" s="31">
        <f t="shared" si="3"/>
        <v>94</v>
      </c>
      <c r="D22" s="32" t="s">
        <v>762</v>
      </c>
      <c r="E22" s="33">
        <v>4</v>
      </c>
      <c r="F22" s="36">
        <v>72</v>
      </c>
      <c r="G22" s="36">
        <v>60</v>
      </c>
      <c r="H22" s="38" t="str">
        <f t="shared" si="8"/>
        <v>SCOUTING</v>
      </c>
      <c r="I22" s="34">
        <v>548</v>
      </c>
      <c r="J22" s="13" t="s">
        <v>4</v>
      </c>
      <c r="K22" s="13" t="s">
        <v>61</v>
      </c>
      <c r="L22" s="13" t="s">
        <v>75</v>
      </c>
      <c r="M22" s="13" t="s">
        <v>29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REPORT_E2025094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"E2025094"</v>
      </c>
      <c r="F3" s="45" t="str">
        <f t="shared" ref="F3:F16" si="0">""""&amp;B3&amp;"""" &amp; " : " &amp;C3&amp;","</f>
        <v>"name" : "E2025094",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"E094"</v>
      </c>
      <c r="F4" s="45" t="str">
        <f t="shared" si="0"/>
        <v>"cod" : "E094",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094</v>
      </c>
      <c r="F6" s="45" t="str">
        <f t="shared" si="0"/>
        <v>"number" : 094,</v>
      </c>
    </row>
    <row r="7" spans="2:6" x14ac:dyDescent="0.2">
      <c r="B7" s="43" t="s">
        <v>116</v>
      </c>
      <c r="C7" s="43" t="str">
        <f ca="1">""""&amp;TEXT('SCOUT &amp; LOGISTICS'!B3,"dd/mm/aaaa")&amp;""""</f>
        <v>"11/11/Tuesday"</v>
      </c>
      <c r="F7" s="45" t="str">
        <f t="shared" ca="1" si="0"/>
        <v>"date" : "11/11/Tuesday",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"JOSE ANTONIO RODRIGUEZ"</v>
      </c>
      <c r="F11" s="45" t="str">
        <f t="shared" si="0"/>
        <v>"Caller_1" : "JOSE ANTONIO RODRIGUEZ",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"JOSE VICENTE ARQUES"</v>
      </c>
      <c r="F12" s="45" t="str">
        <f t="shared" si="0"/>
        <v>"Caller_2" : "JOSE VICENTE ARQUES",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"YOLANDA BAILACH MADERA"</v>
      </c>
      <c r="F13" s="45" t="str">
        <f t="shared" si="0"/>
        <v>"Timerkeeper" : "YOLANDA BAILACH MADERA",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"CRISTINA TORRES"</v>
      </c>
      <c r="F14" s="45" t="str">
        <f t="shared" si="0"/>
        <v>"Shotclock" : "CRISTINA TORRES",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677</v>
      </c>
      <c r="F25" s="45" t="str">
        <f t="shared" ref="F25:F48" si="1">""""&amp;C25&amp;"""" &amp; " : " &amp;D25&amp;","</f>
        <v>"total_actions" : 677,</v>
      </c>
    </row>
    <row r="26" spans="2:6" x14ac:dyDescent="0.2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"I needed moore comunication before the start of the game, the rest of the game was good. Good general scouting with some criteria corrections. About the protest, I don't know where the problem came but ensure you review the correct procedure available in moodle. Also be SURE that coach is signing in his box."</v>
      </c>
      <c r="F51" s="45" t="str">
        <f>""""&amp;B51&amp;"""" &amp; " : " &amp;C51&amp;","</f>
        <v>"comments" : "I needed moore comunication before the start of the game, the rest of the game was good. Good general scouting with some criteria corrections. About the protest, I don't know where the problem came but ensure you review the correct procedure available in moodle. Also be SURE that coach is signing in his box.",</v>
      </c>
    </row>
    <row r="52" spans="2:6" x14ac:dyDescent="0.2">
      <c r="B52" s="43" t="s">
        <v>153</v>
      </c>
      <c r="C52" s="43" t="str">
        <f>TEXT('SCOUT &amp; LOGISTICS'!F1,"0,0")</f>
        <v>10_094_PAM_MAD_E2025</v>
      </c>
      <c r="F52" s="45" t="str">
        <f>""""&amp;B52&amp;"""" &amp; " : " &amp;C52</f>
        <v>"result" : 10_094_PAM_MAD_E2025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E094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11/11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Valencia Basket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Real Madrid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JACOBO LAPRESTA</v>
      </c>
      <c r="C8" s="206"/>
      <c r="D8" s="206"/>
      <c r="E8" s="206"/>
      <c r="F8" s="206"/>
      <c r="G8" s="206" t="str">
        <f>IF('SCOUT &amp; LOGISTICS'!D7="","",'SCOUT &amp; LOGISTICS'!D7)</f>
        <v>JOSE ANTONIO RODRIGUEZ</v>
      </c>
      <c r="H8" s="206"/>
      <c r="I8" s="206"/>
      <c r="J8" s="206"/>
      <c r="K8" s="206"/>
      <c r="L8" s="206" t="str">
        <f>IF('SCOUT &amp; LOGISTICS'!D8="","",'SCOUT &amp; LOGISTICS'!D8)</f>
        <v>JOSE VICENTE ARQUES</v>
      </c>
      <c r="M8" s="206"/>
      <c r="N8" s="206"/>
      <c r="O8" s="206"/>
      <c r="P8" s="206"/>
      <c r="Q8" s="206" t="str">
        <f>IF('SCOUT &amp; LOGISTICS'!D9="","",'SCOUT &amp; LOGISTICS'!D9)</f>
        <v>YOLANDA BAILACH MADERA</v>
      </c>
      <c r="R8" s="206"/>
      <c r="S8" s="206"/>
      <c r="T8" s="206"/>
      <c r="U8" s="206"/>
      <c r="V8" s="206" t="str">
        <f>IF('SCOUT &amp; LOGISTICS'!D10="","",'SCOUT &amp; LOGISTICS'!D10)</f>
        <v>CRISTINA TORRES</v>
      </c>
      <c r="W8" s="206"/>
      <c r="X8" s="206"/>
      <c r="Y8" s="206"/>
      <c r="Z8" s="206"/>
      <c r="AA8" s="206" t="str">
        <f>IF('SCOUT &amp; LOGISTICS'!D11="","",'SCOUT &amp; LOGISTICS'!D11)</f>
        <v>BORJA RODRIGUEZ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677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8.8626292466765146E-3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I needed moore comunication before the start of the game, the rest of the game was good. Good general scouting with some criteria corrections. About the protest, I don't know where the problem came but ensure you review the correct procedure available in moodle. Also be SURE that coach is signing in his box.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6.3862629246676512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1BFC62-5505-488D-9FBB-F98DA4E4F1E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2025-11-12T16:09:48Z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