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6" documentId="8_{9BA33590-755A-4057-823A-1D3E70FE4C7C}" xr6:coauthVersionLast="47" xr6:coauthVersionMax="47" xr10:uidLastSave="{0F24BEE6-BA29-4374-95FF-1BA7CC1AE335}"/>
  <bookViews>
    <workbookView xWindow="-3105" yWindow="-1308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<sst xmlns="http://schemas.openxmlformats.org/spreadsheetml/2006/main" count="3387" uniqueCount="844">
  <si>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</si>
  <si>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</si>
  <si>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</si>
  <si>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</si>
  <si>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</si>
  <si>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</si>
  <si>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</si>
  <si>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</si>
  <si>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</si>
  <si>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</si>
  <si>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</si>
  <si>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</si>
  <si>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</si>
  <si>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</si>
  <si>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</si>
  <si>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</si>
  <si>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</si>
  <si>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</si>
  <si>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</si>
  <si>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</si>
  <si>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</si>
  <si>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</si>
  <si>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</si>
  <si>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</si>
  <si>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</si>
  <si>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</si>
  <si>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</si>
  <si>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</si>
  <si>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</si>
  <si>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</si>
  <si>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</si>
  <si>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</si>
  <si>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</si>
  <si>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</si>
  <si>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</si>
  <si>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</si>
  <si>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</si>
  <si>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</si>
  <si>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</si>
  <si>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</si>
  <si>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</si>
  <si>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</si>
  <si>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</si>
  <si>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</si>
  <si>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</si>
  <si>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</si>
  <si>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</si>
  <si>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</si>
  <si>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</si>
  <si>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</si>
  <si>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</si>
  <si>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</si>
  <si>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</si>
  <si>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</si>
  <si>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</si>
  <si>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</si>
  <si>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</si>
  <si>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</si>
  <si>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</si>
  <si>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</si>
  <si>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</si>
  <si>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</si>
  <si>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</si>
  <si>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</si>
  <si>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</si>
  <si>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</si>
  <si>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</si>
  <si>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</si>
  <si>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</si>
  <si>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</si>
  <si>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</si>
  <si>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</si>
  <si>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</si>
  <si>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</si>
  <si>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</si>
  <si>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</si>
  <si>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</si>
  <si>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</si>
  <si>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</si>
  <si>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</si>
  <si>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</si>
  <si>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</si>
  <si>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</si>
  <si>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</si>
  <si>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</si>
  <si>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</si>
  <si>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</si>
  <si>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</si>
  <si>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</si>
  <si>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</si>
  <si>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</si>
  <si>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</si>
  <si>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</si>
  <si>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</si>
  <si>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</si>
  <si>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</si>
  <si>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</si>
  <si>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</si>
  <si>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</si>
  <si>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</si>
  <si>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</si>
  <si>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</si>
  <si>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</si>
  <si>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</si>
  <si>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</si>
  <si>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</si>
  <si>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</si>
  <si>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</si>
  <si>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</si>
  <si>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</si>
  <si>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</si>
  <si>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</si>
  <si>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</si>
  <si>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</si>
  <si>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</si>
  <si>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</si>
  <si>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</si>
  <si>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</si>
  <si>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</si>
  <si>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</si>
  <si>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</si>
  <si>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</si>
  <si>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</si>
  <si>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</si>
  <si>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</si>
  <si>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</si>
  <si>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</si>
  <si>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</si>
  <si>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</si>
  <si>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</si>
  <si>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</si>
  <si>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</si>
  <si>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</si>
  <si>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</si>
  <si>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</si>
  <si>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</si>
  <si>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</si>
  <si>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</si>
  <si>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</si>
  <si>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</si>
  <si>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</si>
  <si>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</si>
  <si>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</si>
  <si>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</si>
  <si>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</si>
  <si>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</si>
  <si>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</si>
  <si>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</si>
  <si>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</si>
  <si>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</si>
  <si>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</si>
  <si>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</si>
  <si>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</si>
  <si>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</si>
  <si>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</si>
  <si>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</si>
  <si>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</si>
  <si>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</si>
  <si>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</si>
  <si>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</si>
  <si>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</si>
  <si>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</si>
  <si>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</si>
  <si>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</si>
  <si>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</si>
  <si>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</si>
  <si>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</si>
  <si>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</si>
  <si>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</si>
  <si>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</si>
  <si>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</si>
  <si>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</si>
  <si>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</si>
  <si>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</si>
  <si>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</si>
  <si>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</si>
  <si>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</si>
  <si>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</si>
  <si>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</si>
  <si>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</si>
  <si>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</si>
  <si>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</si>
  <si>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</si>
  <si>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</si>
  <si>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</si>
  <si>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</si>
  <si>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</si>
  <si>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</si>
  <si>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</si>
  <si>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</si>
  <si>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</si>
  <si>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</si>
  <si>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</si>
  <si>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</si>
  <si>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</si>
  <si>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</si>
  <si>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</si>
  <si>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</si>
  <si>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</si>
  <si>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</si>
  <si>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</si>
  <si>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</si>
  <si>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</si>
  <si>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</si>
  <si>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</si>
  <si>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</si>
  <si>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</si>
  <si>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</si>
  <si>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</si>
  <si>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</si>
  <si>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</si>
  <si>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</si>
  <si>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</si>
  <si>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</si>
  <si>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</si>
  <si>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</si>
  <si>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</si>
  <si>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</si>
  <si>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</si>
  <si>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</si>
  <si>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</si>
  <si>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</si>
  <si>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</si>
  <si>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</si>
  <si>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</si>
  <si>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</si>
  <si>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</si>
  <si>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</si>
  <si>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</si>
  <si>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</si>
  <si>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</si>
  <si>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</si>
  <si>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</si>
  <si>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</si>
  <si>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</si>
  <si>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</si>
  <si>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</si>
  <si>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</si>
  <si>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</si>
  <si>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</si>
  <si>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</si>
  <si>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</si>
  <si>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</si>
  <si>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</si>
  <si>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</si>
  <si>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</si>
  <si>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</si>
  <si>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</si>
  <si>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</si>
  <si>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</si>
  <si>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</si>
  <si>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</si>
  <si>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</si>
  <si>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</si>
  <si>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</si>
  <si>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</si>
  <si>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</si>
  <si>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</si>
  <si>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</si>
  <si>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</si>
  <si>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</si>
  <si>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</si>
  <si>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</si>
  <si>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</si>
  <si>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</si>
  <si>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</si>
  <si>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</si>
  <si>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</si>
  <si>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</si>
  <si>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</si>
  <si>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</si>
  <si>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</si>
  <si>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</si>
  <si>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</si>
  <si>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</si>
  <si>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</si>
  <si>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</si>
  <si>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</si>
  <si>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</si>
  <si>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</si>
  <si>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</si>
  <si>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</si>
  <si>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</si>
  <si>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</si>
  <si>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</si>
  <si>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</si>
  <si>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</si>
  <si>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</si>
  <si>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</si>
  <si>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</si>
  <si>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</si>
  <si>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</si>
  <si>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</si>
  <si>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</si>
  <si>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</si>
  <si>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</si>
  <si>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</si>
  <si>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</si>
  <si>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</si>
  <si>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</si>
  <si>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</si>
  <si>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</si>
  <si>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</si>
  <si>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</si>
  <si>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</si>
  <si>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</si>
  <si>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</si>
  <si>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</si>
  <si>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</si>
  <si>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</si>
  <si>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</si>
  <si>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</si>
  <si>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</si>
  <si>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</si>
  <si>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</si>
  <si>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</si>
  <si>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</si>
  <si>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</si>
  <si>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</si>
  <si>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</si>
  <si>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</si>
  <si>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</si>
  <si>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</si>
  <si>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</si>
  <si>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</si>
  <si>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</si>
  <si>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</si>
  <si>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</si>
  <si>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</si>
  <si>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</si>
  <si>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</si>
  <si>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</si>
  <si>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</si>
  <si>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</si>
  <si>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</si>
  <si>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</si>
  <si>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</si>
  <si>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</si>
  <si>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</si>
  <si>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</si>
  <si>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</si>
  <si>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</si>
  <si>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</si>
  <si>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</si>
  <si>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</si>
  <si>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</si>
  <si>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</si>
  <si>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</si>
  <si>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</si>
  <si>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</si>
  <si>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</si>
  <si>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</si>
  <si>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</si>
  <si>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</si>
  <si>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</si>
  <si>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</si>
  <si>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</si>
  <si>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</si>
  <si>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</si>
  <si>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</si>
  <si>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</si>
  <si>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</si>
  <si>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</si>
  <si>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</si>
  <si>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</si>
  <si>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</si>
  <si>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</si>
  <si>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</si>
  <si>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</si>
  <si>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</si>
  <si>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</si>
  <si>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</si>
  <si>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</si>
  <si>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</si>
  <si>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</si>
  <si>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</si>
  <si>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</si>
  <si>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</si>
  <si>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</si>
  <si>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</si>
  <si>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</si>
  <si>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</si>
  <si>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</si>
  <si>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</si>
  <si>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</si>
  <si>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</si>
  <si>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</si>
  <si>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</si>
  <si>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</si>
  <si>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</si>
  <si>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</si>
  <si>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</si>
  <si>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</si>
  <si>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</si>
  <si>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</si>
  <si>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</si>
  <si>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</si>
  <si>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</si>
  <si>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</si>
  <si>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</si>
  <si>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</si>
  <si>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</si>
  <si>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</si>
  <si>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</si>
  <si>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</si>
  <si>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</si>
  <si>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</si>
  <si>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</si>
  <si>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</si>
  <si>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</si>
  <si>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</si>
  <si>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</si>
  <si>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</si>
  <si>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</si>
  <si>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</si>
  <si>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</si>
  <si>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</si>
  <si>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</si>
  <si>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</si>
  <si>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</si>
  <si>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</si>
  <si>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</si>
  <si>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</si>
  <si>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</si>
  <si>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</si>
  <si>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</si>
  <si>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</si>
  <si>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</si>
  <si>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</si>
  <si>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</si>
  <si>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</si>
  <si>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</si>
  <si>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</si>
  <si>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</si>
  <si>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</si>
  <si>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</si>
  <si>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</si>
  <si>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</si>
  <si>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</si>
  <si>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</si>
  <si>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</si>
  <si>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</si>
  <si>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</si>
  <si>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</si>
  <si>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</si>
  <si>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</si>
  <si>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</si>
  <si>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</si>
  <si>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</si>
  <si>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</si>
  <si>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</si>
  <si>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</si>
  <si>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</si>
  <si>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</si>
  <si>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</si>
  <si>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</si>
  <si>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</si>
  <si>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</si>
  <si>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</si>
  <si>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</si>
  <si>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</si>
  <si>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</si>
  <si>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</si>
  <si>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</si>
  <si>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</si>
  <si>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</si>
  <si>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</si>
  <si>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</si>
  <si>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</si>
  <si>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</si>
  <si>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</si>
  <si>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</si>
  <si>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</si>
  <si>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</si>
  <si>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</si>
  <si>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</si>
  <si>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</si>
  <si>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</si>
  <si>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</si>
  <si>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</si>
  <si>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</si>
  <si>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</si>
  <si>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</si>
  <si>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</si>
  <si>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</si>
  <si>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</si>
  <si>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</si>
  <si>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</si>
  <si>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</si>
  <si>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</si>
  <si>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</si>
  <si>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</si>
  <si>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</si>
  <si>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</si>
  <si>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</si>
  <si>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</si>
  <si>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</si>
  <si>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</si>
  <si>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</si>
  <si>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</si>
  <si>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</si>
  <si>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</si>
  <si>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</si>
  <si>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</si>
  <si>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</si>
  <si>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</si>
  <si>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</si>
  <si>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</si>
  <si>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</si>
  <si>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</si>
  <si>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</si>
  <si>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</si>
  <si>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</si>
  <si>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</si>
  <si>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</si>
  <si>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</si>
  <si>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</si>
  <si>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</si>
  <si>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</si>
  <si>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</si>
  <si>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</si>
  <si>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</si>
  <si>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</si>
  <si>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</si>
  <si>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</si>
  <si>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</si>
  <si>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</si>
  <si>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</si>
  <si>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</si>
  <si>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</si>
  <si>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</si>
  <si>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</si>
  <si>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</si>
  <si>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</si>
  <si>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</si>
  <si>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</si>
  <si>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</si>
  <si>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</si>
  <si>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</si>
  <si>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</si>
  <si>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</si>
  <si>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</si>
  <si>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</si>
  <si>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</si>
  <si>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</si>
  <si>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</si>
  <si>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</si>
  <si>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</si>
  <si>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</si>
  <si>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</si>
  <si>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</si>
  <si>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</si>
  <si>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</si>
  <si>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</si>
  <si>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</si>
  <si>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</si>
  <si>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</si>
  <si>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</si>
  <si>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</si>
  <si>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</si>
  <si>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</si>
  <si>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</si>
  <si>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</si>
  <si>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</si>
  <si>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</si>
  <si>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</si>
  <si>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</si>
  <si>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</si>
  <si>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</si>
  <si>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</si>
  <si>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</si>
  <si>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</si>
  <si>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</si>
  <si>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</si>
  <si>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</si>
  <si>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</si>
  <si>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</si>
  <si>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</si>
  <si>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</si>
  <si>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</si>
  <si>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</si>
  <si>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</si>
  <si>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</si>
  <si>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</si>
  <si>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</si>
  <si>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</si>
  <si>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</si>
  <si>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</si>
  <si>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</si>
  <si>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</si>
  <si>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</si>
  <si>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</si>
  <si>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</si>
  <si>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</si>
  <si>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</si>
  <si>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</si>
  <si>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</si>
  <si>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</si>
  <si>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</si>
  <si>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</si>
  <si>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</si>
  <si>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</si>
  <si>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</si>
  <si>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</si>
  <si>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</si>
  <si>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</si>
  <si>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</si>
  <si>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</si>
  <si>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</si>
  <si>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</si>
  <si>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</si>
  <si>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</si>
  <si>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</si>
  <si>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</si>
  <si>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</si>
  <si>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</si>
  <si>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</si>
  <si>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</si>
  <si>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</si>
  <si>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</si>
  <si>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</si>
  <si>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</si>
  <si>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</si>
  <si>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</si>
  <si>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</si>
  <si>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</si>
  <si>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</si>
  <si>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</si>
  <si>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</si>
  <si>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</si>
  <si>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</si>
  <si>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</si>
  <si>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</si>
  <si>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</si>
  <si>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</si>
  <si>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</si>
  <si>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</si>
  <si>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</si>
  <si>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</si>
  <si>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</si>
  <si>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</si>
  <si>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</si>
  <si>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</si>
  <si>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</si>
  <si>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</si>
  <si>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</si>
  <si>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</si>
  <si>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</si>
  <si>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</si>
  <si>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</si>
  <si>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</si>
  <si>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</si>
  <si>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</si>
  <si>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</si>
  <si>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</si>
  <si>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</si>
  <si>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</si>
  <si>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</si>
  <si>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</si>
  <si>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</si>
  <si>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</si>
  <si>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</si>
  <si>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</si>
  <si>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</si>
  <si>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</si>
  <si>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</si>
  <si>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</si>
  <si>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</si>
  <si>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</si>
  <si>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</si>
  <si>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</si>
  <si>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</si>
  <si>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</si>
  <si>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</si>
  <si>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</si>
  <si>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</si>
  <si>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</si>
  <si>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</si>
  <si>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</si>
  <si>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</si>
  <si>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</si>
  <si>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</si>
  <si>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</si>
  <si>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</si>
  <si>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</si>
  <si>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</si>
  <si>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</si>
  <si>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</si>
  <si>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</si>
  <si>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</si>
  <si>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</si>
  <si>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</si>
  <si>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</si>
  <si>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</si>
  <si>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</si>
  <si>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</si>
  <si>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</si>
  <si>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</si>
  <si>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</si>
  <si>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</si>
  <si>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</si>
  <si>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</si>
  <si>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</si>
  <si>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</si>
  <si>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</si>
  <si>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</si>
  <si>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</si>
  <si>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</si>
  <si>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</si>
  <si>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</si>
  <si>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</si>
  <si>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</si>
  <si>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</si>
  <si>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</si>
  <si>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</si>
  <si>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</si>
  <si>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</si>
  <si>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</si>
  <si>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</si>
  <si>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</si>
  <si>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</si>
  <si>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</si>
  <si>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</si>
  <si>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</si>
  <si>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</si>
  <si>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</si>
  <si>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</si>
  <si>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</si>
  <si>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</si>
  <si>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</si>
  <si>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</si>
  <si>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</si>
  <si>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</si>
  <si>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</si>
  <si>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</si>
  <si>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</si>
  <si>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</si>
  <si>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</si>
  <si>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</si>
  <si>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</si>
  <si>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</si>
  <si>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</si>
  <si>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</si>
  <si>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</si>
  <si>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</si>
  <si>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</si>
  <si>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</si>
  <si>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</si>
  <si>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</si>
  <si>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</si>
  <si>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</si>
  <si>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</si>
  <si>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</si>
  <si>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</si>
  <si>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</si>
  <si>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</si>
  <si>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</si>
  <si>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</si>
  <si>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</si>
  <si>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</si>
  <si>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</si>
  <si>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</si>
  <si>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</si>
  <si>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</si>
  <si>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</si>
  <si>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</si>
  <si>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</si>
  <si>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</si>
  <si>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</si>
  <si>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</si>
  <si>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</si>
  <si>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</si>
  <si>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</si>
  <si>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</si>
  <si>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</si>
  <si>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</si>
  <si>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</si>
  <si>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</si>
  <si>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</si>
  <si>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</si>
  <si>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</si>
  <si>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</si>
  <si>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</si>
  <si>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</si>
  <si>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</si>
  <si>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</si>
  <si>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</si>
  <si>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</si>
  <si>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</si>
  <si>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</si>
  <si>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</si>
  <si>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</si>
  <si>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</si>
  <si>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</si>
  <si>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</si>
  <si>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</si>
  <si>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</si>
  <si>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</si>
  <si>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</si>
  <si>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</si>
  <si>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</si>
  <si>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</si>
  <si>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</si>
  <si>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</si>
  <si>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</si>
  <si>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</si>
  <si>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</si>
  <si>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</si>
  <si>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</si>
  <si>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</si>
  <si>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</si>
  <si>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</si>
  <si>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</si>
  <si>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</si>
  <si>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</si>
  <si>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</si>
  <si>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</si>
  <si>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</si>
  <si>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</si>
  <si>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</si>
  <si>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</si>
  <si>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</si>
  <si>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</si>
  <si>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</si>
  <si>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</si>
  <si>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</si>
  <si>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GERARD CAROD</t>
  </si>
  <si>
    <t>ALBERTO MORALES</t>
  </si>
  <si>
    <t>VERONICA NAVARRO</t>
  </si>
  <si>
    <t>GEMMA BOERA</t>
  </si>
  <si>
    <t>MARTA SOLA</t>
  </si>
  <si>
    <t>ELOI VERGÉ</t>
  </si>
  <si>
    <t>09:44</t>
  </si>
  <si>
    <t>08:19</t>
  </si>
  <si>
    <t>05:58</t>
  </si>
  <si>
    <t>03:23</t>
  </si>
  <si>
    <t>00:40</t>
  </si>
  <si>
    <t>05:30</t>
  </si>
  <si>
    <t>03:26</t>
  </si>
  <si>
    <t>01:48</t>
  </si>
  <si>
    <t>09:54</t>
  </si>
  <si>
    <t>08:55</t>
  </si>
  <si>
    <t>08:11</t>
  </si>
  <si>
    <t>A clear from worse to better performance finishing with just 1 correction in the 3rd quarter and 2 in the 4th. Anyway, watch out a bit with missidentifying players.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</si>
</sst>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10_095_MAN_LJU_U2025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46001.864583333336</v>
      </c>
      <c r="C3" s="178"/>
      <c r="D3" s="39">
        <v>740</v>
      </c>
      <c r="E3" s="29"/>
      <c r="F3" s="26">
        <f>SUBTOTAL(3,I17:I106)</f>
        <v>11</v>
      </c>
      <c r="G3" s="27">
        <f>IF(OR(D3="",D3=0),"",F3/D3)</f>
        <v>1.4864864864864866E-2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742</v>
      </c>
      <c r="L4" s="5"/>
      <c r="M4" s="185" t="s">
        <v>843</v>
      </c>
      <c r="N4" s="186"/>
      <c r="O4" s="2"/>
      <c r="P4" s="2"/>
      <c r="Q4" s="84" t="s">
        <v>175</v>
      </c>
      <c r="R4" s="94">
        <f>(IF(G3="",0,G3))</f>
        <v>1.4864864864864866E-2</v>
      </c>
      <c r="S4" s="61">
        <f>SUM(I13:M13)</f>
        <v>0</v>
      </c>
      <c r="T4" s="78"/>
      <c r="U4" s="61">
        <f>AC18</f>
        <v>3</v>
      </c>
      <c r="V4" s="61">
        <f>+AC22</f>
        <v>6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Cedevita Olimpija Ljubljana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1.4864864864864866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6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11.986486486486486</v>
      </c>
      <c r="N7" s="58"/>
      <c r="O7" s="2"/>
      <c r="P7" s="2"/>
      <c r="Q7" s="86">
        <f>SUM(R5,S5,AC16)</f>
        <v>11.986486486486486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11.986486486486488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95</v>
      </c>
      <c r="D17" s="32" t="s">
        <v>832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4</v>
      </c>
      <c r="J17" s="13" t="s">
        <v>4</v>
      </c>
      <c r="K17" s="13" t="s">
        <v>63</v>
      </c>
      <c r="L17" s="13" t="s">
        <v>48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95</v>
      </c>
      <c r="D18" s="32" t="s">
        <v>833</v>
      </c>
      <c r="E18" s="33">
        <v>1</v>
      </c>
      <c r="F18" s="36">
        <v>2</v>
      </c>
      <c r="G18" s="36">
        <v>2</v>
      </c>
      <c r="H18" s="38" t="str">
        <f t="shared" ref="H18:H81" si="8">IF(I18="","",$I$14)</f>
        <v>SCOUTING</v>
      </c>
      <c r="I18" s="34">
        <v>20</v>
      </c>
      <c r="J18" s="13" t="s">
        <v>4</v>
      </c>
      <c r="K18" s="13" t="s">
        <v>63</v>
      </c>
      <c r="L18" s="13" t="s">
        <v>75</v>
      </c>
      <c r="M18" s="13" t="s">
        <v>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95</v>
      </c>
      <c r="D19" s="32" t="s">
        <v>834</v>
      </c>
      <c r="E19" s="33">
        <v>1</v>
      </c>
      <c r="F19" s="36">
        <v>6</v>
      </c>
      <c r="G19" s="36">
        <v>6</v>
      </c>
      <c r="H19" s="38" t="str">
        <f t="shared" si="8"/>
        <v>SCOUTING</v>
      </c>
      <c r="I19" s="34">
        <v>54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95</v>
      </c>
      <c r="D20" s="32" t="s">
        <v>835</v>
      </c>
      <c r="E20" s="33">
        <v>1</v>
      </c>
      <c r="F20" s="36">
        <v>11</v>
      </c>
      <c r="G20" s="36">
        <v>9</v>
      </c>
      <c r="H20" s="38" t="str">
        <f t="shared" si="8"/>
        <v>SCOUTING</v>
      </c>
      <c r="I20" s="34">
        <v>100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95</v>
      </c>
      <c r="D21" s="32" t="s">
        <v>836</v>
      </c>
      <c r="E21" s="33">
        <v>1</v>
      </c>
      <c r="F21" s="36">
        <v>21</v>
      </c>
      <c r="G21" s="36">
        <v>13</v>
      </c>
      <c r="H21" s="38" t="str">
        <f t="shared" si="8"/>
        <v>SCOUTING</v>
      </c>
      <c r="I21" s="34">
        <v>153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95</v>
      </c>
      <c r="D22" s="32" t="s">
        <v>837</v>
      </c>
      <c r="E22" s="33">
        <v>2</v>
      </c>
      <c r="F22" s="36">
        <v>35</v>
      </c>
      <c r="G22" s="36">
        <v>23</v>
      </c>
      <c r="H22" s="38" t="str">
        <f t="shared" si="8"/>
        <v>SCOUTING</v>
      </c>
      <c r="I22" s="34">
        <v>240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95</v>
      </c>
      <c r="D23" s="32" t="s">
        <v>838</v>
      </c>
      <c r="E23" s="33">
        <v>2</v>
      </c>
      <c r="F23" s="36">
        <v>39</v>
      </c>
      <c r="G23" s="36">
        <v>27</v>
      </c>
      <c r="H23" s="38" t="str">
        <f t="shared" si="8"/>
        <v>SCOUTING</v>
      </c>
      <c r="I23" s="34">
        <v>271</v>
      </c>
      <c r="J23" s="13" t="s">
        <v>4</v>
      </c>
      <c r="K23" s="13" t="s">
        <v>63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95</v>
      </c>
      <c r="D24" s="32" t="s">
        <v>839</v>
      </c>
      <c r="E24" s="33">
        <v>2</v>
      </c>
      <c r="F24" s="36">
        <v>43</v>
      </c>
      <c r="G24" s="36">
        <v>31</v>
      </c>
      <c r="H24" s="38" t="str">
        <f t="shared" si="8"/>
        <v>SCOUTING</v>
      </c>
      <c r="I24" s="34">
        <v>307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95</v>
      </c>
      <c r="D25" s="32" t="s">
        <v>840</v>
      </c>
      <c r="E25" s="33">
        <v>3</v>
      </c>
      <c r="F25" s="36">
        <v>78</v>
      </c>
      <c r="G25" s="36">
        <v>56</v>
      </c>
      <c r="H25" s="38" t="str">
        <f t="shared" si="8"/>
        <v>SCOUTING</v>
      </c>
      <c r="I25" s="34">
        <v>558</v>
      </c>
      <c r="J25" s="13" t="s">
        <v>4</v>
      </c>
      <c r="K25" s="13" t="s">
        <v>63</v>
      </c>
      <c r="L25" s="13" t="s">
        <v>6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U2025</v>
      </c>
      <c r="C26" s="31">
        <f t="shared" si="3"/>
        <v>95</v>
      </c>
      <c r="D26" s="32" t="s">
        <v>841</v>
      </c>
      <c r="E26" s="33">
        <v>4</v>
      </c>
      <c r="F26" s="36">
        <v>81</v>
      </c>
      <c r="G26" s="36">
        <v>58</v>
      </c>
      <c r="H26" s="38" t="str">
        <f t="shared" si="8"/>
        <v>SCOUTING</v>
      </c>
      <c r="I26" s="34">
        <v>581</v>
      </c>
      <c r="J26" s="13" t="s">
        <v>4</v>
      </c>
      <c r="K26" s="13" t="s">
        <v>63</v>
      </c>
      <c r="L26" s="13" t="s">
        <v>6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>U2025</v>
      </c>
      <c r="C27" s="31">
        <f t="shared" si="3"/>
        <v>95</v>
      </c>
      <c r="D27" s="32" t="s">
        <v>842</v>
      </c>
      <c r="E27" s="33">
        <v>4</v>
      </c>
      <c r="F27" s="36">
        <v>81</v>
      </c>
      <c r="G27" s="36">
        <v>60</v>
      </c>
      <c r="H27" s="38" t="str">
        <f t="shared" si="8"/>
        <v>SCOUTING</v>
      </c>
      <c r="I27" s="34">
        <v>596</v>
      </c>
      <c r="J27" s="13" t="s">
        <v>4</v>
      </c>
      <c r="K27" s="13" t="s">
        <v>62</v>
      </c>
      <c r="L27" s="13" t="s">
        <v>6</v>
      </c>
      <c r="M27" s="13" t="s">
        <v>28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"U2025095"</v>
      </c>
      <c r="F3" s="45" t="str">
        <f t="shared" ref="F3:F16" si="0">""""&amp;B3&amp;"""" &amp; " : " &amp;C3&amp;","</f>
        <v>"name" : "U2025095",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"U095"</v>
      </c>
      <c r="F4" s="45" t="str">
        <f t="shared" si="0"/>
        <v>"cod" : "U095",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095</v>
      </c>
      <c r="F6" s="45" t="str">
        <f t="shared" si="0"/>
        <v>"number" : 095,</v>
      </c>
    </row>
    <row r="7" spans="2:6" x14ac:dyDescent="0.2">
      <c r="B7" s="43" t="s">
        <v>116</v>
      </c>
      <c r="C7" s="43" t="str">
        <f ca="1">""""&amp;TEXT('SCOUT &amp; LOGISTICS'!B3,"dd/mm/aaaa")&amp;""""</f>
        <v>"10/12/Wednesday"</v>
      </c>
      <c r="F7" s="45" t="str">
        <f t="shared" ca="1" si="0"/>
        <v>"date" : "10/12/Wednesday",</v>
      </c>
    </row>
    <row r="8" spans="2:6" x14ac:dyDescent="0.2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"ALBERTO MORALES"</v>
      </c>
      <c r="F11" s="45" t="str">
        <f t="shared" si="0"/>
        <v>"Caller_1" : "ALBERTO MORALES",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"VERONICA NAVARRO"</v>
      </c>
      <c r="F12" s="45" t="str">
        <f t="shared" si="0"/>
        <v>"Caller_2" : "VERONICA NAVARRO",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"GEMMA BOERA"</v>
      </c>
      <c r="F13" s="45" t="str">
        <f t="shared" si="0"/>
        <v>"Timerkeeper" : "GEMMA BOERA",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"MARTA SOLA"</v>
      </c>
      <c r="F14" s="45" t="str">
        <f t="shared" si="0"/>
        <v>"Shotclock" : "MARTA SOLA",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740</v>
      </c>
      <c r="F25" s="45" t="str">
        <f t="shared" ref="F25:F48" si="1">""""&amp;C25&amp;"""" &amp; " : " &amp;D25&amp;","</f>
        <v>"total_actions" : 740,</v>
      </c>
    </row>
    <row r="26" spans="2:6" x14ac:dyDescent="0.2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">
      <c r="C27" s="43" t="s">
        <v>133</v>
      </c>
      <c r="D27" s="43" t="str">
        <f>""""&amp;IF(OR(D25="",D25=0),"",TEXT(D26/D25,"0,0%"))&amp;""""</f>
        <v>"1,5%"</v>
      </c>
      <c r="F27" s="45" t="str">
        <f t="shared" si="1"/>
        <v>"%_corrections" : "1,5%",</v>
      </c>
    </row>
    <row r="28" spans="2:6" x14ac:dyDescent="0.2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 clear from worse to better performance finishing with just 1 correction in the 3rd quarter and 2 in the 4th. Anyway, watch out a bit with missidentifying players. Keep it up!"</v>
      </c>
      <c r="F51" s="45" t="str">
        <f>""""&amp;B51&amp;"""" &amp; " : " &amp;C51&amp;","</f>
        <v>"comments" : "A clear from worse to better performance finishing with just 1 correction in the 3rd quarter and 2 in the 4th. Anyway, watch out a bit with missidentifying players. Keep it up!",</v>
      </c>
    </row>
    <row r="52" spans="2:6" x14ac:dyDescent="0.2">
      <c r="B52" s="43" t="s">
        <v>153</v>
      </c>
      <c r="C52" s="43" t="str">
        <f>TEXT('SCOUT &amp; LOGISTICS'!F1,"0,0")</f>
        <v>10_095_MAN_LJU_U2025</v>
      </c>
      <c r="F52" s="45" t="str">
        <f>""""&amp;B52&amp;"""" &amp; " : " &amp;C52</f>
        <v>"result" : 10_095_MAN_LJU_U2025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U095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Cedevita Olimpija Ljubljana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GERARD CAROD</v>
      </c>
      <c r="C8" s="201"/>
      <c r="D8" s="201"/>
      <c r="E8" s="201"/>
      <c r="F8" s="201"/>
      <c r="G8" s="201" t="str">
        <f>IF('SCOUT &amp; LOGISTICS'!D7="","",'SCOUT &amp; LOGISTICS'!D7)</f>
        <v>ALBERTO MORALES</v>
      </c>
      <c r="H8" s="201"/>
      <c r="I8" s="201"/>
      <c r="J8" s="201"/>
      <c r="K8" s="201"/>
      <c r="L8" s="201" t="str">
        <f>IF('SCOUT &amp; LOGISTICS'!D8="","",'SCOUT &amp; LOGISTICS'!D8)</f>
        <v>VERONICA NAVARRO</v>
      </c>
      <c r="M8" s="201"/>
      <c r="N8" s="201"/>
      <c r="O8" s="201"/>
      <c r="P8" s="201"/>
      <c r="Q8" s="201" t="str">
        <f>IF('SCOUT &amp; LOGISTICS'!D9="","",'SCOUT &amp; LOGISTICS'!D9)</f>
        <v>GEMMA BOERA</v>
      </c>
      <c r="R8" s="201"/>
      <c r="S8" s="201"/>
      <c r="T8" s="201"/>
      <c r="U8" s="201"/>
      <c r="V8" s="201" t="str">
        <f>IF('SCOUT &amp; LOGISTICS'!D10="","",'SCOUT &amp; LOGISTICS'!D10)</f>
        <v>MARTA SOLA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740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1.4864864864864866E-2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5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6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A clear from worse to better performance finishing with just 1 correction in the 3rd quarter and 2 in the 4th. Anyway, watch out a bit with missidentifying players.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11.986486486486486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4C095F1-8ACD-4991-AC33-63ABA59FCC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2025-12-10T16:18:21Z</cp:lastPrinted>
  <dcterms:created xsi:type="dcterms:W3CDTF">2023-09-19T19:50:35Z</dcterms:created>
  <dcterms:modified xsi:type="dcterms:W3CDTF">2025-12-11T17:35:25Z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