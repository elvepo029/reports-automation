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4A1178A2-14F2-4229-B051-561D4D53E02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Sheet1" sheetId="7" state="hidden" r:id="rId2"/>
    <sheet name="Teams" sheetId="5" state="hidden" r:id="rId3"/>
    <sheet name="GAMES" sheetId="6" state="hidden" r:id="rId4"/>
    <sheet name="json" sheetId="4" state="hidden" r:id="rId5"/>
    <sheet name="Report" sheetId="2" state="hidden" r:id="rId6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7" l="1"/>
  <c r="E4" i="7"/>
  <c r="F4" i="7" s="1"/>
  <c r="D4" i="7" a="1"/>
  <c r="D4" i="7" s="1"/>
  <c r="H3" i="7"/>
  <c r="E3" i="7"/>
  <c r="F3" i="7" s="1"/>
  <c r="D3" i="7" a="1"/>
  <c r="D3" i="7" s="1"/>
  <c r="C3" i="7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<sst xmlns="http://schemas.openxmlformats.org/spreadsheetml/2006/main" count="3359" uniqueCount="843">
  <si>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</si>
  <si>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</si>
  <si>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</si>
  <si>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</si>
  <si>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</si>
  <si>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</si>
  <si>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</si>
  <si>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</si>
  <si>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</si>
  <si>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</si>
  <si>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</si>
  <si>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</si>
  <si>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</si>
  <si>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</si>
  <si>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</si>
  <si>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</si>
  <si>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</si>
  <si>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</si>
  <si>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</si>
  <si>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</si>
  <si>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</si>
  <si>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</si>
  <si>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</si>
  <si>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</si>
  <si>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</si>
  <si>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</si>
  <si>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</si>
  <si>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</si>
  <si>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</si>
  <si>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</si>
  <si>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</si>
  <si>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</si>
  <si>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</si>
  <si>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</si>
  <si>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</si>
  <si>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</si>
  <si>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</si>
  <si>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</si>
  <si>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</si>
  <si>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</si>
  <si>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</si>
  <si>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</si>
  <si>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</si>
  <si>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</si>
  <si>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</si>
  <si>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</si>
  <si>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</si>
  <si>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</si>
  <si>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</si>
  <si>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</si>
  <si>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</si>
  <si>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</si>
  <si>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</si>
  <si>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</si>
  <si>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</si>
  <si>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</si>
  <si>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</si>
  <si>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</si>
  <si>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</si>
  <si>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</si>
  <si>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</si>
  <si>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</si>
  <si>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</si>
  <si>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</si>
  <si>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</si>
  <si>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</si>
  <si>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</si>
  <si>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</si>
  <si>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</si>
  <si>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</si>
  <si>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</si>
  <si>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</si>
  <si>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</si>
  <si>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</si>
  <si>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</si>
  <si>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</si>
  <si>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</si>
  <si>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</si>
  <si>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</si>
  <si>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</si>
  <si>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</si>
  <si>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</si>
  <si>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</si>
  <si>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</si>
  <si>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</si>
  <si>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</si>
  <si>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</si>
  <si>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</si>
  <si>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</si>
  <si>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</si>
  <si>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</si>
  <si>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</si>
  <si>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</si>
  <si>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</si>
  <si>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</si>
  <si>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</si>
  <si>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</si>
  <si>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</si>
  <si>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</si>
  <si>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</si>
  <si>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</si>
  <si>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</si>
  <si>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</si>
  <si>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</si>
  <si>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</si>
  <si>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</si>
  <si>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</si>
  <si>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</si>
  <si>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</si>
  <si>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</si>
  <si>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</si>
  <si>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</si>
  <si>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</si>
  <si>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</si>
  <si>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</si>
  <si>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</si>
  <si>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</si>
  <si>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</si>
  <si>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</si>
  <si>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</si>
  <si>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</si>
  <si>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</si>
  <si>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</si>
  <si>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</si>
  <si>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</si>
  <si>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</si>
  <si>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</si>
  <si>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</si>
  <si>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</si>
  <si>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</si>
  <si>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</si>
  <si>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</si>
  <si>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</si>
  <si>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</si>
  <si>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</si>
  <si>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</si>
  <si>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</si>
  <si>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</si>
  <si>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</si>
  <si>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</si>
  <si>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</si>
  <si>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</si>
  <si>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</si>
  <si>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</si>
  <si>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</si>
  <si>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</si>
  <si>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</si>
  <si>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</si>
  <si>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</si>
  <si>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</si>
  <si>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</si>
  <si>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</si>
  <si>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</si>
  <si>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</si>
  <si>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</si>
  <si>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</si>
  <si>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</si>
  <si>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</si>
  <si>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</si>
  <si>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</si>
  <si>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</si>
  <si>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</si>
  <si>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</si>
  <si>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</si>
  <si>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</si>
  <si>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</si>
  <si>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</si>
  <si>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</si>
  <si>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</si>
  <si>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</si>
  <si>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</si>
  <si>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</si>
  <si>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</si>
  <si>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</si>
  <si>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</si>
  <si>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</si>
  <si>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</si>
  <si>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</si>
  <si>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</si>
  <si>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</si>
  <si>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</si>
  <si>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</si>
  <si>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</si>
  <si>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</si>
  <si>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</si>
  <si>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</si>
  <si>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</si>
  <si>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</si>
  <si>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</si>
  <si>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</si>
  <si>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</si>
  <si>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</si>
  <si>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</si>
  <si>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</si>
  <si>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</si>
  <si>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</si>
  <si>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</si>
  <si>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</si>
  <si>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</si>
  <si>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</si>
  <si>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</si>
  <si>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</si>
  <si>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</si>
  <si>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</si>
  <si>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</si>
  <si>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</si>
  <si>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</si>
  <si>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</si>
  <si>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</si>
  <si>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</si>
  <si>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</si>
  <si>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</si>
  <si>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</si>
  <si>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</si>
  <si>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</si>
  <si>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</si>
  <si>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</si>
  <si>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</si>
  <si>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</si>
  <si>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</si>
  <si>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</si>
  <si>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</si>
  <si>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</si>
  <si>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</si>
  <si>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</si>
  <si>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</si>
  <si>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</si>
  <si>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</si>
  <si>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</si>
  <si>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</si>
  <si>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</si>
  <si>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</si>
  <si>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</si>
  <si>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</si>
  <si>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</si>
  <si>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</si>
  <si>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</si>
  <si>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</si>
  <si>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</si>
  <si>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</si>
  <si>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</si>
  <si>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</si>
  <si>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</si>
  <si>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</si>
  <si>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</si>
  <si>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</si>
  <si>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</si>
  <si>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</si>
  <si>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</si>
  <si>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</si>
  <si>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</si>
  <si>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</si>
  <si>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</si>
  <si>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</si>
  <si>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</si>
  <si>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</si>
  <si>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</si>
  <si>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</si>
  <si>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</si>
  <si>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</si>
  <si>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</si>
  <si>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</si>
  <si>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</si>
  <si>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</si>
  <si>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</si>
  <si>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</si>
  <si>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</si>
  <si>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</si>
  <si>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</si>
  <si>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</si>
  <si>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</si>
  <si>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</si>
  <si>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</si>
  <si>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</si>
  <si>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</si>
  <si>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</si>
  <si>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</si>
  <si>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</si>
  <si>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</si>
  <si>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</si>
  <si>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</si>
  <si>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</si>
  <si>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</si>
  <si>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</si>
  <si>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</si>
  <si>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</si>
  <si>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</si>
  <si>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</si>
  <si>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</si>
  <si>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</si>
  <si>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</si>
  <si>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</si>
  <si>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</si>
  <si>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</si>
  <si>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</si>
  <si>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</si>
  <si>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</si>
  <si>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</si>
  <si>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</si>
  <si>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</si>
  <si>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</si>
  <si>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</si>
  <si>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</si>
  <si>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</si>
  <si>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</si>
  <si>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</si>
  <si>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</si>
  <si>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</si>
  <si>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</si>
  <si>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</si>
  <si>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</si>
  <si>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</si>
  <si>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</si>
  <si>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</si>
  <si>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</si>
  <si>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</si>
  <si>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</si>
  <si>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</si>
  <si>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</si>
  <si>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</si>
  <si>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</si>
  <si>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</si>
  <si>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</si>
  <si>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</si>
  <si>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</si>
  <si>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</si>
  <si>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</si>
  <si>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</si>
  <si>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</si>
  <si>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</si>
  <si>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</si>
  <si>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</si>
  <si>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</si>
  <si>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</si>
  <si>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</si>
  <si>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</si>
  <si>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</si>
  <si>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</si>
  <si>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</si>
  <si>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</si>
  <si>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</si>
  <si>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</si>
  <si>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</si>
  <si>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</si>
  <si>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</si>
  <si>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</si>
  <si>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</si>
  <si>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</si>
  <si>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</si>
  <si>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</si>
  <si>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</si>
  <si>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</si>
  <si>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</si>
  <si>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</si>
  <si>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</si>
  <si>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</si>
  <si>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</si>
  <si>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</si>
  <si>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</si>
  <si>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</si>
  <si>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</si>
  <si>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</si>
  <si>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</si>
  <si>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</si>
  <si>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</si>
  <si>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</si>
  <si>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</si>
  <si>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</si>
  <si>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</si>
  <si>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</si>
  <si>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</si>
  <si>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</si>
  <si>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</si>
  <si>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</si>
  <si>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</si>
  <si>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</si>
  <si>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</si>
  <si>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</si>
  <si>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</si>
  <si>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</si>
  <si>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</si>
  <si>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</si>
  <si>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</si>
  <si>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</si>
  <si>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</si>
  <si>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</si>
  <si>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</si>
  <si>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</si>
  <si>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</si>
  <si>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</si>
  <si>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</si>
  <si>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</si>
  <si>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</si>
  <si>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</si>
  <si>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</si>
  <si>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</si>
  <si>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</si>
  <si>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</si>
  <si>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</si>
  <si>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</si>
  <si>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</si>
  <si>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</si>
  <si>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</si>
  <si>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</si>
  <si>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</si>
  <si>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</si>
  <si>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</si>
  <si>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</si>
  <si>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</si>
  <si>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</si>
  <si>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</si>
  <si>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</si>
  <si>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</si>
  <si>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</si>
  <si>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</si>
  <si>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</si>
  <si>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</si>
  <si>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</si>
  <si>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</si>
  <si>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</si>
  <si>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</si>
  <si>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</si>
  <si>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</si>
  <si>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</si>
  <si>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</si>
  <si>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</si>
  <si>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</si>
  <si>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</si>
  <si>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</si>
  <si>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</si>
  <si>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</si>
  <si>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</si>
  <si>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</si>
  <si>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</si>
  <si>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</si>
  <si>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</si>
  <si>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</si>
  <si>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</si>
  <si>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</si>
  <si>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</si>
  <si>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</si>
  <si>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</si>
  <si>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</si>
  <si>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</si>
  <si>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</si>
  <si>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</si>
  <si>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</si>
  <si>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</si>
  <si>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</si>
  <si>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</si>
  <si>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</si>
  <si>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</si>
  <si>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</si>
  <si>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</si>
  <si>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</si>
  <si>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</si>
  <si>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</si>
  <si>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</si>
  <si>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</si>
  <si>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</si>
  <si>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</si>
  <si>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</si>
  <si>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</si>
  <si>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</si>
  <si>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</si>
  <si>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</si>
  <si>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</si>
  <si>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</si>
  <si>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</si>
  <si>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</si>
  <si>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</si>
  <si>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</si>
  <si>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</si>
  <si>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</si>
  <si>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</si>
  <si>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</si>
  <si>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</si>
  <si>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</si>
  <si>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</si>
  <si>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</si>
  <si>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</si>
  <si>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</si>
  <si>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</si>
  <si>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</si>
  <si>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</si>
  <si>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</si>
  <si>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</si>
  <si>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</si>
  <si>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</si>
  <si>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</si>
  <si>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</si>
  <si>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</si>
  <si>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</si>
  <si>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</si>
  <si>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</si>
  <si>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</si>
  <si>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</si>
  <si>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</si>
  <si>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</si>
  <si>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</si>
  <si>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</si>
  <si>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</si>
  <si>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</si>
  <si>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</si>
  <si>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</si>
  <si>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</si>
  <si>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</si>
  <si>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</si>
  <si>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</si>
  <si>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</si>
  <si>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</si>
  <si>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</si>
  <si>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</si>
  <si>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</si>
  <si>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</si>
  <si>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</si>
  <si>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</si>
  <si>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</si>
  <si>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</si>
  <si>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</si>
  <si>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</si>
  <si>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</si>
  <si>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</si>
  <si>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</si>
  <si>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</si>
  <si>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</si>
  <si>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</si>
  <si>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</si>
  <si>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</si>
  <si>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</si>
  <si>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</si>
  <si>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</si>
  <si>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</si>
  <si>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</si>
  <si>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</si>
  <si>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</si>
  <si>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</si>
  <si>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</si>
  <si>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</si>
  <si>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</si>
  <si>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</si>
  <si>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</si>
  <si>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</si>
  <si>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</si>
  <si>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</si>
  <si>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</si>
  <si>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</si>
  <si>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</si>
  <si>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</si>
  <si>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</si>
  <si>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</si>
  <si>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</si>
  <si>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</si>
  <si>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</si>
  <si>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</si>
  <si>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</si>
  <si>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</si>
  <si>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</si>
  <si>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</si>
  <si>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</si>
  <si>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</si>
  <si>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</si>
  <si>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</si>
  <si>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</si>
  <si>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</si>
  <si>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</si>
  <si>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</si>
  <si>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</si>
  <si>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</si>
  <si>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</si>
  <si>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</si>
  <si>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</si>
  <si>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</si>
  <si>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</si>
  <si>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</si>
  <si>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</si>
  <si>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</si>
  <si>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</si>
  <si>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</si>
  <si>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</si>
  <si>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</si>
  <si>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</si>
  <si>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</si>
  <si>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</si>
  <si>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</si>
  <si>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</si>
  <si>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</si>
  <si>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</si>
  <si>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</si>
  <si>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</si>
  <si>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</si>
  <si>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</si>
  <si>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</si>
  <si>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</si>
  <si>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</si>
  <si>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</si>
  <si>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</si>
  <si>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</si>
  <si>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</si>
  <si>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</si>
  <si>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</si>
  <si>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</si>
  <si>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</si>
  <si>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</si>
  <si>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</si>
  <si>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</si>
  <si>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</si>
  <si>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</si>
  <si>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</si>
  <si>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</si>
  <si>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</si>
  <si>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</si>
  <si>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</si>
  <si>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</si>
  <si>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</si>
  <si>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</si>
  <si>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</si>
  <si>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</si>
  <si>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</si>
  <si>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</si>
  <si>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</si>
  <si>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</si>
  <si>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</si>
  <si>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</si>
  <si>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</si>
  <si>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</si>
  <si>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</si>
  <si>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</si>
  <si>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</si>
  <si>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</si>
  <si>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</si>
  <si>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</si>
  <si>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</si>
  <si>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</si>
  <si>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</si>
  <si>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</si>
  <si>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</si>
  <si>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</si>
  <si>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</si>
  <si>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</si>
  <si>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</si>
  <si>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</si>
  <si>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</si>
  <si>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</si>
  <si>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</si>
  <si>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</si>
  <si>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</si>
  <si>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</si>
  <si>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</si>
  <si>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</si>
  <si>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</si>
  <si>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</si>
  <si>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</si>
  <si>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</si>
  <si>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</si>
  <si>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</si>
  <si>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</si>
  <si>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</si>
  <si>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</si>
  <si>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</si>
  <si>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</si>
  <si>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</si>
  <si>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</si>
  <si>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</si>
  <si>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</si>
  <si>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</si>
  <si>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</si>
  <si>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</si>
  <si>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</si>
  <si>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</si>
  <si>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</si>
  <si>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</si>
  <si>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</si>
  <si>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</si>
  <si>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</si>
  <si>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</si>
  <si>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</si>
  <si>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</si>
  <si>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</si>
  <si>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</si>
  <si>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</si>
  <si>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</si>
  <si>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</si>
  <si>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</si>
  <si>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</si>
  <si>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</si>
  <si>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</si>
  <si>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</si>
  <si>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</si>
  <si>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</si>
  <si>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</si>
  <si>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</si>
  <si>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</si>
  <si>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</si>
  <si>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</si>
  <si>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</si>
  <si>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</si>
  <si>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</si>
  <si>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</si>
  <si>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</si>
  <si>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</si>
  <si>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</si>
  <si>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</si>
  <si>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</si>
  <si>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</si>
  <si>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</si>
  <si>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</si>
  <si>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</si>
  <si>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</si>
  <si>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</si>
  <si>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</si>
  <si>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</si>
  <si>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</si>
  <si>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</si>
  <si>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</si>
  <si>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</si>
  <si>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</si>
  <si>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</si>
  <si>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</si>
  <si>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</si>
  <si>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</si>
  <si>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</si>
  <si>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</si>
  <si>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</si>
  <si>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</si>
  <si>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</si>
  <si>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</si>
  <si>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</si>
  <si>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</si>
  <si>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</si>
  <si>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</si>
  <si>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</si>
  <si>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</si>
  <si>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</si>
  <si>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</si>
  <si>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</si>
  <si>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</si>
  <si>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</si>
  <si>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</si>
  <si>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</si>
  <si>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</si>
  <si>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</si>
  <si>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</si>
  <si>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</si>
  <si>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</si>
  <si>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</si>
  <si>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</si>
  <si>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</si>
  <si>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</si>
  <si>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</si>
  <si>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</si>
  <si>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</si>
  <si>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</si>
  <si>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</si>
  <si>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</si>
  <si>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</si>
  <si>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</si>
  <si>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</si>
  <si>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</si>
  <si>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</si>
  <si>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</si>
  <si>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</si>
  <si>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</si>
  <si>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</si>
  <si>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</si>
  <si>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</si>
  <si>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</si>
  <si>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</si>
  <si>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</si>
  <si>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</si>
  <si>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</si>
  <si>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</si>
  <si>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</si>
  <si>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</si>
  <si>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</si>
  <si>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</si>
  <si>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</si>
  <si>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</si>
  <si>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</si>
  <si>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</si>
  <si>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</si>
  <si>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</si>
  <si>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</si>
  <si>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</si>
  <si>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</si>
  <si>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</si>
  <si>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</si>
  <si>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</si>
  <si>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</si>
  <si>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</si>
  <si>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</si>
  <si>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</si>
  <si>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</si>
  <si>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</si>
  <si>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</si>
  <si>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</si>
  <si>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</si>
  <si>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</si>
  <si>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</si>
  <si>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</si>
  <si>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</si>
  <si>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</si>
  <si>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</si>
  <si>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</si>
  <si>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</si>
  <si>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</si>
  <si>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</si>
  <si>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</si>
  <si>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</si>
  <si>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</si>
  <si>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</si>
  <si>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</si>
  <si>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</si>
  <si>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</si>
  <si>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</si>
  <si>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</si>
  <si>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</si>
  <si>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</si>
  <si>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</si>
  <si>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</si>
  <si>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</si>
  <si>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</si>
  <si>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</si>
  <si>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</si>
  <si>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</si>
  <si>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</si>
  <si>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MARIO ENJUANES</t>
  </si>
  <si>
    <t>TATJANA CETKOVIC</t>
  </si>
  <si>
    <t>be carefull with time</t>
  </si>
  <si>
    <t>332 333 23 07:34 47 38 Buducnost Def Rebound 0 0 0</t>
  </si>
  <si>
    <t>offreb</t>
  </si>
  <si>
    <t>349 350 24 06:31 47 38 London 13 WILLIAMS, J. Foul 0 2 0 2 3</t>
  </si>
  <si>
    <t>this foul is 11</t>
  </si>
  <si>
    <t>referee</t>
  </si>
  <si>
    <t>00:11</t>
  </si>
  <si>
    <t>09:44</t>
  </si>
  <si>
    <t>46</t>
  </si>
  <si>
    <t>38</t>
  </si>
  <si>
    <t>67</t>
  </si>
  <si>
    <t>53</t>
  </si>
  <si>
    <t>343</t>
  </si>
  <si>
    <t>460</t>
  </si>
  <si>
    <t>There seems to be a timing error, apparently due to a "freezing" of the EBStats chrono.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</si>
</sst>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4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38" xfId="0" applyFont="1" applyFill="1" applyBorder="1" applyAlignment="1" applyProtection="1">
      <alignment horizontal="center" vertical="center"/>
      <protection locked="0"/>
    </xf>
    <xf numFmtId="0" fontId="26" fillId="10" borderId="11" xfId="0" applyFont="1" applyFill="1" applyBorder="1" applyAlignment="1" applyProtection="1">
      <alignment horizontal="center" vertical="center"/>
      <protection locked="0"/>
    </xf>
    <xf numFmtId="0" fontId="26" fillId="10" borderId="9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20" fontId="5" fillId="0" borderId="0" xfId="0" quotePrefix="1" applyNumberFormat="1" applyFont="1"/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I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10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10_096_BUD_LLI_U2025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96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46001.791666666664</v>
      </c>
      <c r="C3" s="157"/>
      <c r="D3" s="39">
        <v>627</v>
      </c>
      <c r="E3" s="29"/>
      <c r="F3" s="26">
        <f>SUBTOTAL(3,I17:I106)</f>
        <v>2</v>
      </c>
      <c r="G3" s="27">
        <f>IF(OR(D3="",D3=0),"",F3/D3)</f>
        <v>3.189792663476874E-3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Buducnost VOLI Podgorica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BUD</v>
      </c>
      <c r="I4" s="5"/>
      <c r="J4" s="119" t="s">
        <v>714</v>
      </c>
      <c r="K4" s="54" t="s">
        <v>743</v>
      </c>
      <c r="L4" s="5"/>
      <c r="M4" s="167" t="s">
        <v>842</v>
      </c>
      <c r="N4" s="168"/>
      <c r="O4" s="2"/>
      <c r="P4" s="2"/>
      <c r="Q4" s="84" t="s">
        <v>175</v>
      </c>
      <c r="R4" s="94">
        <f>(IF(G3="",0,G3))</f>
        <v>3.189792663476874E-3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London Lions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LLI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0.31897926634768742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741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718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3.3189792663476876</v>
      </c>
      <c r="N7" s="58"/>
      <c r="O7" s="2"/>
      <c r="P7" s="2"/>
      <c r="Q7" s="86">
        <f>SUM(R5,S5,AC16)</f>
        <v>3.3189792663476876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719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3.3189792663476876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827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721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96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96</v>
      </c>
      <c r="D17" s="32" t="s">
        <v>835</v>
      </c>
      <c r="E17" s="33">
        <v>3</v>
      </c>
      <c r="F17" s="36" t="s">
        <v>836</v>
      </c>
      <c r="G17" s="36" t="s">
        <v>837</v>
      </c>
      <c r="H17" s="38" t="str">
        <f>IF(I17="","",$I$14)</f>
        <v>SCOUTING</v>
      </c>
      <c r="I17" s="34" t="s">
        <v>840</v>
      </c>
      <c r="J17" s="13" t="s">
        <v>4</v>
      </c>
      <c r="K17" s="13" t="s">
        <v>63</v>
      </c>
      <c r="L17" s="13" t="s">
        <v>6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96</v>
      </c>
      <c r="D18" s="32" t="s">
        <v>834</v>
      </c>
      <c r="E18" s="33">
        <v>3</v>
      </c>
      <c r="F18" s="36" t="s">
        <v>838</v>
      </c>
      <c r="G18" s="36" t="s">
        <v>839</v>
      </c>
      <c r="H18" s="38" t="str">
        <f t="shared" ref="H18:H81" si="8">IF(I18="","",$I$14)</f>
        <v>SCOUTING</v>
      </c>
      <c r="I18" s="34" t="s">
        <v>841</v>
      </c>
      <c r="J18" s="13" t="s">
        <v>4</v>
      </c>
      <c r="K18" s="13" t="s">
        <v>63</v>
      </c>
      <c r="L18" s="13" t="s">
        <v>48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BDE56-608F-4F7F-B4A7-7E7685F290B7}">
  <dimension ref="B2:Q4"/>
  <sheetViews>
    <sheetView workbookViewId="0">
      <selection activeCell="C3" sqref="C3:J4"/>
    </sheetView>
  </sheetViews>
  <sheetFormatPr defaultRowHeight="12.75" x14ac:dyDescent="0.2"/>
  <cols>
    <col min="2" max="2" width="57.140625" bestFit="1" customWidth="1"/>
    <col min="3" max="3" width="4.28515625" bestFit="1" customWidth="1"/>
    <col min="4" max="4" width="1.7109375" bestFit="1" customWidth="1"/>
    <col min="5" max="6" width="2.42578125" bestFit="1" customWidth="1"/>
    <col min="8" max="8" width="3.140625" bestFit="1" customWidth="1"/>
    <col min="9" max="9" width="8.42578125" bestFit="1" customWidth="1"/>
    <col min="10" max="10" width="8.85546875" bestFit="1" customWidth="1"/>
    <col min="15" max="15" width="12" bestFit="1" customWidth="1"/>
    <col min="17" max="17" width="6.5703125" bestFit="1" customWidth="1"/>
  </cols>
  <sheetData>
    <row r="2" spans="2:17" ht="15" x14ac:dyDescent="0.2">
      <c r="B2" s="3" t="s">
        <v>828</v>
      </c>
    </row>
    <row r="3" spans="2:17" ht="15.75" x14ac:dyDescent="0.25">
      <c r="B3" s="3" t="s">
        <v>829</v>
      </c>
      <c r="C3" s="150" t="str">
        <f>MID(B3,FIND(":",B3)-2,5)</f>
        <v>07:34</v>
      </c>
      <c r="D3" s="150" cm="1">
        <f t="array" ref="D3">_xlfn.IFS(0+MID(B3,FIND(":",B3)-5,2)&lt;11,1,0+MID(B3,FIND(":",B3)-5,2)&lt;21,2,0+MID(B3,FIND(":",B3)-5,2)&lt;31,3,0+MID(B3,FIND(":",B3)-5,2)&lt;41,4, TRUE,"to")</f>
        <v>3</v>
      </c>
      <c r="E3" s="150" t="str">
        <f>TRIM(MID(B3,FIND(":",B3)+4,2))</f>
        <v>47</v>
      </c>
      <c r="F3" s="150" t="str">
        <f>TRIM(MID(B3,FIND(" " &amp; E3 &amp; " ",B3,FIND(":",B3))+2+LEN(E3),2))</f>
        <v>38</v>
      </c>
      <c r="G3" s="150"/>
      <c r="H3" s="150" t="str">
        <f>TRIM(MID(B3,1,3))</f>
        <v>332</v>
      </c>
      <c r="I3" s="150" t="s">
        <v>4</v>
      </c>
      <c r="J3" s="150" t="s">
        <v>63</v>
      </c>
      <c r="K3" s="150"/>
      <c r="O3" s="91" t="s">
        <v>830</v>
      </c>
    </row>
    <row r="4" spans="2:17" ht="13.5" x14ac:dyDescent="0.25">
      <c r="B4" t="s">
        <v>831</v>
      </c>
      <c r="C4" s="213" t="s">
        <v>834</v>
      </c>
      <c r="D4" s="150" cm="1">
        <f t="array" ref="D4">_xlfn.IFS(0+MID(B4,FIND(":",B4)-5,2)&lt;11,1,0+MID(B4,FIND(":",B4)-5,2)&lt;21,2,0+MID(B4,FIND(":",B4)-5,2)&lt;31,3,0+MID(B4,FIND(":",B4)-5,2)&lt;41,4, TRUE,"to")</f>
        <v>3</v>
      </c>
      <c r="E4" s="150" t="str">
        <f>TRIM(MID(B4,FIND(":",B4)+4,2))</f>
        <v>47</v>
      </c>
      <c r="F4" s="150" t="str">
        <f>TRIM(MID(B4,FIND(" " &amp; E4 &amp; " ",B4,FIND(":",B4))+2+LEN(E4),2))</f>
        <v>38</v>
      </c>
      <c r="G4" s="150"/>
      <c r="H4" s="150" t="str">
        <f>TRIM(MID(B4,1,3))</f>
        <v>349</v>
      </c>
      <c r="I4" s="150" t="s">
        <v>4</v>
      </c>
      <c r="J4" s="150" t="s">
        <v>63</v>
      </c>
      <c r="K4" s="150"/>
      <c r="O4" t="s">
        <v>832</v>
      </c>
      <c r="Q4" s="91" t="s">
        <v>833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REPORT_U2025096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"U2025096"</v>
      </c>
      <c r="F3" s="45" t="str">
        <f t="shared" ref="F3:F16" si="0">""""&amp;B3&amp;"""" &amp; " : " &amp;C3&amp;","</f>
        <v>"name" : "U2025096",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"U096"</v>
      </c>
      <c r="F4" s="45" t="str">
        <f t="shared" si="0"/>
        <v>"cod" : "U096",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096</v>
      </c>
      <c r="F6" s="45" t="str">
        <f t="shared" si="0"/>
        <v>"number" : 096,</v>
      </c>
    </row>
    <row r="7" spans="2:6" x14ac:dyDescent="0.2">
      <c r="B7" s="43" t="s">
        <v>116</v>
      </c>
      <c r="C7" s="43" t="str">
        <f ca="1">""""&amp;TEXT('SCOUT &amp; LOGISTICS'!B3,"dd/mm/aaaa")&amp;""""</f>
        <v>"10/12/Wednesday"</v>
      </c>
      <c r="F7" s="45" t="str">
        <f t="shared" ca="1" si="0"/>
        <v>"date" : "10/12/Wednesday",</v>
      </c>
    </row>
    <row r="8" spans="2:6" x14ac:dyDescent="0.2">
      <c r="B8" s="43" t="s">
        <v>125</v>
      </c>
      <c r="C8" s="43" t="str">
        <f>""""&amp;'SCOUT &amp; LOGISTICS'!D4 &amp;""""</f>
        <v>"Buducnost VOLI Podgorica"</v>
      </c>
      <c r="F8" s="45" t="str">
        <f t="shared" si="0"/>
        <v>"home_team" : "Buducnost VOLI Podgorica",</v>
      </c>
    </row>
    <row r="9" spans="2:6" x14ac:dyDescent="0.2">
      <c r="B9" s="43" t="s">
        <v>126</v>
      </c>
      <c r="C9" s="43" t="str">
        <f>""""&amp;'SCOUT &amp; LOGISTICS'!D5&amp;""""</f>
        <v>"London Lions"</v>
      </c>
      <c r="F9" s="45" t="str">
        <f t="shared" si="0"/>
        <v>"away_team" : "London Lions",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"SINISA SEKULIC"</v>
      </c>
      <c r="F10" s="45" t="str">
        <f t="shared" si="0"/>
        <v>"Data_entry" : "SINISA SEKULIC",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"PETAR VUJACIC"</v>
      </c>
      <c r="F11" s="45" t="str">
        <f t="shared" si="0"/>
        <v>"Caller_1" : "PETAR VUJACIC",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"LAZAR VUJICIC"</v>
      </c>
      <c r="F12" s="45" t="str">
        <f t="shared" si="0"/>
        <v>"Caller_2" : "LAZAR VUJICIC",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"TATJANA CETKOVIC"</v>
      </c>
      <c r="F13" s="45" t="str">
        <f t="shared" si="0"/>
        <v>"Timerkeeper" : "TATJANA CETKOVIC",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"KAROLINA RADINOVIC"</v>
      </c>
      <c r="F14" s="45" t="str">
        <f t="shared" si="0"/>
        <v>"Shotclock" : "KAROLINA RADINOVIC",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627</v>
      </c>
      <c r="F25" s="45" t="str">
        <f t="shared" ref="F25:F48" si="1">""""&amp;C25&amp;"""" &amp; " : " &amp;D25&amp;","</f>
        <v>"total_actions" : 627,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"There seems to be a timing error, apparently due to a "freezing" of the EBStats chrono."</v>
      </c>
      <c r="F51" s="45" t="str">
        <f>""""&amp;B51&amp;"""" &amp; " : " &amp;C51&amp;","</f>
        <v>"comments" : "There seems to be a timing error, apparently due to a "freezing" of the EBStats chrono.",</v>
      </c>
    </row>
    <row r="52" spans="2:6" x14ac:dyDescent="0.2">
      <c r="B52" s="43" t="s">
        <v>153</v>
      </c>
      <c r="C52" s="43" t="str">
        <f>TEXT('SCOUT &amp; LOGISTICS'!F1,"0,0")</f>
        <v>10_096_BUD_LLI_U2025</v>
      </c>
      <c r="F52" s="45" t="str">
        <f>""""&amp;B52&amp;"""" &amp; " : " &amp;C52</f>
        <v>"result" : 10_096_BUD_LLI_U2025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U096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10/12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Buducnost Voli Podgorica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London Lions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SINISA SEKULIC</v>
      </c>
      <c r="C8" s="206"/>
      <c r="D8" s="206"/>
      <c r="E8" s="206"/>
      <c r="F8" s="206"/>
      <c r="G8" s="206" t="str">
        <f>IF('SCOUT &amp; LOGISTICS'!D7="","",'SCOUT &amp; LOGISTICS'!D7)</f>
        <v>PETAR VUJACIC</v>
      </c>
      <c r="H8" s="206"/>
      <c r="I8" s="206"/>
      <c r="J8" s="206"/>
      <c r="K8" s="206"/>
      <c r="L8" s="206" t="str">
        <f>IF('SCOUT &amp; LOGISTICS'!D8="","",'SCOUT &amp; LOGISTICS'!D8)</f>
        <v>LAZAR VUJICIC</v>
      </c>
      <c r="M8" s="206"/>
      <c r="N8" s="206"/>
      <c r="O8" s="206"/>
      <c r="P8" s="206"/>
      <c r="Q8" s="206" t="str">
        <f>IF('SCOUT &amp; LOGISTICS'!D9="","",'SCOUT &amp; LOGISTICS'!D9)</f>
        <v>TATJANA CETKOVIC</v>
      </c>
      <c r="R8" s="206"/>
      <c r="S8" s="206"/>
      <c r="T8" s="206"/>
      <c r="U8" s="206"/>
      <c r="V8" s="206" t="str">
        <f>IF('SCOUT &amp; LOGISTICS'!D10="","",'SCOUT &amp; LOGISTICS'!D10)</f>
        <v>KAROLINA RADINOVIC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627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3.189792663476874E-3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There seems to be a timing error, apparently due to a "freezing" of the EBStats chrono.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3.3189792663476876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922358-B4C7-438A-A9E2-CA9D19235CD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SCOUT &amp; LOGISTICS</vt:lpstr>
      <vt:lpstr>Sheet1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2025-12-14T21:35:48Z</cp:lastPrinted>
  <dcterms:created xsi:type="dcterms:W3CDTF">2023-09-19T19:50:35Z</dcterms:created>
  <dcterms:modified xsi:type="dcterms:W3CDTF">2025-12-14T21:35:56Z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