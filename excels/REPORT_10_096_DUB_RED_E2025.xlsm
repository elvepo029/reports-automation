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temp\"/>
    </mc:Choice>
  </mc:AlternateContent>
  <xr:revisionPtr revIDLastSave="0" documentId="8_{98CCA815-CC0D-46E3-937C-BC7A7B0BEFDD}" xr6:coauthVersionLast="47" xr6:coauthVersionMax="47" xr10:uidLastSave="{00000000-0000-0000-0000-000000000000}"/>
  <bookViews>
    <workbookView xWindow="-5055" yWindow="-15105" windowWidth="27105" windowHeight="15105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W5" i="1" s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<sst xmlns="http://schemas.openxmlformats.org/spreadsheetml/2006/main" count="3255" uniqueCount="760">
  <si>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</si>
  <si>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</si>
  <si>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</si>
  <si>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</si>
  <si>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</si>
  <si>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</si>
  <si>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</si>
  <si>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</si>
  <si>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</si>
  <si>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</si>
  <si>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</si>
  <si>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</si>
  <si>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</si>
  <si>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</si>
  <si>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</si>
  <si>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</si>
  <si>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</si>
  <si>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</si>
  <si>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</si>
  <si>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</si>
  <si>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</si>
  <si>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</si>
  <si>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</si>
  <si>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</si>
  <si>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</si>
  <si>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</si>
  <si>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</si>
  <si>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</si>
  <si>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</si>
  <si>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</si>
  <si>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</si>
  <si>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</si>
  <si>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</si>
  <si>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</si>
  <si>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</si>
  <si>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</si>
  <si>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</si>
  <si>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</si>
  <si>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</si>
  <si>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</si>
  <si>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</si>
  <si>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</si>
  <si>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</si>
  <si>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</si>
  <si>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</si>
  <si>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</si>
  <si>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</si>
  <si>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</si>
  <si>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</si>
  <si>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</si>
  <si>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</si>
  <si>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</si>
  <si>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</si>
  <si>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</si>
  <si>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</si>
  <si>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</si>
  <si>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</si>
  <si>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</si>
  <si>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</si>
  <si>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</si>
  <si>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</si>
  <si>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</si>
  <si>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</si>
  <si>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</si>
  <si>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</si>
  <si>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</si>
  <si>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</si>
  <si>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</si>
  <si>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</si>
  <si>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</si>
  <si>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</si>
  <si>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</si>
  <si>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</si>
  <si>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</si>
  <si>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</si>
  <si>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</si>
  <si>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</si>
  <si>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</si>
  <si>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</si>
  <si>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</si>
  <si>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</si>
  <si>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</si>
  <si>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</si>
  <si>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</si>
  <si>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</si>
  <si>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</si>
  <si>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</si>
  <si>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</si>
  <si>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</si>
  <si>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</si>
  <si>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</si>
  <si>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</si>
  <si>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</si>
  <si>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</si>
  <si>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</si>
  <si>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</si>
  <si>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</si>
  <si>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</si>
  <si>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</si>
  <si>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</si>
  <si>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</si>
  <si>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</si>
  <si>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</si>
  <si>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</si>
  <si>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</si>
  <si>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</si>
  <si>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</si>
  <si>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</si>
  <si>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</si>
  <si>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</si>
  <si>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</si>
  <si>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</si>
  <si>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</si>
  <si>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</si>
  <si>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</si>
  <si>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</si>
  <si>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</si>
  <si>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</si>
  <si>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</si>
  <si>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</si>
  <si>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</si>
  <si>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</si>
  <si>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</si>
  <si>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</si>
  <si>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</si>
  <si>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</si>
  <si>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</si>
  <si>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</si>
  <si>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</si>
  <si>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</si>
  <si>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</si>
  <si>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</si>
  <si>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</si>
  <si>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</si>
  <si>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</si>
  <si>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</si>
  <si>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</si>
  <si>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</si>
  <si>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</si>
  <si>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</si>
  <si>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</si>
  <si>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</si>
  <si>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</si>
  <si>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</si>
  <si>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</si>
  <si>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</si>
  <si>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</si>
  <si>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</si>
  <si>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</si>
  <si>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</si>
  <si>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</si>
  <si>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</si>
  <si>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</si>
  <si>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</si>
  <si>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</si>
  <si>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</si>
  <si>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</si>
  <si>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</si>
  <si>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</si>
  <si>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</si>
  <si>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</si>
  <si>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</si>
  <si>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</si>
  <si>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</si>
  <si>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</si>
  <si>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</si>
  <si>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</si>
  <si>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</si>
  <si>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</si>
  <si>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</si>
  <si>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</si>
  <si>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</si>
  <si>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</si>
  <si>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</si>
  <si>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</si>
  <si>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</si>
  <si>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</si>
  <si>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</si>
  <si>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</si>
  <si>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</si>
  <si>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</si>
  <si>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</si>
  <si>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</si>
  <si>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</si>
  <si>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</si>
  <si>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</si>
  <si>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</si>
  <si>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</si>
  <si>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</si>
  <si>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</si>
  <si>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</si>
  <si>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</si>
  <si>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</si>
  <si>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</si>
  <si>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</si>
  <si>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</si>
  <si>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</si>
  <si>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</si>
  <si>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</si>
  <si>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</si>
  <si>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</si>
  <si>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</si>
  <si>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</si>
  <si>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</si>
  <si>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</si>
  <si>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</si>
  <si>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</si>
  <si>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</si>
  <si>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</si>
  <si>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</si>
  <si>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</si>
  <si>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</si>
  <si>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</si>
  <si>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</si>
  <si>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</si>
  <si>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</si>
  <si>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</si>
  <si>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</si>
  <si>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</si>
  <si>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</si>
  <si>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</si>
  <si>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</si>
  <si>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</si>
  <si>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</si>
  <si>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</si>
  <si>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</si>
  <si>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</si>
  <si>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</si>
  <si>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</si>
  <si>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</si>
  <si>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</si>
  <si>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</si>
  <si>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</si>
  <si>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</si>
  <si>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</si>
  <si>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</si>
  <si>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</si>
  <si>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</si>
  <si>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</si>
  <si>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</si>
  <si>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</si>
  <si>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</si>
  <si>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</si>
  <si>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</si>
  <si>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</si>
  <si>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</si>
  <si>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</si>
  <si>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</si>
  <si>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</si>
  <si>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</si>
  <si>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</si>
  <si>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</si>
  <si>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</si>
  <si>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</si>
  <si>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</si>
  <si>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</si>
  <si>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</si>
  <si>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</si>
  <si>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</si>
  <si>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</si>
  <si>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</si>
  <si>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</si>
  <si>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</si>
  <si>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</si>
  <si>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</si>
  <si>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</si>
  <si>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</si>
  <si>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</si>
  <si>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</si>
  <si>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</si>
  <si>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</si>
  <si>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</si>
  <si>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</si>
  <si>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</si>
  <si>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</si>
  <si>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</si>
  <si>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</si>
  <si>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</si>
  <si>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</si>
  <si>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</si>
  <si>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</si>
  <si>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</si>
  <si>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</si>
  <si>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</si>
  <si>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</si>
  <si>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</si>
  <si>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</si>
  <si>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</si>
  <si>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</si>
  <si>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</si>
  <si>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</si>
  <si>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</si>
  <si>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</si>
  <si>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</si>
  <si>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</si>
  <si>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</si>
  <si>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</si>
  <si>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</si>
  <si>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</si>
  <si>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</si>
  <si>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</si>
  <si>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</si>
  <si>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</si>
  <si>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</si>
  <si>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</si>
  <si>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</si>
  <si>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</si>
  <si>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</si>
  <si>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</si>
  <si>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</si>
  <si>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</si>
  <si>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</si>
  <si>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</si>
  <si>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</si>
  <si>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</si>
  <si>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</si>
  <si>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</si>
  <si>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</si>
  <si>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</si>
  <si>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</si>
  <si>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</si>
  <si>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</si>
  <si>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</si>
  <si>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</si>
  <si>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</si>
  <si>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</si>
  <si>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</si>
  <si>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</si>
  <si>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</si>
  <si>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</si>
  <si>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</si>
  <si>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</si>
  <si>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</si>
  <si>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</si>
  <si>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</si>
  <si>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</si>
  <si>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</si>
  <si>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</si>
  <si>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</si>
  <si>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</si>
  <si>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</si>
  <si>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</si>
  <si>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</si>
  <si>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</si>
  <si>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</si>
  <si>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</si>
  <si>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</si>
  <si>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</si>
  <si>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</si>
  <si>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</si>
  <si>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</si>
  <si>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</si>
  <si>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</si>
  <si>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</si>
  <si>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</si>
  <si>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</si>
  <si>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</si>
  <si>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</si>
  <si>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</si>
  <si>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</si>
  <si>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</si>
  <si>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</si>
  <si>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</si>
  <si>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</si>
  <si>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</si>
  <si>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</si>
  <si>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</si>
  <si>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</si>
  <si>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</si>
  <si>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</si>
  <si>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</si>
  <si>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</si>
  <si>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</si>
  <si>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</si>
  <si>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</si>
  <si>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</si>
  <si>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</si>
  <si>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</si>
  <si>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</si>
  <si>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</si>
  <si>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</si>
  <si>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</si>
  <si>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</si>
  <si>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</si>
  <si>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</si>
  <si>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</si>
  <si>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</si>
  <si>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</si>
  <si>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</si>
  <si>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</si>
  <si>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</si>
  <si>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</si>
  <si>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</si>
  <si>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</si>
  <si>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</si>
  <si>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</si>
  <si>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</si>
  <si>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</si>
  <si>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</si>
  <si>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</si>
  <si>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</si>
  <si>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</si>
  <si>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</si>
  <si>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</si>
  <si>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</si>
  <si>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</si>
  <si>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</si>
  <si>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</si>
  <si>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</si>
  <si>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</si>
  <si>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</si>
  <si>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</si>
  <si>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</si>
  <si>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</si>
  <si>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</si>
  <si>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</si>
  <si>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</si>
  <si>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</si>
  <si>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</si>
  <si>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</si>
  <si>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</si>
  <si>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</si>
  <si>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</si>
  <si>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</si>
  <si>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</si>
  <si>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</si>
  <si>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</si>
  <si>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</si>
  <si>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</si>
  <si>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</si>
  <si>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</si>
  <si>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</si>
  <si>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</si>
  <si>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</si>
  <si>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</si>
  <si>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</si>
  <si>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</si>
  <si>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</si>
  <si>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</si>
  <si>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</si>
  <si>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</si>
  <si>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</si>
  <si>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</si>
  <si>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</si>
  <si>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</si>
  <si>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</si>
  <si>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</si>
  <si>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</si>
  <si>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</si>
  <si>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</si>
  <si>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</si>
  <si>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</si>
  <si>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</si>
  <si>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</si>
  <si>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</si>
  <si>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</si>
  <si>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</si>
  <si>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</si>
  <si>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</si>
  <si>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</si>
  <si>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</si>
  <si>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</si>
  <si>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</si>
  <si>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</si>
  <si>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</si>
  <si>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</si>
  <si>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</si>
  <si>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</si>
  <si>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</si>
  <si>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</si>
  <si>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</si>
  <si>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</si>
  <si>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</si>
  <si>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</si>
  <si>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</si>
  <si>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</si>
  <si>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</si>
  <si>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</si>
  <si>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</si>
  <si>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</si>
  <si>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</si>
  <si>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</si>
  <si>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</si>
  <si>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</si>
  <si>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</si>
  <si>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</si>
  <si>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</si>
  <si>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</si>
  <si>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</si>
  <si>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</si>
  <si>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</si>
  <si>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</si>
  <si>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</si>
  <si>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</si>
  <si>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</si>
  <si>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</si>
  <si>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</si>
  <si>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</si>
  <si>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</si>
  <si>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</si>
  <si>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</si>
  <si>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</si>
  <si>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</si>
  <si>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</si>
  <si>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</si>
  <si>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</si>
  <si>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</si>
  <si>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</si>
  <si>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</si>
  <si>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</si>
  <si>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</si>
  <si>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</si>
  <si>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</si>
  <si>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</si>
  <si>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</si>
  <si>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</si>
  <si>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</si>
  <si>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</si>
  <si>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</si>
  <si>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</si>
  <si>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</si>
  <si>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</si>
  <si>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</si>
  <si>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</si>
  <si>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</si>
  <si>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</si>
  <si>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</si>
  <si>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</si>
  <si>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</si>
  <si>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</si>
  <si>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</si>
  <si>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</si>
  <si>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</si>
  <si>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</si>
  <si>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</si>
  <si>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</si>
  <si>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</si>
  <si>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</si>
  <si>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</si>
  <si>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</si>
  <si>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</si>
  <si>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</si>
  <si>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</si>
  <si>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</si>
  <si>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</si>
  <si>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</si>
  <si>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</si>
  <si>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</si>
  <si>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</si>
  <si>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</si>
  <si>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</si>
  <si>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</si>
  <si>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</si>
  <si>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</si>
  <si>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</si>
  <si>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</si>
  <si>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</si>
  <si>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</si>
  <si>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</si>
  <si>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</si>
  <si>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</si>
  <si>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</si>
  <si>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</si>
  <si>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</si>
  <si>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</si>
  <si>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</si>
  <si>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</si>
  <si>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</si>
  <si>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</si>
  <si>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</si>
  <si>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</si>
  <si>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</si>
  <si>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</si>
  <si>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</si>
  <si>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</si>
  <si>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</si>
  <si>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</si>
  <si>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</si>
  <si>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</si>
  <si>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</si>
  <si>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</si>
  <si>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</si>
  <si>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</si>
  <si>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</si>
  <si>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</si>
  <si>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</si>
  <si>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</si>
  <si>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</si>
  <si>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</si>
  <si>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</si>
  <si>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</si>
  <si>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</si>
  <si>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</si>
  <si>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</si>
  <si>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</si>
  <si>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</si>
  <si>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</si>
  <si>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</si>
  <si>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</si>
  <si>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</si>
  <si>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</si>
  <si>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</si>
  <si>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</si>
  <si>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</si>
  <si>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</si>
  <si>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</si>
  <si>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</si>
  <si>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</si>
  <si>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</si>
  <si>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</si>
  <si>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</si>
  <si>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</si>
  <si>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</si>
  <si>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</si>
  <si>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</si>
  <si>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</si>
  <si>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</si>
  <si>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</si>
  <si>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</si>
  <si>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</si>
  <si>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</si>
  <si>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</si>
  <si>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</si>
  <si>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</si>
  <si>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</si>
  <si>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</si>
  <si>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</si>
  <si>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</si>
  <si>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</si>
  <si>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</si>
  <si>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</si>
  <si>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</si>
  <si>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</si>
  <si>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</si>
  <si>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</si>
  <si>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</si>
  <si>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</si>
  <si>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</si>
  <si>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</si>
  <si>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</si>
  <si>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</si>
  <si>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</si>
  <si>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</si>
  <si>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</si>
  <si>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</si>
  <si>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</si>
  <si>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</si>
  <si>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</si>
  <si>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</si>
  <si>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</si>
  <si>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</si>
  <si>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</si>
  <si>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</si>
  <si>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</si>
  <si>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</si>
  <si>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</si>
  <si>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</si>
  <si>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</si>
  <si>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</si>
  <si>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</si>
  <si>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</si>
  <si>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</si>
  <si>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</si>
  <si>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</si>
  <si>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</si>
  <si>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</si>
  <si>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</si>
  <si>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</si>
  <si>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</si>
  <si>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</si>
  <si>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</si>
  <si>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</si>
  <si>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</si>
  <si>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</si>
  <si>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</si>
  <si>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</si>
  <si>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</si>
  <si>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</si>
  <si>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</si>
  <si>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</si>
  <si>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</si>
  <si>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</si>
  <si>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</si>
  <si>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</si>
  <si>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</si>
  <si>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</si>
  <si>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</si>
  <si>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</si>
  <si>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</si>
  <si>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</si>
  <si>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</si>
  <si>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</si>
  <si>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</si>
  <si>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</si>
  <si>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</si>
  <si>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</si>
  <si>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</si>
  <si>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</si>
  <si>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</si>
  <si>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</si>
  <si>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</si>
  <si>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</si>
  <si>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</si>
  <si>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</si>
  <si>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</si>
  <si>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</si>
  <si>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</si>
  <si>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</si>
  <si>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</si>
  <si>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</si>
  <si>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</si>
  <si>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</si>
  <si>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</si>
  <si>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</si>
  <si>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</si>
  <si>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</si>
  <si>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</si>
  <si>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</si>
  <si>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</si>
  <si>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</si>
  <si>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</si>
  <si>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</si>
  <si>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</si>
  <si>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</si>
  <si>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</si>
  <si>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</si>
  <si>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</si>
  <si>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</si>
  <si>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</si>
  <si>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</si>
  <si>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</si>
  <si>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</si>
  <si>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</si>
  <si>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</si>
  <si>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</si>
  <si>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</si>
  <si>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</si>
  <si>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</si>
  <si>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</si>
  <si>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</si>
  <si>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</si>
  <si>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</si>
  <si>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</si>
  <si>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</si>
  <si>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</si>
  <si>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</si>
  <si>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</si>
  <si>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</si>
  <si>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</si>
  <si>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MARIO ENJUANES</t>
  </si>
  <si>
    <t>Very good job!</t>
  </si>
  <si>
    <t>E</t>
  </si>
  <si>
    <t>04:07</t>
  </si>
  <si>
    <t>01:56</t>
  </si>
  <si>
    <t>LEPOVIC, MARKO</t>
  </si>
  <si>
    <t>VESOVIC, DANILO</t>
  </si>
  <si>
    <t>SENPAU VILLANUEVA, FRANCESC</t>
  </si>
  <si>
    <t>BOGICCANIN, JELENA</t>
  </si>
  <si>
    <t>VUKOJEVIC, LJUPKA</t>
  </si>
  <si>
    <t>KRSTIC, ANA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</si>
</sst>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/>
    </sheetView>
  </sheetViews>
  <sheetFormatPr defaultColWidth="0" defaultRowHeight="15" x14ac:dyDescent="0.2"/>
  <cols>
    <col min="1" max="1" width="1.5703125" customWidth="1"/>
    <col min="2" max="3" width="6.85546875" style="3" customWidth="1"/>
    <col min="4" max="7" width="7.85546875" style="3" customWidth="1"/>
    <col min="8" max="8" width="12.42578125" style="4" customWidth="1"/>
    <col min="9" max="9" width="11.85546875" style="3" bestFit="1" customWidth="1"/>
    <col min="10" max="13" width="22" style="3" customWidth="1"/>
    <col min="14" max="14" width="41.140625" style="3" bestFit="1" customWidth="1"/>
    <col min="15" max="15" width="13.5703125" hidden="1" customWidth="1"/>
    <col min="16" max="16" width="5.42578125" hidden="1" customWidth="1"/>
    <col min="17" max="17" width="21.140625" style="87" hidden="1" customWidth="1"/>
    <col min="18" max="18" width="2.7109375" hidden="1" customWidth="1"/>
    <col min="19" max="20" width="2.7109375" style="91" hidden="1" customWidth="1"/>
    <col min="21" max="21" width="2.7109375" style="97" hidden="1" customWidth="1"/>
    <col min="22" max="24" width="2.7109375" style="91" hidden="1" customWidth="1"/>
    <col min="25" max="25" width="2.7109375" style="98" hidden="1" customWidth="1"/>
    <col min="26" max="26" width="9.5703125" style="87" hidden="1" customWidth="1"/>
    <col min="27" max="27" width="2.7109375" style="91" hidden="1" customWidth="1"/>
    <col min="28" max="28" width="2.7109375" style="97" hidden="1" customWidth="1"/>
    <col min="29" max="29" width="2.7109375" style="99" hidden="1" customWidth="1"/>
    <col min="30" max="30" width="2.7109375" style="91" hidden="1" customWidth="1"/>
    <col min="31" max="31" width="2.7109375" style="97" hidden="1" customWidth="1"/>
    <col min="32" max="46" width="2.7109375" style="91" hidden="1" customWidth="1"/>
    <col min="47" max="47" width="2.7109375" style="99" hidden="1" customWidth="1"/>
    <col min="48" max="48" width="2.7109375" style="91" hidden="1" customWidth="1"/>
    <col min="49" max="52" width="2.7109375" style="99" hidden="1" customWidth="1"/>
    <col min="53" max="53" width="2.7109375" style="91" hidden="1" customWidth="1"/>
    <col min="54" max="54" width="2.7109375" style="99" hidden="1" customWidth="1"/>
    <col min="55" max="71" width="2.7109375" style="91" hidden="1" customWidth="1"/>
    <col min="72" max="16384" width="2.710937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10</v>
      </c>
      <c r="D1" s="124" t="s">
        <v>751</v>
      </c>
      <c r="E1" s="125">
        <v>2025</v>
      </c>
      <c r="F1" s="120" t="str">
        <f>TEXT(C1,"00") &amp; "_" &amp; TEXT(C2,"000")&amp; "_" &amp; H4 &amp; "_" &amp; H5 &amp; "_" &amp; B2</f>
        <v>10_096_DUB_RED_E2025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742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6.25" thickBot="1" x14ac:dyDescent="0.25">
      <c r="A2" s="1"/>
      <c r="B2" s="117" t="str">
        <f>D1&amp;E1</f>
        <v>E2025</v>
      </c>
      <c r="C2" s="123">
        <v>96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25">
      <c r="A3" s="1"/>
      <c r="B3" s="177">
        <f ca="1">IF(ISERROR(VLOOKUP($B$2&amp;TEXT($C$2,"000"),GAMES!$A$3:$I$562,8,FALSE)),NOW(),VLOOKUP($B$2&amp;TEXT($C$2,"000"),GAMES!$A$3:$I$562,8,FALSE))</f>
        <v>45972.833333333336</v>
      </c>
      <c r="C3" s="178"/>
      <c r="D3" s="39">
        <v>562</v>
      </c>
      <c r="E3" s="29"/>
      <c r="F3" s="26">
        <f>SUBTOTAL(3,I17:I106)</f>
        <v>2</v>
      </c>
      <c r="G3" s="27">
        <f>IF(OR(D3="",D3=0),"",F3/D3)</f>
        <v>3.5587188612099642E-3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2.75" x14ac:dyDescent="0.2">
      <c r="A4" s="2"/>
      <c r="B4" s="167" t="s">
        <v>86</v>
      </c>
      <c r="C4" s="168"/>
      <c r="D4" s="181" t="str">
        <f>IF(ISERROR(VLOOKUP(H4,Teams!$B$2:$C$44,2,FALSE)),"Local Team",VLOOKUP(H4,Teams!$B$2:$C$44,2,FALSE))</f>
        <v>Dubai Basketball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DUB</v>
      </c>
      <c r="I4" s="5"/>
      <c r="J4" s="119" t="s">
        <v>714</v>
      </c>
      <c r="K4" s="54" t="s">
        <v>743</v>
      </c>
      <c r="L4" s="5"/>
      <c r="M4" s="185" t="s">
        <v>750</v>
      </c>
      <c r="N4" s="186"/>
      <c r="O4" s="2"/>
      <c r="P4" s="2"/>
      <c r="Q4" s="84" t="s">
        <v>175</v>
      </c>
      <c r="R4" s="94">
        <f>(IF(G3="",0,G3))</f>
        <v>3.5587188612099642E-3</v>
      </c>
      <c r="S4" s="61">
        <f>SUM(I13:M13)</f>
        <v>0</v>
      </c>
      <c r="T4" s="78"/>
      <c r="U4" s="61">
        <f>AC18</f>
        <v>2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25">
      <c r="A5" s="2"/>
      <c r="B5" s="171" t="s">
        <v>87</v>
      </c>
      <c r="C5" s="184"/>
      <c r="D5" s="191" t="str">
        <f>IF(ISERROR(VLOOKUP(H5,Teams!$B$2:$C$44,2,FALSE)),"Visitor Team",VLOOKUP(H5,Teams!$B$2:$C$44,2,FALSE))</f>
        <v>Crvena Zvezda Meridianbet Belgrade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RED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0.35587188612099641</v>
      </c>
      <c r="S5" s="70">
        <f t="shared" ref="S5" si="0">S4*S3</f>
        <v>0</v>
      </c>
      <c r="T5" s="92"/>
      <c r="U5" s="70">
        <f t="shared" ref="U5:AG5" si="1">U4*U3</f>
        <v>1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25">
      <c r="A6" s="2"/>
      <c r="B6" s="167" t="s">
        <v>95</v>
      </c>
      <c r="C6" s="168"/>
      <c r="D6" s="158" t="s">
        <v>755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2.75" x14ac:dyDescent="0.2">
      <c r="A7" s="2"/>
      <c r="B7" s="169" t="s">
        <v>96</v>
      </c>
      <c r="C7" s="170"/>
      <c r="D7" s="158" t="s">
        <v>754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1.3558718861209964</v>
      </c>
      <c r="N7" s="58"/>
      <c r="O7" s="2"/>
      <c r="P7" s="2"/>
      <c r="Q7" s="86">
        <f>SUM(R5,S5,AC16)</f>
        <v>1.3558718861209964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25">
      <c r="A8" s="2"/>
      <c r="B8" s="171" t="s">
        <v>97</v>
      </c>
      <c r="C8" s="172"/>
      <c r="D8" s="161" t="s">
        <v>756</v>
      </c>
      <c r="E8" s="162"/>
      <c r="F8" s="162"/>
      <c r="G8" s="16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1.3558718861209964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25">
      <c r="A9" s="2"/>
      <c r="B9" s="167" t="s">
        <v>98</v>
      </c>
      <c r="C9" s="173"/>
      <c r="D9" s="158" t="s">
        <v>757</v>
      </c>
      <c r="E9" s="159"/>
      <c r="F9" s="159"/>
      <c r="G9" s="16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25">
      <c r="A10" s="1"/>
      <c r="B10" s="171" t="s">
        <v>99</v>
      </c>
      <c r="C10" s="172"/>
      <c r="D10" s="161" t="s">
        <v>758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3.5" thickBot="1" x14ac:dyDescent="0.3">
      <c r="A11" s="17"/>
      <c r="B11" s="156" t="s">
        <v>108</v>
      </c>
      <c r="C11" s="157"/>
      <c r="D11" s="174" t="s">
        <v>759</v>
      </c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25">
      <c r="A12" s="1"/>
      <c r="B12" s="2"/>
      <c r="C12" s="2"/>
      <c r="D12" s="2"/>
      <c r="E12" s="2"/>
      <c r="F12" s="49" t="str">
        <f>IF(G12="","",$B$2)</f>
        <v>E2025</v>
      </c>
      <c r="G12" s="50">
        <f>IF(I12="","",$C$2)</f>
        <v>96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25">
      <c r="A14" s="1"/>
      <c r="B14" s="156" t="s">
        <v>162</v>
      </c>
      <c r="C14" s="157"/>
      <c r="D14" s="164" t="s">
        <v>749</v>
      </c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2</v>
      </c>
      <c r="J15" s="24">
        <f>SUBTOTAL(3,J17:J106)</f>
        <v>2</v>
      </c>
      <c r="K15" s="24">
        <f>SUBTOTAL(3,K17:K106)</f>
        <v>2</v>
      </c>
      <c r="L15" s="24">
        <f>SUBTOTAL(3,L17:L106)</f>
        <v>2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2</v>
      </c>
      <c r="Z16" s="90" t="s">
        <v>110</v>
      </c>
      <c r="AA16" s="75">
        <f>SUM(AA17:AA24)</f>
        <v>2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1</v>
      </c>
      <c r="AD16" s="75">
        <f>SUM(AD17:AD24)</f>
        <v>45</v>
      </c>
      <c r="AE16" s="76" t="s">
        <v>42</v>
      </c>
      <c r="AF16" s="75">
        <f>SUM(AF17:AF24)</f>
        <v>2</v>
      </c>
      <c r="AG16" s="75">
        <f>SUM(AG17:AG21)</f>
        <v>2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2.75" x14ac:dyDescent="0.25">
      <c r="A17" s="20"/>
      <c r="B17" s="31" t="str">
        <f t="shared" ref="B17:B48" si="2">IF(C17="","",$B$2)</f>
        <v>E2025</v>
      </c>
      <c r="C17" s="31">
        <f t="shared" ref="C17:C48" si="3">IF(I17="","",$C$2)</f>
        <v>96</v>
      </c>
      <c r="D17" s="32" t="s">
        <v>752</v>
      </c>
      <c r="E17" s="33">
        <v>3</v>
      </c>
      <c r="F17" s="36">
        <v>62</v>
      </c>
      <c r="G17" s="36">
        <v>57</v>
      </c>
      <c r="H17" s="38" t="str">
        <f>IF(I17="","",$I$14)</f>
        <v>SCOUTING</v>
      </c>
      <c r="I17" s="34">
        <v>370</v>
      </c>
      <c r="J17" s="13" t="s">
        <v>4</v>
      </c>
      <c r="K17" s="13" t="s">
        <v>63</v>
      </c>
      <c r="L17" s="13" t="s">
        <v>5</v>
      </c>
      <c r="M17" s="13" t="s">
        <v>11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2</v>
      </c>
      <c r="Z17" s="105" t="s">
        <v>63</v>
      </c>
      <c r="AA17" s="62">
        <f>COUNTIF($K$17:$K$106,Z17)</f>
        <v>2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1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2.75" x14ac:dyDescent="0.25">
      <c r="A18" s="20"/>
      <c r="B18" s="31" t="str">
        <f t="shared" si="2"/>
        <v>E2025</v>
      </c>
      <c r="C18" s="31">
        <f t="shared" si="3"/>
        <v>96</v>
      </c>
      <c r="D18" s="32" t="s">
        <v>753</v>
      </c>
      <c r="E18" s="33">
        <v>3</v>
      </c>
      <c r="F18" s="36">
        <v>65</v>
      </c>
      <c r="G18" s="36">
        <v>59</v>
      </c>
      <c r="H18" s="38" t="str">
        <f t="shared" ref="H18:H81" si="8">IF(I18="","",$I$14)</f>
        <v>SCOUTING</v>
      </c>
      <c r="I18" s="34">
        <v>399</v>
      </c>
      <c r="J18" s="13" t="s">
        <v>4</v>
      </c>
      <c r="K18" s="13" t="s">
        <v>63</v>
      </c>
      <c r="L18" s="13" t="s">
        <v>5</v>
      </c>
      <c r="M18" s="13" t="s">
        <v>168</v>
      </c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2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2.7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2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2.7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1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2.7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2.7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2.7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2.7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2.7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2.7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2.7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2.7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2.7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2.7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2.7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2.7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2.7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2.7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2.7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2.7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2.7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2.7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2.7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2.7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2.7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2.7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2.7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2.7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2.7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2.7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2.7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2.7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2.7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2.7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2.7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2.7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2.7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2.7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2.7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2.7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2.7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2.7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2.7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2.7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2.7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2.7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2.7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2.7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2.7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2.7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2.7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2.7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2.7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2.7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2.7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2.7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2.7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2.7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2.7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2.7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2.7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2.7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2.7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2.7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2.7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2.7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2.7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2.7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2.7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2.7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2.7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2.7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2.7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2.7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2.7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2.7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2.7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2.7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2.7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2.7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2.7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2.7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2.7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2.7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2.7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2.7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2.7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2.7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2.7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2.7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2.75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2.75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">
      <c r="W109" s="96"/>
    </row>
    <row r="110" spans="1:71" x14ac:dyDescent="0.2">
      <c r="W110" s="4"/>
    </row>
    <row r="111" spans="1:71" x14ac:dyDescent="0.2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3.5" x14ac:dyDescent="0.25"/>
  <cols>
    <col min="1" max="1" width="0.7109375" customWidth="1"/>
    <col min="2" max="2" width="3.7109375" style="150" customWidth="1"/>
    <col min="3" max="3" width="23.5703125" style="150" bestFit="1" customWidth="1"/>
    <col min="4" max="15" width="14" style="25" customWidth="1"/>
  </cols>
  <sheetData>
    <row r="1" spans="2:15" ht="14.25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4.25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4.25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4.25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4.25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75" x14ac:dyDescent="0.2"/>
  <cols>
    <col min="2" max="2" width="11.85546875" bestFit="1" customWidth="1"/>
    <col min="3" max="3" width="6.140625" bestFit="1" customWidth="1"/>
    <col min="4" max="4" width="3.42578125" bestFit="1" customWidth="1"/>
    <col min="5" max="5" width="15.28515625" bestFit="1" customWidth="1"/>
    <col min="6" max="7" width="14.140625" bestFit="1" customWidth="1"/>
    <col min="8" max="8" width="14.85546875" bestFit="1" customWidth="1"/>
    <col min="9" max="9" width="20.85546875" bestFit="1" customWidth="1"/>
  </cols>
  <sheetData>
    <row r="2" spans="1:9" ht="15" x14ac:dyDescent="0.2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5" x14ac:dyDescent="0.2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5" x14ac:dyDescent="0.2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5" x14ac:dyDescent="0.2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5" x14ac:dyDescent="0.2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5" x14ac:dyDescent="0.2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5" x14ac:dyDescent="0.2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5" x14ac:dyDescent="0.2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5" x14ac:dyDescent="0.2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5" x14ac:dyDescent="0.2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5" x14ac:dyDescent="0.2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5" x14ac:dyDescent="0.2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5" x14ac:dyDescent="0.2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5" x14ac:dyDescent="0.2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5" x14ac:dyDescent="0.2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5" x14ac:dyDescent="0.2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5" x14ac:dyDescent="0.2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5" x14ac:dyDescent="0.2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5" x14ac:dyDescent="0.2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5" x14ac:dyDescent="0.2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5" x14ac:dyDescent="0.2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5" x14ac:dyDescent="0.2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5" x14ac:dyDescent="0.2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5" x14ac:dyDescent="0.2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5" x14ac:dyDescent="0.2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5" x14ac:dyDescent="0.2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5" x14ac:dyDescent="0.2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5" x14ac:dyDescent="0.2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5" x14ac:dyDescent="0.2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5" x14ac:dyDescent="0.2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5" x14ac:dyDescent="0.2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5" x14ac:dyDescent="0.2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5" x14ac:dyDescent="0.2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5" x14ac:dyDescent="0.2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5" x14ac:dyDescent="0.2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5" x14ac:dyDescent="0.2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5" x14ac:dyDescent="0.2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5" x14ac:dyDescent="0.2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5" x14ac:dyDescent="0.2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5" x14ac:dyDescent="0.2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5" x14ac:dyDescent="0.2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5" x14ac:dyDescent="0.2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5" x14ac:dyDescent="0.2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5" x14ac:dyDescent="0.2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5" x14ac:dyDescent="0.2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5" x14ac:dyDescent="0.2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5" x14ac:dyDescent="0.2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5" x14ac:dyDescent="0.2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5" x14ac:dyDescent="0.2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5" x14ac:dyDescent="0.2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5" x14ac:dyDescent="0.2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5" x14ac:dyDescent="0.2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5" x14ac:dyDescent="0.2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5" x14ac:dyDescent="0.2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5" x14ac:dyDescent="0.2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5" x14ac:dyDescent="0.2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5" x14ac:dyDescent="0.2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5" x14ac:dyDescent="0.2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5" x14ac:dyDescent="0.2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5" x14ac:dyDescent="0.2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5" x14ac:dyDescent="0.2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5" x14ac:dyDescent="0.2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5" x14ac:dyDescent="0.2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5" x14ac:dyDescent="0.2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5" x14ac:dyDescent="0.2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5" x14ac:dyDescent="0.2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5" x14ac:dyDescent="0.2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5" x14ac:dyDescent="0.2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5" x14ac:dyDescent="0.2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5" x14ac:dyDescent="0.2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5" x14ac:dyDescent="0.2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5" x14ac:dyDescent="0.2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5" x14ac:dyDescent="0.2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5" x14ac:dyDescent="0.2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5" x14ac:dyDescent="0.2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5" x14ac:dyDescent="0.2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5" x14ac:dyDescent="0.2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5" x14ac:dyDescent="0.2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5" x14ac:dyDescent="0.2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5" x14ac:dyDescent="0.2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5" x14ac:dyDescent="0.2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5" x14ac:dyDescent="0.2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5" x14ac:dyDescent="0.2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5" x14ac:dyDescent="0.2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5" x14ac:dyDescent="0.2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5" x14ac:dyDescent="0.2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5" x14ac:dyDescent="0.2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5" x14ac:dyDescent="0.2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5" x14ac:dyDescent="0.2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5" x14ac:dyDescent="0.2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5" x14ac:dyDescent="0.2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5" x14ac:dyDescent="0.2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5" x14ac:dyDescent="0.2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5" x14ac:dyDescent="0.2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5" x14ac:dyDescent="0.2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5" x14ac:dyDescent="0.2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5" x14ac:dyDescent="0.2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5" x14ac:dyDescent="0.2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5" x14ac:dyDescent="0.2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5" x14ac:dyDescent="0.2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5" x14ac:dyDescent="0.2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5" x14ac:dyDescent="0.2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5" x14ac:dyDescent="0.2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5" x14ac:dyDescent="0.2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5" x14ac:dyDescent="0.2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5" x14ac:dyDescent="0.2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5" x14ac:dyDescent="0.2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5" x14ac:dyDescent="0.2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5" x14ac:dyDescent="0.2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5" x14ac:dyDescent="0.2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5" x14ac:dyDescent="0.2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5" x14ac:dyDescent="0.2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5" x14ac:dyDescent="0.2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5" x14ac:dyDescent="0.2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5" x14ac:dyDescent="0.2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5" x14ac:dyDescent="0.2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5" x14ac:dyDescent="0.2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5" x14ac:dyDescent="0.2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5" x14ac:dyDescent="0.2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5" x14ac:dyDescent="0.2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5" x14ac:dyDescent="0.2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5" x14ac:dyDescent="0.2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5" x14ac:dyDescent="0.2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5" x14ac:dyDescent="0.2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5" x14ac:dyDescent="0.2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5" x14ac:dyDescent="0.2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5" x14ac:dyDescent="0.2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5" x14ac:dyDescent="0.2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5" x14ac:dyDescent="0.2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5" x14ac:dyDescent="0.2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5" x14ac:dyDescent="0.2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5" x14ac:dyDescent="0.2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5" x14ac:dyDescent="0.2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5" x14ac:dyDescent="0.2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5" x14ac:dyDescent="0.2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5" x14ac:dyDescent="0.2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5" x14ac:dyDescent="0.2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5" x14ac:dyDescent="0.2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5" x14ac:dyDescent="0.2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5" x14ac:dyDescent="0.2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5" x14ac:dyDescent="0.2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5" x14ac:dyDescent="0.2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5" x14ac:dyDescent="0.2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5" x14ac:dyDescent="0.2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5" x14ac:dyDescent="0.2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5" x14ac:dyDescent="0.2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5" x14ac:dyDescent="0.2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5" x14ac:dyDescent="0.2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5" x14ac:dyDescent="0.2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5" x14ac:dyDescent="0.2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5" x14ac:dyDescent="0.2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5" x14ac:dyDescent="0.2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5" x14ac:dyDescent="0.2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5" x14ac:dyDescent="0.2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5" x14ac:dyDescent="0.2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5" x14ac:dyDescent="0.2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5" x14ac:dyDescent="0.2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5" x14ac:dyDescent="0.2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5" x14ac:dyDescent="0.2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5" x14ac:dyDescent="0.2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5" x14ac:dyDescent="0.2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5" x14ac:dyDescent="0.2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5" x14ac:dyDescent="0.2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5" x14ac:dyDescent="0.2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5" x14ac:dyDescent="0.2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5" x14ac:dyDescent="0.2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5" x14ac:dyDescent="0.2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5" x14ac:dyDescent="0.2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5" x14ac:dyDescent="0.2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5" x14ac:dyDescent="0.2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5" x14ac:dyDescent="0.2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5" x14ac:dyDescent="0.2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5" x14ac:dyDescent="0.2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5" x14ac:dyDescent="0.2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5" x14ac:dyDescent="0.2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5" x14ac:dyDescent="0.2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5" x14ac:dyDescent="0.2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5" x14ac:dyDescent="0.2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5" x14ac:dyDescent="0.2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5" x14ac:dyDescent="0.2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5" x14ac:dyDescent="0.2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5" x14ac:dyDescent="0.2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5" x14ac:dyDescent="0.2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5" x14ac:dyDescent="0.2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5" x14ac:dyDescent="0.2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5" x14ac:dyDescent="0.2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5" x14ac:dyDescent="0.2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5" x14ac:dyDescent="0.2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5" x14ac:dyDescent="0.2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5" x14ac:dyDescent="0.2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5" x14ac:dyDescent="0.2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5" x14ac:dyDescent="0.2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5" x14ac:dyDescent="0.2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5" x14ac:dyDescent="0.2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5" x14ac:dyDescent="0.2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5" x14ac:dyDescent="0.2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5" x14ac:dyDescent="0.2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5" x14ac:dyDescent="0.2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5" x14ac:dyDescent="0.2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5" x14ac:dyDescent="0.2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5" x14ac:dyDescent="0.2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5" x14ac:dyDescent="0.2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5" x14ac:dyDescent="0.2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5" x14ac:dyDescent="0.2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5" x14ac:dyDescent="0.2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5" x14ac:dyDescent="0.2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5" x14ac:dyDescent="0.2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5" x14ac:dyDescent="0.2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5" x14ac:dyDescent="0.2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5" x14ac:dyDescent="0.2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5" x14ac:dyDescent="0.2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5" x14ac:dyDescent="0.2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5" x14ac:dyDescent="0.2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5" x14ac:dyDescent="0.2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5" x14ac:dyDescent="0.2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5" x14ac:dyDescent="0.2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5" x14ac:dyDescent="0.2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5" x14ac:dyDescent="0.2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5" x14ac:dyDescent="0.2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5" x14ac:dyDescent="0.2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5" x14ac:dyDescent="0.2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5" x14ac:dyDescent="0.2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5" x14ac:dyDescent="0.2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5" x14ac:dyDescent="0.2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5" x14ac:dyDescent="0.2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5" x14ac:dyDescent="0.2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5" x14ac:dyDescent="0.2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5" x14ac:dyDescent="0.2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5" x14ac:dyDescent="0.2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5" x14ac:dyDescent="0.2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5" x14ac:dyDescent="0.2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5" x14ac:dyDescent="0.2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5" x14ac:dyDescent="0.2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5" x14ac:dyDescent="0.2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5" x14ac:dyDescent="0.2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5" x14ac:dyDescent="0.2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5" x14ac:dyDescent="0.2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5" x14ac:dyDescent="0.2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5" x14ac:dyDescent="0.2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5" x14ac:dyDescent="0.2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5" x14ac:dyDescent="0.2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5" x14ac:dyDescent="0.2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5" x14ac:dyDescent="0.2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5" x14ac:dyDescent="0.2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5" x14ac:dyDescent="0.2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5" x14ac:dyDescent="0.2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5" x14ac:dyDescent="0.2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5" x14ac:dyDescent="0.2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5" x14ac:dyDescent="0.2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5" x14ac:dyDescent="0.2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5" x14ac:dyDescent="0.2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5" x14ac:dyDescent="0.2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5" x14ac:dyDescent="0.2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5" x14ac:dyDescent="0.2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5" x14ac:dyDescent="0.2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5" x14ac:dyDescent="0.2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5" x14ac:dyDescent="0.2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5" x14ac:dyDescent="0.2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5" x14ac:dyDescent="0.2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5" x14ac:dyDescent="0.2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5" x14ac:dyDescent="0.2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5" x14ac:dyDescent="0.2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5" x14ac:dyDescent="0.2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5" x14ac:dyDescent="0.2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5" x14ac:dyDescent="0.2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5" x14ac:dyDescent="0.2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5" x14ac:dyDescent="0.2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5" x14ac:dyDescent="0.2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5" x14ac:dyDescent="0.2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5" x14ac:dyDescent="0.2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5" x14ac:dyDescent="0.2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5" x14ac:dyDescent="0.2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5" x14ac:dyDescent="0.2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5" x14ac:dyDescent="0.2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5" x14ac:dyDescent="0.2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5" x14ac:dyDescent="0.2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5" x14ac:dyDescent="0.2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5" x14ac:dyDescent="0.2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5" x14ac:dyDescent="0.2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5" x14ac:dyDescent="0.2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5" x14ac:dyDescent="0.2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5" x14ac:dyDescent="0.2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5" x14ac:dyDescent="0.2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5" x14ac:dyDescent="0.2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5" x14ac:dyDescent="0.2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5" x14ac:dyDescent="0.2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5" x14ac:dyDescent="0.2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5" x14ac:dyDescent="0.2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5" x14ac:dyDescent="0.2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5" x14ac:dyDescent="0.2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5" x14ac:dyDescent="0.2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5" x14ac:dyDescent="0.2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5" x14ac:dyDescent="0.2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5" x14ac:dyDescent="0.2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5" x14ac:dyDescent="0.2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5" x14ac:dyDescent="0.2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5" x14ac:dyDescent="0.2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5" x14ac:dyDescent="0.2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5" x14ac:dyDescent="0.2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5" x14ac:dyDescent="0.2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5" x14ac:dyDescent="0.2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5" x14ac:dyDescent="0.2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5" x14ac:dyDescent="0.2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5" x14ac:dyDescent="0.2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5" x14ac:dyDescent="0.2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5" x14ac:dyDescent="0.2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5" x14ac:dyDescent="0.2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5" x14ac:dyDescent="0.2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5" x14ac:dyDescent="0.2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5" x14ac:dyDescent="0.2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5" x14ac:dyDescent="0.2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5" x14ac:dyDescent="0.2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5" x14ac:dyDescent="0.2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5" x14ac:dyDescent="0.2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5" x14ac:dyDescent="0.2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5" x14ac:dyDescent="0.2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5" x14ac:dyDescent="0.2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5" x14ac:dyDescent="0.2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5" x14ac:dyDescent="0.2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5" x14ac:dyDescent="0.2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5" x14ac:dyDescent="0.2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5" x14ac:dyDescent="0.2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5" x14ac:dyDescent="0.2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5" x14ac:dyDescent="0.2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5" x14ac:dyDescent="0.2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5" x14ac:dyDescent="0.2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5" x14ac:dyDescent="0.2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5" x14ac:dyDescent="0.2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5" x14ac:dyDescent="0.2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5" x14ac:dyDescent="0.2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5" x14ac:dyDescent="0.2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5" x14ac:dyDescent="0.2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5" x14ac:dyDescent="0.2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5" x14ac:dyDescent="0.2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5" x14ac:dyDescent="0.2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5" x14ac:dyDescent="0.2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5" x14ac:dyDescent="0.2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5" x14ac:dyDescent="0.2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5" x14ac:dyDescent="0.2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5" x14ac:dyDescent="0.2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5" x14ac:dyDescent="0.2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5" x14ac:dyDescent="0.2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5" x14ac:dyDescent="0.2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5" x14ac:dyDescent="0.2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5" x14ac:dyDescent="0.2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5" x14ac:dyDescent="0.2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5" x14ac:dyDescent="0.2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5" x14ac:dyDescent="0.2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5" x14ac:dyDescent="0.2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5" x14ac:dyDescent="0.2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5" x14ac:dyDescent="0.2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5" x14ac:dyDescent="0.2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5" x14ac:dyDescent="0.2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5" x14ac:dyDescent="0.2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5" x14ac:dyDescent="0.2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5" x14ac:dyDescent="0.2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5" x14ac:dyDescent="0.2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5" x14ac:dyDescent="0.2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5" x14ac:dyDescent="0.2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5" x14ac:dyDescent="0.2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5" x14ac:dyDescent="0.2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5" x14ac:dyDescent="0.2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5" x14ac:dyDescent="0.2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5" x14ac:dyDescent="0.2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5" x14ac:dyDescent="0.2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5" x14ac:dyDescent="0.2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5" x14ac:dyDescent="0.2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5" x14ac:dyDescent="0.2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5" x14ac:dyDescent="0.2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5" x14ac:dyDescent="0.2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5" x14ac:dyDescent="0.2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5" x14ac:dyDescent="0.2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5" x14ac:dyDescent="0.2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5" x14ac:dyDescent="0.2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5" x14ac:dyDescent="0.2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5" x14ac:dyDescent="0.2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5" x14ac:dyDescent="0.2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5" x14ac:dyDescent="0.2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5" x14ac:dyDescent="0.2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5" x14ac:dyDescent="0.2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5" x14ac:dyDescent="0.2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5" x14ac:dyDescent="0.2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5" x14ac:dyDescent="0.2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5" x14ac:dyDescent="0.2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5" x14ac:dyDescent="0.2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5" x14ac:dyDescent="0.2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5" x14ac:dyDescent="0.2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5" x14ac:dyDescent="0.2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5" x14ac:dyDescent="0.2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5" x14ac:dyDescent="0.2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5" x14ac:dyDescent="0.2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5" x14ac:dyDescent="0.2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5" x14ac:dyDescent="0.2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5" x14ac:dyDescent="0.2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5" x14ac:dyDescent="0.2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5" x14ac:dyDescent="0.2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5" x14ac:dyDescent="0.2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5" x14ac:dyDescent="0.2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5" x14ac:dyDescent="0.2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5" x14ac:dyDescent="0.2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5" x14ac:dyDescent="0.2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5" x14ac:dyDescent="0.2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5" x14ac:dyDescent="0.2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5" x14ac:dyDescent="0.2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5" x14ac:dyDescent="0.2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5" x14ac:dyDescent="0.2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5" x14ac:dyDescent="0.2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5" x14ac:dyDescent="0.2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5" x14ac:dyDescent="0.2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5" x14ac:dyDescent="0.2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5" x14ac:dyDescent="0.2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5" x14ac:dyDescent="0.2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5" x14ac:dyDescent="0.2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5" x14ac:dyDescent="0.2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5" x14ac:dyDescent="0.2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5" x14ac:dyDescent="0.2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5" x14ac:dyDescent="0.2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5" x14ac:dyDescent="0.2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5" x14ac:dyDescent="0.2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5" x14ac:dyDescent="0.2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5" x14ac:dyDescent="0.2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5" x14ac:dyDescent="0.2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5" x14ac:dyDescent="0.2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5" x14ac:dyDescent="0.2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5" x14ac:dyDescent="0.2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5" x14ac:dyDescent="0.2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5" x14ac:dyDescent="0.2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5" x14ac:dyDescent="0.2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5" x14ac:dyDescent="0.2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5" x14ac:dyDescent="0.2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5" x14ac:dyDescent="0.2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5" x14ac:dyDescent="0.2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5" x14ac:dyDescent="0.2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5" x14ac:dyDescent="0.2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5" x14ac:dyDescent="0.2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5" x14ac:dyDescent="0.2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5" x14ac:dyDescent="0.2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5" x14ac:dyDescent="0.2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5" x14ac:dyDescent="0.2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5" x14ac:dyDescent="0.2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5" x14ac:dyDescent="0.2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5" x14ac:dyDescent="0.2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5" x14ac:dyDescent="0.2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5" x14ac:dyDescent="0.2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5" x14ac:dyDescent="0.2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5" x14ac:dyDescent="0.2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5" x14ac:dyDescent="0.2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5" x14ac:dyDescent="0.2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5" x14ac:dyDescent="0.2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5" x14ac:dyDescent="0.2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5" x14ac:dyDescent="0.2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5" x14ac:dyDescent="0.2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5" x14ac:dyDescent="0.2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5" x14ac:dyDescent="0.2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5" x14ac:dyDescent="0.2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5" x14ac:dyDescent="0.2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5" x14ac:dyDescent="0.2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5" x14ac:dyDescent="0.2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5" x14ac:dyDescent="0.2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5" x14ac:dyDescent="0.2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5" x14ac:dyDescent="0.2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5" x14ac:dyDescent="0.2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5" x14ac:dyDescent="0.2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5" x14ac:dyDescent="0.2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5" x14ac:dyDescent="0.2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5" x14ac:dyDescent="0.2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5" x14ac:dyDescent="0.2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5" x14ac:dyDescent="0.2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5" x14ac:dyDescent="0.2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5" x14ac:dyDescent="0.2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5" x14ac:dyDescent="0.2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5" x14ac:dyDescent="0.2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5" x14ac:dyDescent="0.2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5" x14ac:dyDescent="0.2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5" x14ac:dyDescent="0.2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5" x14ac:dyDescent="0.2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5" x14ac:dyDescent="0.2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5" x14ac:dyDescent="0.2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5" x14ac:dyDescent="0.2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5" x14ac:dyDescent="0.2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5" x14ac:dyDescent="0.2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5" x14ac:dyDescent="0.2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5" x14ac:dyDescent="0.2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5" x14ac:dyDescent="0.2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5" x14ac:dyDescent="0.2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5" x14ac:dyDescent="0.2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5" x14ac:dyDescent="0.2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5" x14ac:dyDescent="0.2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5" x14ac:dyDescent="0.2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5" x14ac:dyDescent="0.2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5" x14ac:dyDescent="0.2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5" x14ac:dyDescent="0.2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5" x14ac:dyDescent="0.2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5" x14ac:dyDescent="0.2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5" x14ac:dyDescent="0.2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5" x14ac:dyDescent="0.2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5" x14ac:dyDescent="0.2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5" x14ac:dyDescent="0.2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5" x14ac:dyDescent="0.2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5" x14ac:dyDescent="0.2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5" x14ac:dyDescent="0.2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5" x14ac:dyDescent="0.2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5" x14ac:dyDescent="0.2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5" x14ac:dyDescent="0.2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5" x14ac:dyDescent="0.2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5" x14ac:dyDescent="0.2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5" x14ac:dyDescent="0.2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5" x14ac:dyDescent="0.2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5" x14ac:dyDescent="0.2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5" x14ac:dyDescent="0.2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5" x14ac:dyDescent="0.2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5" x14ac:dyDescent="0.2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5" x14ac:dyDescent="0.2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5" x14ac:dyDescent="0.2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5" x14ac:dyDescent="0.2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5" x14ac:dyDescent="0.2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5" x14ac:dyDescent="0.2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5" x14ac:dyDescent="0.2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5" x14ac:dyDescent="0.2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5" x14ac:dyDescent="0.2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5" x14ac:dyDescent="0.2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5" x14ac:dyDescent="0.2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5" x14ac:dyDescent="0.2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5" x14ac:dyDescent="0.2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5" x14ac:dyDescent="0.2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5" x14ac:dyDescent="0.2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5" x14ac:dyDescent="0.2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5" x14ac:dyDescent="0.2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5" x14ac:dyDescent="0.2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5" x14ac:dyDescent="0.2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5" x14ac:dyDescent="0.2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5" x14ac:dyDescent="0.2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5" x14ac:dyDescent="0.2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5" x14ac:dyDescent="0.2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5" x14ac:dyDescent="0.2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5" x14ac:dyDescent="0.2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5" x14ac:dyDescent="0.2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5" x14ac:dyDescent="0.2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5" x14ac:dyDescent="0.2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5" x14ac:dyDescent="0.2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5" x14ac:dyDescent="0.2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5" x14ac:dyDescent="0.2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5" x14ac:dyDescent="0.2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5" x14ac:dyDescent="0.2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5" x14ac:dyDescent="0.2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5" x14ac:dyDescent="0.2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5" x14ac:dyDescent="0.2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5" x14ac:dyDescent="0.2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5" x14ac:dyDescent="0.2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5" x14ac:dyDescent="0.2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5" x14ac:dyDescent="0.2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5" x14ac:dyDescent="0.2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5" x14ac:dyDescent="0.2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5" x14ac:dyDescent="0.2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5" x14ac:dyDescent="0.2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5" x14ac:dyDescent="0.2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5" x14ac:dyDescent="0.2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5" x14ac:dyDescent="0.2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5" x14ac:dyDescent="0.2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5" x14ac:dyDescent="0.2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5" x14ac:dyDescent="0.2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2.75" zeroHeight="1" x14ac:dyDescent="0.2"/>
  <cols>
    <col min="1" max="1" width="3.140625" style="43" customWidth="1"/>
    <col min="2" max="2" width="13.85546875" style="43" bestFit="1" customWidth="1"/>
    <col min="3" max="3" width="24.85546875" style="43" bestFit="1" customWidth="1"/>
    <col min="4" max="4" width="6.42578125" style="43" bestFit="1" customWidth="1"/>
    <col min="5" max="5" width="1.42578125" style="43" customWidth="1"/>
    <col min="6" max="6" width="34.42578125" style="43" bestFit="1" customWidth="1"/>
    <col min="7" max="7" width="1.42578125" style="43" customWidth="1"/>
    <col min="8" max="16382" width="10.85546875" style="43" hidden="1"/>
    <col min="16383" max="16384" width="52.5703125" style="43" hidden="1" customWidth="1"/>
  </cols>
  <sheetData>
    <row r="1" spans="2:6" x14ac:dyDescent="0.2">
      <c r="F1" s="44" t="str">
        <f>"REPORT_"&amp;'SCOUT &amp; LOGISTICS'!B2&amp;TEXT('SCOUT &amp; LOGISTICS'!C2,"000")</f>
        <v>REPORT_E2025096</v>
      </c>
    </row>
    <row r="2" spans="2:6" x14ac:dyDescent="0.2">
      <c r="F2" s="45" t="s">
        <v>157</v>
      </c>
    </row>
    <row r="3" spans="2:6" x14ac:dyDescent="0.2">
      <c r="B3" s="43" t="s">
        <v>156</v>
      </c>
      <c r="C3" s="43" t="str">
        <f>""""&amp;'SCOUT &amp; LOGISTICS'!B2&amp;TEXT('SCOUT &amp; LOGISTICS'!C2,"000")&amp;""""</f>
        <v>"E2025096"</v>
      </c>
      <c r="F3" s="45" t="str">
        <f t="shared" ref="F3:F16" si="0">""""&amp;B3&amp;"""" &amp; " : " &amp;C3&amp;","</f>
        <v>"name" : "E2025096",</v>
      </c>
    </row>
    <row r="4" spans="2:6" x14ac:dyDescent="0.2">
      <c r="B4" s="43" t="s">
        <v>119</v>
      </c>
      <c r="C4" s="43" t="str">
        <f>""""&amp;LEFT('SCOUT &amp; LOGISTICS'!B2,1) &amp; TEXT('SCOUT &amp; LOGISTICS'!C2,"000")&amp;""""</f>
        <v>"E096"</v>
      </c>
      <c r="F4" s="45" t="str">
        <f t="shared" si="0"/>
        <v>"cod" : "E096",</v>
      </c>
    </row>
    <row r="5" spans="2:6" x14ac:dyDescent="0.2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">
      <c r="B6" s="43" t="s">
        <v>118</v>
      </c>
      <c r="C6" s="43" t="str">
        <f>TEXT('SCOUT &amp; LOGISTICS'!C2,"000")</f>
        <v>096</v>
      </c>
      <c r="F6" s="45" t="str">
        <f t="shared" si="0"/>
        <v>"number" : 096,</v>
      </c>
    </row>
    <row r="7" spans="2:6" x14ac:dyDescent="0.2">
      <c r="B7" s="43" t="s">
        <v>116</v>
      </c>
      <c r="C7" s="43" t="str">
        <f ca="1">""""&amp;TEXT('SCOUT &amp; LOGISTICS'!B3,"dd/mm/aaaa")&amp;""""</f>
        <v>"11/11/Tuesday"</v>
      </c>
      <c r="F7" s="45" t="str">
        <f t="shared" ca="1" si="0"/>
        <v>"date" : "11/11/Tuesday",</v>
      </c>
    </row>
    <row r="8" spans="2:6" x14ac:dyDescent="0.2">
      <c r="B8" s="43" t="s">
        <v>125</v>
      </c>
      <c r="C8" s="43" t="str">
        <f>""""&amp;'SCOUT &amp; LOGISTICS'!D4 &amp;""""</f>
        <v>"Dubai Basketball"</v>
      </c>
      <c r="F8" s="45" t="str">
        <f t="shared" si="0"/>
        <v>"home_team" : "Dubai Basketball",</v>
      </c>
    </row>
    <row r="9" spans="2:6" x14ac:dyDescent="0.2">
      <c r="B9" s="43" t="s">
        <v>126</v>
      </c>
      <c r="C9" s="43" t="str">
        <f>""""&amp;'SCOUT &amp; LOGISTICS'!D5&amp;""""</f>
        <v>"Crvena Zvezda Meridianbet Belgrade"</v>
      </c>
      <c r="F9" s="45" t="str">
        <f t="shared" si="0"/>
        <v>"away_team" : "Crvena Zvezda Meridianbet Belgrade",</v>
      </c>
    </row>
    <row r="10" spans="2:6" x14ac:dyDescent="0.2">
      <c r="B10" s="43" t="s">
        <v>127</v>
      </c>
      <c r="C10" s="43" t="str">
        <f>""""&amp;IF('SCOUT &amp; LOGISTICS'!D6="","",'SCOUT &amp; LOGISTICS'!D6)&amp;""""</f>
        <v>"VESOVIC, DANILO"</v>
      </c>
      <c r="F10" s="45" t="str">
        <f t="shared" si="0"/>
        <v>"Data_entry" : "VESOVIC, DANILO",</v>
      </c>
    </row>
    <row r="11" spans="2:6" x14ac:dyDescent="0.2">
      <c r="B11" s="43" t="s">
        <v>128</v>
      </c>
      <c r="C11" s="43" t="str">
        <f>""""&amp;IF('SCOUT &amp; LOGISTICS'!D7="","",'SCOUT &amp; LOGISTICS'!D7)&amp;""""</f>
        <v>"LEPOVIC, MARKO"</v>
      </c>
      <c r="F11" s="45" t="str">
        <f t="shared" si="0"/>
        <v>"Caller_1" : "LEPOVIC, MARKO",</v>
      </c>
    </row>
    <row r="12" spans="2:6" x14ac:dyDescent="0.2">
      <c r="B12" s="43" t="s">
        <v>129</v>
      </c>
      <c r="C12" s="43" t="str">
        <f>""""&amp;IF('SCOUT &amp; LOGISTICS'!D8="","",'SCOUT &amp; LOGISTICS'!D8)&amp;""""</f>
        <v>"SENPAU VILLANUEVA, FRANCESC"</v>
      </c>
      <c r="F12" s="45" t="str">
        <f t="shared" si="0"/>
        <v>"Caller_2" : "SENPAU VILLANUEVA, FRANCESC",</v>
      </c>
    </row>
    <row r="13" spans="2:6" x14ac:dyDescent="0.2">
      <c r="B13" s="43" t="s">
        <v>98</v>
      </c>
      <c r="C13" s="43" t="str">
        <f>""""&amp;IF('SCOUT &amp; LOGISTICS'!D9="","",'SCOUT &amp; LOGISTICS'!D9)&amp;""""</f>
        <v>"BOGICCANIN, JELENA"</v>
      </c>
      <c r="F13" s="45" t="str">
        <f t="shared" si="0"/>
        <v>"Timerkeeper" : "BOGICCANIN, JELENA",</v>
      </c>
    </row>
    <row r="14" spans="2:6" x14ac:dyDescent="0.2">
      <c r="B14" s="43" t="s">
        <v>99</v>
      </c>
      <c r="C14" s="43" t="str">
        <f>""""&amp;IF('SCOUT &amp; LOGISTICS'!D10="","",'SCOUT &amp; LOGISTICS'!D10)&amp;""""</f>
        <v>"VUKOJEVIC, LJUPKA"</v>
      </c>
      <c r="F14" s="45" t="str">
        <f t="shared" si="0"/>
        <v>"Shotclock" : "VUKOJEVIC, LJUPKA",</v>
      </c>
    </row>
    <row r="15" spans="2:6" x14ac:dyDescent="0.2">
      <c r="B15" s="43" t="s">
        <v>108</v>
      </c>
      <c r="C15" s="43" t="str">
        <f>""""&amp;IF('SCOUT &amp; LOGISTICS'!D11="","",'SCOUT &amp; LOGISTICS'!D11)&amp;""""</f>
        <v>"KRSTIC, ANA"</v>
      </c>
      <c r="F15" s="45" t="str">
        <f t="shared" si="0"/>
        <v>"IRS" : "KRSTIC, ANA",</v>
      </c>
    </row>
    <row r="16" spans="2:6" x14ac:dyDescent="0.2">
      <c r="B16" s="43" t="s">
        <v>130</v>
      </c>
      <c r="C16" s="43" t="str">
        <f>""""&amp;IF('SCOUT &amp; LOGISTICS'!D14=0,"",'SCOUT &amp; LOGISTICS'!D14)&amp;""""</f>
        <v>"MARIO ENJUANES"</v>
      </c>
      <c r="F16" s="45" t="str">
        <f t="shared" si="0"/>
        <v>"Live_Game_Manager" : "MARIO ENJUANES",</v>
      </c>
    </row>
    <row r="17" spans="2:6" x14ac:dyDescent="0.2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">
      <c r="F23" s="45" t="s">
        <v>158</v>
      </c>
    </row>
    <row r="24" spans="2:6" x14ac:dyDescent="0.2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">
      <c r="C25" s="43" t="s">
        <v>131</v>
      </c>
      <c r="D25" s="43">
        <f>'SCOUT &amp; LOGISTICS'!D3</f>
        <v>562</v>
      </c>
      <c r="F25" s="45" t="str">
        <f t="shared" ref="F25:F48" si="1">""""&amp;C25&amp;"""" &amp; " : " &amp;D25&amp;","</f>
        <v>"total_actions" : 562,</v>
      </c>
    </row>
    <row r="26" spans="2:6" x14ac:dyDescent="0.2">
      <c r="C26" s="43" t="s">
        <v>132</v>
      </c>
      <c r="D26" s="43">
        <f>'SCOUT &amp; LOGISTICS'!F3</f>
        <v>2</v>
      </c>
      <c r="F26" s="45" t="str">
        <f t="shared" si="1"/>
        <v>"total_correcions" : 2,</v>
      </c>
    </row>
    <row r="27" spans="2:6" x14ac:dyDescent="0.2">
      <c r="C27" s="43" t="s">
        <v>133</v>
      </c>
      <c r="D27" s="43" t="str">
        <f>""""&amp;IF(OR(D25="",D25=0),"",TEXT(D26/D25,"0,0%"))&amp;""""</f>
        <v>"00%"</v>
      </c>
      <c r="F27" s="45" t="str">
        <f t="shared" si="1"/>
        <v>"%_corrections" : "00%",</v>
      </c>
    </row>
    <row r="28" spans="2:6" x14ac:dyDescent="0.2">
      <c r="C28" s="43" t="s">
        <v>125</v>
      </c>
      <c r="D28" s="43">
        <f>IF('SCOUT &amp; LOGISTICS'!AA17="","",'SCOUT &amp; LOGISTICS'!AA17)</f>
        <v>2</v>
      </c>
      <c r="F28" s="45" t="str">
        <f t="shared" si="1"/>
        <v>"home_team" : 2,</v>
      </c>
    </row>
    <row r="29" spans="2:6" x14ac:dyDescent="0.2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">
      <c r="C33" s="43" t="s">
        <v>137</v>
      </c>
      <c r="D33" s="43">
        <f>'SCOUT &amp; LOGISTICS'!AG19</f>
        <v>2</v>
      </c>
      <c r="F33" s="45" t="str">
        <f t="shared" si="1"/>
        <v>"q3" : 2,</v>
      </c>
    </row>
    <row r="34" spans="3:6" x14ac:dyDescent="0.2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">
      <c r="C37" s="43" t="s">
        <v>140</v>
      </c>
      <c r="D37" s="43">
        <f>'SCOUT &amp; LOGISTICS'!Y16</f>
        <v>2</v>
      </c>
      <c r="F37" s="45" t="str">
        <f t="shared" si="1"/>
        <v>"scoresheet_corrections" : 2,</v>
      </c>
    </row>
    <row r="38" spans="3:6" x14ac:dyDescent="0.2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">
      <c r="C39" s="43" t="s">
        <v>142</v>
      </c>
      <c r="D39" s="43">
        <f>'SCOUT &amp; LOGISTICS'!AC18</f>
        <v>2</v>
      </c>
      <c r="F39" s="45" t="str">
        <f t="shared" si="1"/>
        <v>"missidentity" : 2,</v>
      </c>
    </row>
    <row r="40" spans="3:6" x14ac:dyDescent="0.2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">
      <c r="F50" s="45" t="s">
        <v>158</v>
      </c>
    </row>
    <row r="51" spans="2:6" x14ac:dyDescent="0.2">
      <c r="B51" s="43" t="s">
        <v>152</v>
      </c>
      <c r="C51" s="43" t="str">
        <f>""""&amp;IF('SCOUT &amp; LOGISTICS'!M4="","",'SCOUT &amp; LOGISTICS'!M4)&amp;""""</f>
        <v>"Very good job!"</v>
      </c>
      <c r="F51" s="45" t="str">
        <f>""""&amp;B51&amp;"""" &amp; " : " &amp;C51&amp;","</f>
        <v>"comments" : "Very good job!",</v>
      </c>
    </row>
    <row r="52" spans="2:6" x14ac:dyDescent="0.2">
      <c r="B52" s="43" t="s">
        <v>153</v>
      </c>
      <c r="C52" s="43" t="str">
        <f>TEXT('SCOUT &amp; LOGISTICS'!F1,"0,0")</f>
        <v>10_096_DUB_RED_E2025</v>
      </c>
      <c r="F52" s="45" t="str">
        <f>""""&amp;B52&amp;"""" &amp; " : " &amp;C52</f>
        <v>"result" : 10_096_DUB_RED_E2025</v>
      </c>
    </row>
    <row r="53" spans="2:6" x14ac:dyDescent="0.2">
      <c r="F53" s="45" t="s">
        <v>155</v>
      </c>
    </row>
    <row r="54" spans="2:6" x14ac:dyDescent="0.2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6.5" zeroHeight="1" x14ac:dyDescent="0.35"/>
  <cols>
    <col min="1" max="1" width="5.140625" style="47" customWidth="1"/>
    <col min="2" max="2" width="2.85546875" style="47" customWidth="1"/>
    <col min="3" max="31" width="3.140625" style="47" customWidth="1"/>
    <col min="32" max="32" width="5.5703125" style="47" customWidth="1"/>
    <col min="33" max="16384" width="6.5703125" style="47" hidden="1"/>
  </cols>
  <sheetData>
    <row r="1" spans="1:33" s="48" customFormat="1" ht="11.1" customHeight="1" x14ac:dyDescent="0.35"/>
    <row r="2" spans="1:33" ht="42.6" customHeight="1" thickBot="1" x14ac:dyDescent="0.4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4">
      <c r="A3" s="48"/>
      <c r="B3" s="202" t="str">
        <f>"GAME: "&amp; LEFT('SCOUT &amp; LOGISTICS'!B2,1) &amp; TEXT('SCOUT &amp; LOGISTICS'!C2,"000") &amp; " " &amp; IF(LEFT('SCOUT &amp; LOGISTICS'!B2,1)="U","(EUROCUP)","(EUROLEAGUE)")</f>
        <v>GAME: E096 (EUROLEAGUE)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4">
      <c r="A4" s="48"/>
      <c r="B4" s="200" t="str">
        <f ca="1">"DATE: " &amp; TEXT('SCOUT &amp; LOGISTICS'!B3,"dd/mm")</f>
        <v>DATE: 11/11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00000000000001" customHeight="1" thickBot="1" x14ac:dyDescent="0.4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" customHeight="1" thickBot="1" x14ac:dyDescent="0.4">
      <c r="A6" s="48"/>
      <c r="B6" s="197" t="str">
        <f>PROPER('SCOUT &amp; LOGISTICS'!D4)</f>
        <v>Dubai Basketball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Crvena Zvezda Meridianbet Belgrade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4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4">
      <c r="A8" s="48"/>
      <c r="B8" s="201" t="str">
        <f>IF('SCOUT &amp; LOGISTICS'!D6="","",'SCOUT &amp; LOGISTICS'!D6)</f>
        <v>VESOVIC, DANILO</v>
      </c>
      <c r="C8" s="201"/>
      <c r="D8" s="201"/>
      <c r="E8" s="201"/>
      <c r="F8" s="201"/>
      <c r="G8" s="201" t="str">
        <f>IF('SCOUT &amp; LOGISTICS'!D7="","",'SCOUT &amp; LOGISTICS'!D7)</f>
        <v>LEPOVIC, MARKO</v>
      </c>
      <c r="H8" s="201"/>
      <c r="I8" s="201"/>
      <c r="J8" s="201"/>
      <c r="K8" s="201"/>
      <c r="L8" s="201" t="str">
        <f>IF('SCOUT &amp; LOGISTICS'!D8="","",'SCOUT &amp; LOGISTICS'!D8)</f>
        <v>SENPAU VILLANUEVA, FRANCESC</v>
      </c>
      <c r="M8" s="201"/>
      <c r="N8" s="201"/>
      <c r="O8" s="201"/>
      <c r="P8" s="201"/>
      <c r="Q8" s="201" t="str">
        <f>IF('SCOUT &amp; LOGISTICS'!D9="","",'SCOUT &amp; LOGISTICS'!D9)</f>
        <v>BOGICCANIN, JELENA</v>
      </c>
      <c r="R8" s="201"/>
      <c r="S8" s="201"/>
      <c r="T8" s="201"/>
      <c r="U8" s="201"/>
      <c r="V8" s="201" t="str">
        <f>IF('SCOUT &amp; LOGISTICS'!D10="","",'SCOUT &amp; LOGISTICS'!D10)</f>
        <v>VUKOJEVIC, LJUPKA</v>
      </c>
      <c r="W8" s="201"/>
      <c r="X8" s="201"/>
      <c r="Y8" s="201"/>
      <c r="Z8" s="201"/>
      <c r="AA8" s="201" t="str">
        <f>IF('SCOUT &amp; LOGISTICS'!D11="","",'SCOUT &amp; LOGISTICS'!D11)</f>
        <v>KRSTIC, ANA</v>
      </c>
      <c r="AB8" s="201"/>
      <c r="AC8" s="201"/>
      <c r="AD8" s="201"/>
      <c r="AE8" s="201"/>
      <c r="AF8" s="48"/>
    </row>
    <row r="9" spans="1:33" ht="17.25" thickBot="1" x14ac:dyDescent="0.4">
      <c r="A9" s="48"/>
      <c r="B9" s="209" t="str">
        <f>IF(OR('SCOUT &amp; LOGISTICS'!D14="",'SCOUT &amp; LOGISTICS'!D14=0),"",'SCOUT &amp; LOGISTICS'!B14 &amp; ": " &amp; 'SCOUT &amp; LOGISTICS'!D14) &amp; "     "</f>
        <v xml:space="preserve">L G M: : MARIO ENJUANES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7.25" thickBot="1" x14ac:dyDescent="0.4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00000000000001" customHeight="1" thickBot="1" x14ac:dyDescent="0.4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4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4">
      <c r="A13" s="48"/>
      <c r="B13" s="205" t="str">
        <f>IF('SCOUT &amp; LOGISTICS'!I12="","",'SCOUT &amp; LOGISTICS'!I12)</f>
        <v>OK</v>
      </c>
      <c r="C13" s="205"/>
      <c r="D13" s="205"/>
      <c r="E13" s="205"/>
      <c r="F13" s="205"/>
      <c r="G13" s="205"/>
      <c r="H13" s="205" t="str">
        <f>IF('SCOUT &amp; LOGISTICS'!J12="","",'SCOUT &amp; LOGISTICS'!J12)</f>
        <v>YES</v>
      </c>
      <c r="I13" s="205"/>
      <c r="J13" s="205"/>
      <c r="K13" s="205"/>
      <c r="L13" s="205"/>
      <c r="M13" s="205"/>
      <c r="N13" s="205" t="str">
        <f>IF('SCOUT &amp; LOGISTICS'!K12="","",'SCOUT &amp; LOGISTICS'!K12)</f>
        <v>GOOD</v>
      </c>
      <c r="O13" s="205"/>
      <c r="P13" s="205"/>
      <c r="Q13" s="205"/>
      <c r="R13" s="205"/>
      <c r="S13" s="205"/>
      <c r="T13" s="205" t="str">
        <f>IF('SCOUT &amp; LOGISTICS'!L12="","",'SCOUT &amp; LOGISTICS'!L12)</f>
        <v>FAST</v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7.25" thickBot="1" x14ac:dyDescent="0.4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00000000000001" customHeight="1" thickBot="1" x14ac:dyDescent="0.4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4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4">
      <c r="A17" s="48"/>
      <c r="B17" s="203">
        <f>'SCOUT &amp; LOGISTICS'!D3</f>
        <v>562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2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>
        <f>IF(OR(B17="",B17=0),"",L17/B17)</f>
        <v>3.5587188612099642E-3</v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7.25" thickBot="1" x14ac:dyDescent="0.4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4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4">
      <c r="A20" s="48"/>
      <c r="B20" s="199">
        <f>IF('SCOUT &amp; LOGISTICS'!AA17="","",'SCOUT &amp; LOGISTICS'!AA17)</f>
        <v>2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0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4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4">
      <c r="A22" s="48"/>
      <c r="B22" s="199">
        <f>'SCOUT &amp; LOGISTICS'!AG17</f>
        <v>0</v>
      </c>
      <c r="C22" s="199"/>
      <c r="D22" s="199"/>
      <c r="E22" s="199"/>
      <c r="F22" s="199"/>
      <c r="G22" s="199"/>
      <c r="H22" s="199">
        <f>'SCOUT &amp; LOGISTICS'!AG18</f>
        <v>0</v>
      </c>
      <c r="I22" s="199"/>
      <c r="J22" s="199"/>
      <c r="K22" s="199"/>
      <c r="L22" s="199"/>
      <c r="M22" s="199"/>
      <c r="N22" s="199">
        <f>'SCOUT &amp; LOGISTICS'!AG19</f>
        <v>2</v>
      </c>
      <c r="O22" s="199"/>
      <c r="P22" s="199"/>
      <c r="Q22" s="199"/>
      <c r="R22" s="199"/>
      <c r="S22" s="199"/>
      <c r="T22" s="199">
        <f>'SCOUT &amp; LOGISTICS'!AG20</f>
        <v>0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7.25" thickBot="1" x14ac:dyDescent="0.4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4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4">
      <c r="A25" s="48"/>
      <c r="B25" s="199">
        <f>'SCOUT &amp; LOGISTICS'!Y17</f>
        <v>2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0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4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4">
      <c r="A27" s="48"/>
      <c r="B27" s="199">
        <f>'SCOUT &amp; LOGISTICS'!AC18</f>
        <v>2</v>
      </c>
      <c r="C27" s="199"/>
      <c r="D27" s="199"/>
      <c r="E27" s="199"/>
      <c r="F27" s="199"/>
      <c r="G27" s="199">
        <f>'SCOUT &amp; LOGISTICS'!AC22</f>
        <v>0</v>
      </c>
      <c r="H27" s="199"/>
      <c r="I27" s="199"/>
      <c r="J27" s="199"/>
      <c r="K27" s="199"/>
      <c r="L27" s="199">
        <f>'SCOUT &amp; LOGISTICS'!AC23</f>
        <v>0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4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4">
      <c r="A29" s="48"/>
      <c r="B29" s="199">
        <f>'SCOUT &amp; LOGISTICS'!AC25</f>
        <v>0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7.25" thickBot="1" x14ac:dyDescent="0.4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00000000000001" customHeight="1" thickBot="1" x14ac:dyDescent="0.4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" customHeight="1" thickBot="1" x14ac:dyDescent="0.4">
      <c r="A32" s="48"/>
      <c r="B32" s="211" t="str">
        <f>IF('SCOUT &amp; LOGISTICS'!M4="","",'SCOUT &amp; LOGISTICS'!M4)</f>
        <v>Very good job!</v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00000000000001" customHeight="1" thickBot="1" x14ac:dyDescent="0.4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00000000000001" customHeight="1" thickBot="1" x14ac:dyDescent="0.4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4">
      <c r="A35" s="48"/>
      <c r="B35" s="212">
        <f>'SCOUT &amp; LOGISTICS'!M7</f>
        <v>1.3558718861209964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35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 un document nou" ma:contentTypeScope="" ma:versionID="34c7bbe4d91dd8065e5c5fbebe7efe69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f026ff14e3ea822d0a45bcc6956d6562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es de la imatge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us de contingut"/>
        <xsd:element ref="dc:title" minOccurs="0" maxOccurs="1" ma:index="4" ma:displayName="Títo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F40FFAE4-775D-4356-8062-507C6BA131CA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Mario Enjuanes</cp:lastModifiedBy>
  <cp:lastPrinted>2025-11-12T16:10:07Z</cp:lastPrinted>
  <dcterms:created xsi:type="dcterms:W3CDTF">2023-09-19T19:50:35Z</dcterms:created>
  <dcterms:modified xsi:type="dcterms:W3CDTF">2025-11-12T16:10:42Z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