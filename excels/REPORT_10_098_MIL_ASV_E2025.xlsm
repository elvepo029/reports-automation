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32" documentId="8_{8A68F9E3-DB76-4C58-A021-965490DD7F8D}" xr6:coauthVersionLast="47" xr6:coauthVersionMax="47" xr10:uidLastSave="{26095137-A25A-4A13-B030-8D2DDE626254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<sst xmlns="http://schemas.openxmlformats.org/spreadsheetml/2006/main" count="3310" uniqueCount="767">
  <si>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</si>
  <si>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</si>
  <si>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</si>
  <si>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</si>
  <si>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</si>
  <si>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</si>
  <si>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</si>
  <si>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</si>
  <si>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</si>
  <si>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</si>
  <si>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</si>
  <si>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</si>
  <si>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</si>
  <si>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</si>
  <si>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</si>
  <si>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</si>
  <si>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</si>
  <si>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</si>
  <si>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</si>
  <si>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</si>
  <si>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</si>
  <si>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</si>
  <si>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</si>
  <si>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</si>
  <si>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</si>
  <si>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</si>
  <si>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</si>
  <si>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</si>
  <si>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</si>
  <si>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</si>
  <si>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</si>
  <si>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</si>
  <si>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</si>
  <si>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</si>
  <si>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</si>
  <si>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</si>
  <si>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</si>
  <si>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</si>
  <si>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</si>
  <si>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</si>
  <si>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</si>
  <si>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</si>
  <si>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</si>
  <si>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</si>
  <si>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</si>
  <si>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</si>
  <si>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</si>
  <si>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</si>
  <si>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</si>
  <si>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</si>
  <si>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</si>
  <si>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</si>
  <si>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</si>
  <si>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</si>
  <si>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</si>
  <si>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</si>
  <si>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</si>
  <si>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</si>
  <si>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</si>
  <si>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</si>
  <si>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</si>
  <si>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</si>
  <si>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</si>
  <si>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</si>
  <si>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</si>
  <si>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</si>
  <si>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</si>
  <si>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</si>
  <si>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</si>
  <si>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</si>
  <si>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</si>
  <si>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</si>
  <si>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</si>
  <si>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</si>
  <si>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</si>
  <si>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</si>
  <si>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</si>
  <si>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</si>
  <si>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</si>
  <si>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</si>
  <si>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</si>
  <si>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</si>
  <si>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</si>
  <si>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</si>
  <si>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</si>
  <si>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</si>
  <si>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</si>
  <si>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</si>
  <si>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</si>
  <si>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</si>
  <si>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</si>
  <si>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</si>
  <si>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</si>
  <si>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</si>
  <si>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</si>
  <si>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</si>
  <si>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</si>
  <si>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</si>
  <si>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</si>
  <si>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</si>
  <si>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</si>
  <si>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</si>
  <si>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</si>
  <si>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</si>
  <si>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</si>
  <si>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</si>
  <si>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</si>
  <si>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</si>
  <si>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</si>
  <si>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</si>
  <si>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</si>
  <si>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</si>
  <si>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</si>
  <si>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</si>
  <si>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</si>
  <si>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</si>
  <si>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</si>
  <si>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</si>
  <si>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</si>
  <si>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</si>
  <si>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</si>
  <si>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</si>
  <si>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</si>
  <si>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</si>
  <si>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</si>
  <si>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</si>
  <si>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</si>
  <si>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</si>
  <si>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</si>
  <si>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</si>
  <si>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</si>
  <si>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</si>
  <si>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</si>
  <si>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</si>
  <si>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</si>
  <si>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</si>
  <si>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</si>
  <si>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</si>
  <si>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</si>
  <si>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</si>
  <si>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</si>
  <si>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</si>
  <si>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</si>
  <si>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</si>
  <si>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</si>
  <si>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</si>
  <si>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</si>
  <si>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</si>
  <si>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</si>
  <si>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</si>
  <si>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</si>
  <si>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</si>
  <si>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</si>
  <si>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</si>
  <si>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</si>
  <si>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</si>
  <si>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</si>
  <si>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</si>
  <si>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</si>
  <si>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</si>
  <si>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</si>
  <si>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</si>
  <si>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</si>
  <si>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</si>
  <si>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</si>
  <si>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</si>
  <si>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</si>
  <si>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</si>
  <si>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</si>
  <si>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</si>
  <si>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</si>
  <si>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</si>
  <si>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</si>
  <si>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</si>
  <si>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</si>
  <si>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</si>
  <si>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</si>
  <si>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</si>
  <si>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</si>
  <si>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</si>
  <si>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</si>
  <si>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</si>
  <si>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</si>
  <si>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</si>
  <si>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</si>
  <si>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</si>
  <si>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</si>
  <si>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</si>
  <si>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</si>
  <si>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</si>
  <si>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</si>
  <si>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</si>
  <si>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</si>
  <si>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</si>
  <si>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</si>
  <si>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</si>
  <si>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</si>
  <si>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</si>
  <si>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</si>
  <si>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</si>
  <si>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</si>
  <si>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</si>
  <si>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</si>
  <si>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</si>
  <si>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</si>
  <si>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</si>
  <si>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</si>
  <si>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</si>
  <si>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</si>
  <si>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</si>
  <si>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</si>
  <si>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</si>
  <si>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</si>
  <si>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</si>
  <si>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</si>
  <si>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</si>
  <si>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</si>
  <si>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</si>
  <si>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</si>
  <si>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</si>
  <si>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</si>
  <si>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</si>
  <si>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</si>
  <si>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</si>
  <si>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</si>
  <si>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</si>
  <si>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</si>
  <si>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</si>
  <si>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</si>
  <si>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</si>
  <si>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</si>
  <si>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</si>
  <si>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</si>
  <si>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</si>
  <si>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</si>
  <si>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</si>
  <si>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</si>
  <si>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</si>
  <si>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</si>
  <si>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</si>
  <si>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</si>
  <si>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</si>
  <si>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</si>
  <si>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</si>
  <si>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</si>
  <si>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</si>
  <si>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</si>
  <si>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</si>
  <si>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</si>
  <si>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</si>
  <si>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</si>
  <si>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</si>
  <si>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</si>
  <si>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</si>
  <si>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</si>
  <si>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</si>
  <si>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</si>
  <si>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</si>
  <si>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</si>
  <si>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</si>
  <si>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</si>
  <si>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</si>
  <si>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</si>
  <si>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</si>
  <si>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</si>
  <si>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</si>
  <si>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</si>
  <si>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</si>
  <si>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</si>
  <si>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</si>
  <si>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</si>
  <si>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</si>
  <si>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</si>
  <si>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</si>
  <si>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</si>
  <si>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</si>
  <si>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</si>
  <si>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</si>
  <si>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</si>
  <si>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</si>
  <si>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</si>
  <si>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</si>
  <si>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</si>
  <si>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</si>
  <si>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</si>
  <si>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</si>
  <si>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</si>
  <si>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</si>
  <si>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</si>
  <si>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</si>
  <si>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</si>
  <si>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</si>
  <si>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</si>
  <si>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</si>
  <si>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</si>
  <si>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</si>
  <si>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</si>
  <si>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</si>
  <si>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</si>
  <si>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</si>
  <si>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</si>
  <si>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</si>
  <si>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</si>
  <si>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</si>
  <si>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</si>
  <si>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</si>
  <si>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</si>
  <si>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</si>
  <si>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</si>
  <si>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</si>
  <si>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</si>
  <si>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</si>
  <si>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</si>
  <si>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</si>
  <si>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</si>
  <si>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</si>
  <si>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</si>
  <si>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</si>
  <si>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</si>
  <si>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</si>
  <si>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</si>
  <si>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</si>
  <si>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</si>
  <si>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</si>
  <si>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</si>
  <si>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</si>
  <si>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</si>
  <si>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</si>
  <si>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</si>
  <si>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</si>
  <si>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</si>
  <si>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</si>
  <si>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</si>
  <si>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</si>
  <si>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</si>
  <si>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</si>
  <si>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</si>
  <si>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</si>
  <si>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</si>
  <si>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</si>
  <si>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</si>
  <si>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</si>
  <si>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</si>
  <si>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</si>
  <si>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</si>
  <si>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</si>
  <si>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</si>
  <si>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</si>
  <si>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</si>
  <si>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</si>
  <si>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</si>
  <si>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</si>
  <si>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</si>
  <si>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</si>
  <si>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</si>
  <si>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</si>
  <si>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</si>
  <si>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</si>
  <si>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</si>
  <si>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</si>
  <si>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</si>
  <si>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</si>
  <si>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</si>
  <si>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</si>
  <si>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</si>
  <si>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</si>
  <si>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</si>
  <si>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</si>
  <si>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</si>
  <si>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</si>
  <si>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</si>
  <si>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</si>
  <si>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</si>
  <si>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</si>
  <si>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</si>
  <si>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</si>
  <si>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</si>
  <si>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</si>
  <si>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</si>
  <si>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</si>
  <si>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</si>
  <si>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</si>
  <si>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</si>
  <si>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</si>
  <si>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</si>
  <si>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</si>
  <si>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</si>
  <si>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</si>
  <si>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</si>
  <si>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</si>
  <si>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</si>
  <si>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</si>
  <si>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</si>
  <si>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</si>
  <si>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</si>
  <si>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</si>
  <si>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</si>
  <si>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</si>
  <si>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</si>
  <si>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</si>
  <si>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</si>
  <si>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</si>
  <si>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</si>
  <si>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</si>
  <si>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</si>
  <si>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</si>
  <si>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</si>
  <si>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</si>
  <si>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</si>
  <si>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</si>
  <si>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</si>
  <si>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</si>
  <si>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</si>
  <si>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</si>
  <si>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</si>
  <si>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</si>
  <si>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</si>
  <si>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</si>
  <si>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</si>
  <si>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</si>
  <si>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</si>
  <si>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</si>
  <si>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</si>
  <si>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</si>
  <si>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</si>
  <si>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</si>
  <si>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</si>
  <si>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</si>
  <si>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</si>
  <si>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</si>
  <si>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</si>
  <si>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</si>
  <si>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</si>
  <si>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</si>
  <si>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</si>
  <si>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</si>
  <si>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</si>
  <si>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</si>
  <si>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</si>
  <si>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</si>
  <si>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</si>
  <si>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</si>
  <si>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</si>
  <si>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</si>
  <si>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</si>
  <si>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</si>
  <si>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</si>
  <si>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</si>
  <si>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</si>
  <si>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</si>
  <si>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</si>
  <si>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</si>
  <si>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</si>
  <si>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</si>
  <si>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</si>
  <si>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</si>
  <si>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</si>
  <si>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</si>
  <si>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</si>
  <si>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</si>
  <si>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</si>
  <si>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</si>
  <si>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</si>
  <si>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</si>
  <si>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</si>
  <si>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</si>
  <si>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</si>
  <si>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</si>
  <si>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</si>
  <si>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</si>
  <si>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</si>
  <si>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</si>
  <si>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</si>
  <si>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</si>
  <si>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</si>
  <si>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</si>
  <si>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</si>
  <si>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</si>
  <si>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</si>
  <si>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</si>
  <si>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</si>
  <si>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</si>
  <si>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</si>
  <si>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</si>
  <si>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</si>
  <si>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</si>
  <si>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</si>
  <si>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</si>
  <si>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</si>
  <si>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</si>
  <si>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</si>
  <si>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</si>
  <si>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</si>
  <si>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</si>
  <si>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</si>
  <si>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</si>
  <si>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</si>
  <si>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</si>
  <si>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</si>
  <si>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</si>
  <si>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</si>
  <si>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</si>
  <si>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</si>
  <si>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</si>
  <si>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</si>
  <si>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</si>
  <si>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</si>
  <si>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</si>
  <si>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</si>
  <si>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</si>
  <si>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</si>
  <si>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</si>
  <si>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</si>
  <si>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</si>
  <si>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</si>
  <si>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</si>
  <si>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</si>
  <si>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</si>
  <si>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</si>
  <si>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</si>
  <si>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</si>
  <si>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</si>
  <si>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</si>
  <si>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</si>
  <si>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</si>
  <si>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</si>
  <si>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</si>
  <si>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</si>
  <si>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</si>
  <si>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</si>
  <si>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</si>
  <si>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</si>
  <si>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</si>
  <si>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</si>
  <si>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</si>
  <si>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</si>
  <si>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</si>
  <si>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</si>
  <si>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</si>
  <si>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</si>
  <si>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</si>
  <si>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</si>
  <si>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</si>
  <si>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</si>
  <si>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</si>
  <si>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</si>
  <si>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</si>
  <si>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</si>
  <si>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</si>
  <si>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</si>
  <si>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</si>
  <si>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</si>
  <si>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</si>
  <si>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</si>
  <si>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</si>
  <si>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</si>
  <si>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</si>
  <si>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</si>
  <si>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</si>
  <si>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</si>
  <si>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</si>
  <si>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</si>
  <si>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</si>
  <si>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</si>
  <si>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</si>
  <si>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</si>
  <si>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</si>
  <si>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</si>
  <si>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</si>
  <si>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</si>
  <si>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</si>
  <si>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</si>
  <si>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</si>
  <si>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</si>
  <si>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</si>
  <si>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</si>
  <si>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</si>
  <si>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</si>
  <si>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</si>
  <si>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</si>
  <si>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</si>
  <si>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</si>
  <si>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</si>
  <si>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</si>
  <si>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</si>
  <si>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</si>
  <si>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</si>
  <si>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</si>
  <si>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</si>
  <si>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</si>
  <si>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</si>
  <si>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</si>
  <si>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</si>
  <si>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</si>
  <si>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</si>
  <si>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</si>
  <si>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</si>
  <si>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</si>
  <si>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</si>
  <si>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</si>
  <si>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</si>
  <si>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</si>
  <si>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</si>
  <si>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</si>
  <si>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</si>
  <si>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</si>
  <si>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</si>
  <si>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</si>
  <si>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</si>
  <si>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</si>
  <si>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</si>
  <si>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</si>
  <si>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</si>
  <si>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</si>
  <si>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</si>
  <si>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</si>
  <si>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</si>
  <si>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</si>
  <si>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</si>
  <si>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</si>
  <si>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</si>
  <si>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</si>
  <si>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</si>
  <si>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</si>
  <si>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</si>
  <si>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</si>
  <si>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</si>
  <si>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</si>
  <si>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</si>
  <si>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</si>
  <si>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</si>
  <si>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</si>
  <si>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</si>
  <si>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</si>
  <si>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</si>
  <si>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</si>
  <si>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</si>
  <si>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</si>
  <si>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</si>
  <si>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</si>
  <si>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</si>
  <si>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</si>
  <si>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</si>
  <si>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</si>
  <si>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</si>
  <si>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</si>
  <si>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</si>
  <si>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</si>
  <si>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</si>
  <si>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</si>
  <si>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</si>
  <si>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</si>
  <si>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</si>
  <si>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</si>
  <si>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</si>
  <si>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</si>
  <si>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</si>
  <si>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</si>
  <si>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</si>
  <si>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</si>
  <si>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</si>
  <si>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</si>
  <si>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</si>
  <si>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</si>
  <si>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</si>
  <si>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</si>
  <si>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</si>
  <si>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</si>
  <si>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</si>
  <si>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</si>
  <si>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</si>
  <si>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</si>
  <si>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</si>
  <si>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</si>
  <si>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</si>
  <si>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</si>
  <si>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</si>
  <si>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</si>
  <si>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</si>
  <si>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</si>
  <si>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</si>
  <si>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</si>
  <si>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</si>
  <si>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</si>
  <si>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</si>
  <si>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</si>
  <si>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</si>
  <si>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</si>
  <si>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</si>
  <si>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</si>
  <si>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</si>
  <si>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</si>
  <si>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</si>
  <si>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</si>
  <si>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</si>
  <si>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</si>
  <si>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</si>
  <si>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</si>
  <si>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</si>
  <si>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</si>
  <si>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</si>
  <si>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</si>
  <si>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</si>
  <si>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</si>
  <si>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</si>
  <si>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</si>
  <si>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</si>
  <si>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</si>
  <si>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</si>
  <si>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</si>
  <si>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</si>
  <si>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</si>
  <si>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</si>
  <si>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</si>
  <si>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</si>
  <si>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</si>
  <si>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</si>
  <si>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</si>
  <si>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</si>
  <si>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</si>
  <si>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</si>
  <si>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</si>
  <si>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</si>
  <si>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</si>
  <si>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</si>
  <si>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</si>
  <si>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</si>
  <si>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</si>
  <si>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</si>
  <si>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</si>
  <si>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</si>
  <si>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</si>
  <si>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</si>
  <si>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</si>
  <si>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</si>
  <si>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</si>
  <si>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</si>
  <si>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</si>
  <si>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</si>
  <si>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</si>
  <si>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</si>
  <si>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</si>
  <si>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</si>
  <si>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</si>
  <si>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</si>
  <si>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</si>
  <si>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</si>
  <si>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</si>
  <si>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</si>
  <si>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</si>
  <si>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ALESSANDRO ZUCCA</t>
  </si>
  <si>
    <t>EMANUELA DALLA COSTA</t>
  </si>
  <si>
    <t>SAMUELE CATALLO</t>
  </si>
  <si>
    <t>SIMONA PANFILI</t>
  </si>
  <si>
    <t xml:space="preserve">CINZIA COZZI </t>
  </si>
  <si>
    <t>ENRICO ROSTI</t>
  </si>
  <si>
    <t>ELOI VERGÉ</t>
  </si>
  <si>
    <t>09:41</t>
  </si>
  <si>
    <t>07:40</t>
  </si>
  <si>
    <t>06:00</t>
  </si>
  <si>
    <t>06:50</t>
  </si>
  <si>
    <t>04:06</t>
  </si>
  <si>
    <t>06:20</t>
  </si>
  <si>
    <t>01:31</t>
  </si>
  <si>
    <t>00:16</t>
  </si>
  <si>
    <t>01:21</t>
  </si>
  <si>
    <t>Not a bad performance, however, pay closer attention to wich player you are scouting the action to and then you'll be close to nail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</si>
</sst>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10_098_MIL_ASV_E2025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98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45973.854166666664</v>
      </c>
      <c r="C3" s="157"/>
      <c r="D3" s="39">
        <v>577</v>
      </c>
      <c r="E3" s="29"/>
      <c r="F3" s="26">
        <f>SUBTOTAL(3,I17:I106)</f>
        <v>13</v>
      </c>
      <c r="G3" s="27">
        <f>IF(OR(D3="",D3=0),"",F3/D3)</f>
        <v>2.2530329289428077E-2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766</v>
      </c>
      <c r="N4" s="168"/>
      <c r="O4" s="2"/>
      <c r="P4" s="2"/>
      <c r="Q4" s="84" t="s">
        <v>175</v>
      </c>
      <c r="R4" s="94">
        <f>(IF(G3="",0,G3))</f>
        <v>2.2530329289428077E-2</v>
      </c>
      <c r="S4" s="61">
        <f>SUM(I13:M13)</f>
        <v>0</v>
      </c>
      <c r="T4" s="78"/>
      <c r="U4" s="61">
        <f>AC18</f>
        <v>3</v>
      </c>
      <c r="V4" s="61">
        <f>+AC22</f>
        <v>9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2.2530329289428077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9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15.253032928942808</v>
      </c>
      <c r="N7" s="58"/>
      <c r="O7" s="2"/>
      <c r="P7" s="2"/>
      <c r="Q7" s="86">
        <f>SUM(R5,S5,AC16)</f>
        <v>15.253032928942808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15.253032928942808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98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5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98</v>
      </c>
      <c r="D18" s="32" t="s">
        <v>758</v>
      </c>
      <c r="E18" s="33">
        <v>1</v>
      </c>
      <c r="F18" s="36">
        <v>2</v>
      </c>
      <c r="G18" s="36">
        <v>0</v>
      </c>
      <c r="H18" s="38" t="str">
        <f t="shared" ref="H18:H81" si="8">IF(I18="","",$I$14)</f>
        <v>SCOUTING</v>
      </c>
      <c r="I18" s="34">
        <v>26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98</v>
      </c>
      <c r="D19" s="32" t="s">
        <v>759</v>
      </c>
      <c r="E19" s="33">
        <v>1</v>
      </c>
      <c r="F19" s="36">
        <v>7</v>
      </c>
      <c r="G19" s="36">
        <v>2</v>
      </c>
      <c r="H19" s="38" t="str">
        <f t="shared" si="8"/>
        <v>SCOUTING</v>
      </c>
      <c r="I19" s="34">
        <v>49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98</v>
      </c>
      <c r="D20" s="32" t="s">
        <v>760</v>
      </c>
      <c r="E20" s="33">
        <v>2</v>
      </c>
      <c r="F20" s="36">
        <v>28</v>
      </c>
      <c r="G20" s="36">
        <v>18</v>
      </c>
      <c r="H20" s="38" t="str">
        <f t="shared" si="8"/>
        <v>SCOUTING</v>
      </c>
      <c r="I20" s="34">
        <v>173</v>
      </c>
      <c r="J20" s="13" t="s">
        <v>4</v>
      </c>
      <c r="K20" s="13" t="s">
        <v>62</v>
      </c>
      <c r="L20" s="13" t="s">
        <v>6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98</v>
      </c>
      <c r="D21" s="32" t="s">
        <v>761</v>
      </c>
      <c r="E21" s="33">
        <v>2</v>
      </c>
      <c r="F21" s="36">
        <v>32</v>
      </c>
      <c r="G21" s="36">
        <v>22</v>
      </c>
      <c r="H21" s="38" t="str">
        <f t="shared" si="8"/>
        <v>SCOUTING</v>
      </c>
      <c r="I21" s="34">
        <v>208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98</v>
      </c>
      <c r="D22" s="32" t="s">
        <v>762</v>
      </c>
      <c r="E22" s="33">
        <v>1</v>
      </c>
      <c r="F22" s="36">
        <v>7</v>
      </c>
      <c r="G22" s="36">
        <v>2</v>
      </c>
      <c r="H22" s="38" t="str">
        <f t="shared" si="8"/>
        <v>SCOUTING</v>
      </c>
      <c r="I22" s="34">
        <v>47</v>
      </c>
      <c r="J22" s="13" t="s">
        <v>4</v>
      </c>
      <c r="K22" s="13" t="s">
        <v>63</v>
      </c>
      <c r="L22" s="13" t="s">
        <v>7</v>
      </c>
      <c r="M22" s="13" t="s">
        <v>25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9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98</v>
      </c>
      <c r="D23" s="32" t="s">
        <v>759</v>
      </c>
      <c r="E23" s="33">
        <v>3</v>
      </c>
      <c r="F23" s="36">
        <v>46</v>
      </c>
      <c r="G23" s="36">
        <v>40</v>
      </c>
      <c r="H23" s="38" t="str">
        <f t="shared" si="8"/>
        <v>SCOUTING</v>
      </c>
      <c r="I23" s="34">
        <v>326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98</v>
      </c>
      <c r="D24" s="32" t="s">
        <v>763</v>
      </c>
      <c r="E24" s="33">
        <v>3</v>
      </c>
      <c r="F24" s="36">
        <v>54</v>
      </c>
      <c r="G24" s="36">
        <v>48</v>
      </c>
      <c r="H24" s="38" t="str">
        <f t="shared" si="8"/>
        <v>SCOUTING</v>
      </c>
      <c r="I24" s="34">
        <v>400</v>
      </c>
      <c r="J24" s="13" t="s">
        <v>4</v>
      </c>
      <c r="K24" s="13" t="s">
        <v>63</v>
      </c>
      <c r="L24" s="13" t="s">
        <v>6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98</v>
      </c>
      <c r="D25" s="32" t="s">
        <v>763</v>
      </c>
      <c r="E25" s="33">
        <v>3</v>
      </c>
      <c r="F25" s="36">
        <v>54</v>
      </c>
      <c r="G25" s="36">
        <v>48</v>
      </c>
      <c r="H25" s="38" t="str">
        <f t="shared" si="8"/>
        <v>SCOUTING</v>
      </c>
      <c r="I25" s="34">
        <v>401</v>
      </c>
      <c r="J25" s="13" t="s">
        <v>4</v>
      </c>
      <c r="K25" s="13" t="s">
        <v>63</v>
      </c>
      <c r="L25" s="13" t="s">
        <v>6</v>
      </c>
      <c r="M25" s="13" t="s">
        <v>9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98</v>
      </c>
      <c r="D26" s="32" t="s">
        <v>764</v>
      </c>
      <c r="E26" s="33">
        <v>3</v>
      </c>
      <c r="F26" s="36">
        <v>55</v>
      </c>
      <c r="G26" s="36">
        <v>50</v>
      </c>
      <c r="H26" s="38" t="str">
        <f t="shared" si="8"/>
        <v>SCOUTING</v>
      </c>
      <c r="I26" s="34">
        <v>422</v>
      </c>
      <c r="J26" s="13" t="s">
        <v>4</v>
      </c>
      <c r="K26" s="13" t="s">
        <v>63</v>
      </c>
      <c r="L26" s="13" t="s">
        <v>6</v>
      </c>
      <c r="M26" s="13" t="s">
        <v>22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98</v>
      </c>
      <c r="D27" s="32" t="s">
        <v>757</v>
      </c>
      <c r="E27" s="33">
        <v>4</v>
      </c>
      <c r="F27" s="36">
        <v>56</v>
      </c>
      <c r="G27" s="36">
        <v>51</v>
      </c>
      <c r="H27" s="38" t="str">
        <f t="shared" si="8"/>
        <v>SCOUTING</v>
      </c>
      <c r="I27" s="34">
        <v>443</v>
      </c>
      <c r="J27" s="13" t="s">
        <v>4</v>
      </c>
      <c r="K27" s="13" t="s">
        <v>63</v>
      </c>
      <c r="L27" s="13" t="s">
        <v>6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98</v>
      </c>
      <c r="D28" s="32" t="s">
        <v>765</v>
      </c>
      <c r="E28" s="33">
        <v>4</v>
      </c>
      <c r="F28" s="36">
        <v>76</v>
      </c>
      <c r="G28" s="36">
        <v>72</v>
      </c>
      <c r="H28" s="38" t="str">
        <f t="shared" si="8"/>
        <v>SCOUTING</v>
      </c>
      <c r="I28" s="34">
        <v>545</v>
      </c>
      <c r="J28" s="13" t="s">
        <v>4</v>
      </c>
      <c r="K28" s="13" t="s">
        <v>63</v>
      </c>
      <c r="L28" s="13" t="s">
        <v>6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98</v>
      </c>
      <c r="D29" s="32" t="s">
        <v>53</v>
      </c>
      <c r="E29" s="33">
        <v>4</v>
      </c>
      <c r="F29" s="36">
        <v>80</v>
      </c>
      <c r="G29" s="36">
        <v>72</v>
      </c>
      <c r="H29" s="38" t="str">
        <f t="shared" si="8"/>
        <v>SCOUTING</v>
      </c>
      <c r="I29" s="34">
        <v>577</v>
      </c>
      <c r="J29" s="13" t="s">
        <v>4</v>
      </c>
      <c r="K29" s="13" t="s">
        <v>62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REPORT_E2025098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"E2025098"</v>
      </c>
      <c r="F3" s="45" t="str">
        <f t="shared" ref="F3:F16" si="0">""""&amp;B3&amp;"""" &amp; " : " &amp;C3&amp;","</f>
        <v>"name" : "E2025098",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"E098"</v>
      </c>
      <c r="F4" s="45" t="str">
        <f t="shared" si="0"/>
        <v>"cod" : "E098",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098</v>
      </c>
      <c r="F6" s="45" t="str">
        <f t="shared" si="0"/>
        <v>"number" : 098,</v>
      </c>
    </row>
    <row r="7" spans="2:6" x14ac:dyDescent="0.25">
      <c r="B7" s="43" t="s">
        <v>116</v>
      </c>
      <c r="C7" s="43" t="str">
        <f ca="1">""""&amp;TEXT('SCOUT &amp; LOGISTICS'!B3,"dd/mm/aaaa")&amp;""""</f>
        <v>"12/11/2025"</v>
      </c>
      <c r="F7" s="45" t="str">
        <f t="shared" ca="1" si="0"/>
        <v>"date" : "12/11/2025",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"EMANUELA DALLA COSTA"</v>
      </c>
      <c r="F11" s="45" t="str">
        <f t="shared" si="0"/>
        <v>"Caller_1" : "EMANUELA DALLA COSTA",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"SAMUELE CATALLO"</v>
      </c>
      <c r="F12" s="45" t="str">
        <f t="shared" si="0"/>
        <v>"Caller_2" : "SAMUELE CATALLO",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"SIMONA PANFILI"</v>
      </c>
      <c r="F13" s="45" t="str">
        <f t="shared" si="0"/>
        <v>"Timerkeeper" : "SIMONA PANFILI",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"CINZIA COZZI "</v>
      </c>
      <c r="F14" s="45" t="str">
        <f t="shared" si="0"/>
        <v>"Shotclock" : "CINZIA COZZI 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577</v>
      </c>
      <c r="F25" s="45" t="str">
        <f t="shared" ref="F25:F48" si="1">""""&amp;C25&amp;"""" &amp; " : " &amp;D25&amp;","</f>
        <v>"total_actions" : 577,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"2,3%"</v>
      </c>
      <c r="F27" s="45" t="str">
        <f t="shared" si="1"/>
        <v>"%_corrections" : "2,3%",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"Not a bad performance, however, pay closer attention to wich player you are scouting the action to and then you'll be close to nail it."</v>
      </c>
      <c r="F51" s="45" t="str">
        <f>""""&amp;B51&amp;"""" &amp; " : " &amp;C51&amp;","</f>
        <v>"comments" : "Not a bad performance, however, pay closer attention to wich player you are scouting the action to and then you'll be close to nail it.",</v>
      </c>
    </row>
    <row r="52" spans="2:6" x14ac:dyDescent="0.25">
      <c r="B52" s="43" t="s">
        <v>153</v>
      </c>
      <c r="C52" s="43" t="str">
        <f>TEXT('SCOUT &amp; LOGISTICS'!F1,"0,0")</f>
        <v>10_098_MIL_ASV_E2025</v>
      </c>
      <c r="F52" s="45" t="str">
        <f>""""&amp;B52&amp;"""" &amp; " : " &amp;C52</f>
        <v>"result" : 10_098_MIL_ASV_E2025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E098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12/11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EMANUELA DALLA COSTA</v>
      </c>
      <c r="H8" s="206"/>
      <c r="I8" s="206"/>
      <c r="J8" s="206"/>
      <c r="K8" s="206"/>
      <c r="L8" s="206" t="str">
        <f>IF('SCOUT &amp; LOGISTICS'!D8="","",'SCOUT &amp; LOGISTICS'!D8)</f>
        <v>SAMUELE CATALLO</v>
      </c>
      <c r="M8" s="206"/>
      <c r="N8" s="206"/>
      <c r="O8" s="206"/>
      <c r="P8" s="206"/>
      <c r="Q8" s="206" t="str">
        <f>IF('SCOUT &amp; LOGISTICS'!D9="","",'SCOUT &amp; LOGISTICS'!D9)</f>
        <v>SIMONA PANFILI</v>
      </c>
      <c r="R8" s="206"/>
      <c r="S8" s="206"/>
      <c r="T8" s="206"/>
      <c r="U8" s="206"/>
      <c r="V8" s="206" t="str">
        <f>IF('SCOUT &amp; LOGISTICS'!D10="","",'SCOUT &amp; LOGISTICS'!D10)</f>
        <v xml:space="preserve">CINZIA COZZI </v>
      </c>
      <c r="W8" s="206"/>
      <c r="X8" s="206"/>
      <c r="Y8" s="206"/>
      <c r="Z8" s="206"/>
      <c r="AA8" s="206" t="str">
        <f>IF('SCOUT &amp; LOGISTICS'!D11="","",'SCOUT &amp; LOGISTICS'!D11)</f>
        <v>ENRICO ROSTI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2.2530329289428077E-2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9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Not a bad performance, however, pay closer attention to wich player you are scouting the action to and then you'll be close to nail it.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15.253032928942808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E8CA49-711E-45F1-88DD-1EBDAC63E33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2025-11-13T16:25:17Z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