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72" documentId="8_{4F62BDD1-56A8-4BA2-BB83-7598000F0A84}" xr6:coauthVersionLast="47" xr6:coauthVersionMax="47" xr10:uidLastSave="{BBBA16E4-001D-4FFA-B3E8-848E2BA32527}"/>
  <bookViews>
    <workbookView xWindow="-12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<sst xmlns="http://schemas.openxmlformats.org/spreadsheetml/2006/main" count="3361" uniqueCount="838">
  <si>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</si>
  <si>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</si>
  <si>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</si>
  <si>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</si>
  <si>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</si>
  <si>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</si>
  <si>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</si>
  <si>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</si>
  <si>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</si>
  <si>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</si>
  <si>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</si>
  <si>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</si>
  <si>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</si>
  <si>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</si>
  <si>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</si>
  <si>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</si>
  <si>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</si>
  <si>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</si>
  <si>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</si>
  <si>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</si>
  <si>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</si>
  <si>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</si>
  <si>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</si>
  <si>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</si>
  <si>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</si>
  <si>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</si>
  <si>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</si>
  <si>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</si>
  <si>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</si>
  <si>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</si>
  <si>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</si>
  <si>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</si>
  <si>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</si>
  <si>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</si>
  <si>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</si>
  <si>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</si>
  <si>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</si>
  <si>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</si>
  <si>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</si>
  <si>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</si>
  <si>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</si>
  <si>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</si>
  <si>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</si>
  <si>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</si>
  <si>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</si>
  <si>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</si>
  <si>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</si>
  <si>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</si>
  <si>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</si>
  <si>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</si>
  <si>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</si>
  <si>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</si>
  <si>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</si>
  <si>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</si>
  <si>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</si>
  <si>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</si>
  <si>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</si>
  <si>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</si>
  <si>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</si>
  <si>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</si>
  <si>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</si>
  <si>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</si>
  <si>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</si>
  <si>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</si>
  <si>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</si>
  <si>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</si>
  <si>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</si>
  <si>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</si>
  <si>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</si>
  <si>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</si>
  <si>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</si>
  <si>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</si>
  <si>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</si>
  <si>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</si>
  <si>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</si>
  <si>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</si>
  <si>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</si>
  <si>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</si>
  <si>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</si>
  <si>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</si>
  <si>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</si>
  <si>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</si>
  <si>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</si>
  <si>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</si>
  <si>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</si>
  <si>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</si>
  <si>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</si>
  <si>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</si>
  <si>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</si>
  <si>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</si>
  <si>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</si>
  <si>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</si>
  <si>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</si>
  <si>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</si>
  <si>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</si>
  <si>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</si>
  <si>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</si>
  <si>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</si>
  <si>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</si>
  <si>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</si>
  <si>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</si>
  <si>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</si>
  <si>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</si>
  <si>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</si>
  <si>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</si>
  <si>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</si>
  <si>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</si>
  <si>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</si>
  <si>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</si>
  <si>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</si>
  <si>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</si>
  <si>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</si>
  <si>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</si>
  <si>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</si>
  <si>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</si>
  <si>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</si>
  <si>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</si>
  <si>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</si>
  <si>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</si>
  <si>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</si>
  <si>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</si>
  <si>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</si>
  <si>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</si>
  <si>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</si>
  <si>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</si>
  <si>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</si>
  <si>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</si>
  <si>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</si>
  <si>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</si>
  <si>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</si>
  <si>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</si>
  <si>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</si>
  <si>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</si>
  <si>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</si>
  <si>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</si>
  <si>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</si>
  <si>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</si>
  <si>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</si>
  <si>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</si>
  <si>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</si>
  <si>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</si>
  <si>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</si>
  <si>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</si>
  <si>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</si>
  <si>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</si>
  <si>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</si>
  <si>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</si>
  <si>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</si>
  <si>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</si>
  <si>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</si>
  <si>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</si>
  <si>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</si>
  <si>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</si>
  <si>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</si>
  <si>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</si>
  <si>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</si>
  <si>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</si>
  <si>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</si>
  <si>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</si>
  <si>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</si>
  <si>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</si>
  <si>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</si>
  <si>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</si>
  <si>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</si>
  <si>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</si>
  <si>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</si>
  <si>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</si>
  <si>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</si>
  <si>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</si>
  <si>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</si>
  <si>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</si>
  <si>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</si>
  <si>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</si>
  <si>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</si>
  <si>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</si>
  <si>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</si>
  <si>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</si>
  <si>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</si>
  <si>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</si>
  <si>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</si>
  <si>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</si>
  <si>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</si>
  <si>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</si>
  <si>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</si>
  <si>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</si>
  <si>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</si>
  <si>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</si>
  <si>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</si>
  <si>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</si>
  <si>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</si>
  <si>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</si>
  <si>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</si>
  <si>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</si>
  <si>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</si>
  <si>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</si>
  <si>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</si>
  <si>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</si>
  <si>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</si>
  <si>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</si>
  <si>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</si>
  <si>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</si>
  <si>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</si>
  <si>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</si>
  <si>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</si>
  <si>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</si>
  <si>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</si>
  <si>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</si>
  <si>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</si>
  <si>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</si>
  <si>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</si>
  <si>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</si>
  <si>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</si>
  <si>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</si>
  <si>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</si>
  <si>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</si>
  <si>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</si>
  <si>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</si>
  <si>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</si>
  <si>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</si>
  <si>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</si>
  <si>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</si>
  <si>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</si>
  <si>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</si>
  <si>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</si>
  <si>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</si>
  <si>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</si>
  <si>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</si>
  <si>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</si>
  <si>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</si>
  <si>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</si>
  <si>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</si>
  <si>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</si>
  <si>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</si>
  <si>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</si>
  <si>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</si>
  <si>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</si>
  <si>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</si>
  <si>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</si>
  <si>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</si>
  <si>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</si>
  <si>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</si>
  <si>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</si>
  <si>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</si>
  <si>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</si>
  <si>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</si>
  <si>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</si>
  <si>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</si>
  <si>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</si>
  <si>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</si>
  <si>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</si>
  <si>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</si>
  <si>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</si>
  <si>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</si>
  <si>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</si>
  <si>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</si>
  <si>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</si>
  <si>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</si>
  <si>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</si>
  <si>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</si>
  <si>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</si>
  <si>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</si>
  <si>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</si>
  <si>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</si>
  <si>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</si>
  <si>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</si>
  <si>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</si>
  <si>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</si>
  <si>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</si>
  <si>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</si>
  <si>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</si>
  <si>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</si>
  <si>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</si>
  <si>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</si>
  <si>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</si>
  <si>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</si>
  <si>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</si>
  <si>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</si>
  <si>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</si>
  <si>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</si>
  <si>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</si>
  <si>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</si>
  <si>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</si>
  <si>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</si>
  <si>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</si>
  <si>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</si>
  <si>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</si>
  <si>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</si>
  <si>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</si>
  <si>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</si>
  <si>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</si>
  <si>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</si>
  <si>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</si>
  <si>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</si>
  <si>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</si>
  <si>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</si>
  <si>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</si>
  <si>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</si>
  <si>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</si>
  <si>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</si>
  <si>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</si>
  <si>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</si>
  <si>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</si>
  <si>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</si>
  <si>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</si>
  <si>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</si>
  <si>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</si>
  <si>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</si>
  <si>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</si>
  <si>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</si>
  <si>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</si>
  <si>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</si>
  <si>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</si>
  <si>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</si>
  <si>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</si>
  <si>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</si>
  <si>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</si>
  <si>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</si>
  <si>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</si>
  <si>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</si>
  <si>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</si>
  <si>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</si>
  <si>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</si>
  <si>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</si>
  <si>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</si>
  <si>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</si>
  <si>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</si>
  <si>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</si>
  <si>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</si>
  <si>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</si>
  <si>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</si>
  <si>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</si>
  <si>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</si>
  <si>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</si>
  <si>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</si>
  <si>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</si>
  <si>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</si>
  <si>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</si>
  <si>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</si>
  <si>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</si>
  <si>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</si>
  <si>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</si>
  <si>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</si>
  <si>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</si>
  <si>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</si>
  <si>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</si>
  <si>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</si>
  <si>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</si>
  <si>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</si>
  <si>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</si>
  <si>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</si>
  <si>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</si>
  <si>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</si>
  <si>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</si>
  <si>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</si>
  <si>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</si>
  <si>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</si>
  <si>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</si>
  <si>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</si>
  <si>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</si>
  <si>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</si>
  <si>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</si>
  <si>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</si>
  <si>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</si>
  <si>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</si>
  <si>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</si>
  <si>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</si>
  <si>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</si>
  <si>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</si>
  <si>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</si>
  <si>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</si>
  <si>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</si>
  <si>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</si>
  <si>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</si>
  <si>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</si>
  <si>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</si>
  <si>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</si>
  <si>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</si>
  <si>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</si>
  <si>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</si>
  <si>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</si>
  <si>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</si>
  <si>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</si>
  <si>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</si>
  <si>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</si>
  <si>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</si>
  <si>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</si>
  <si>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</si>
  <si>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</si>
  <si>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</si>
  <si>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</si>
  <si>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</si>
  <si>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</si>
  <si>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</si>
  <si>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</si>
  <si>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</si>
  <si>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</si>
  <si>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</si>
  <si>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</si>
  <si>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</si>
  <si>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</si>
  <si>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</si>
  <si>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</si>
  <si>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</si>
  <si>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</si>
  <si>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</si>
  <si>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</si>
  <si>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</si>
  <si>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</si>
  <si>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</si>
  <si>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</si>
  <si>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</si>
  <si>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</si>
  <si>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</si>
  <si>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</si>
  <si>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</si>
  <si>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</si>
  <si>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</si>
  <si>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</si>
  <si>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</si>
  <si>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</si>
  <si>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</si>
  <si>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</si>
  <si>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</si>
  <si>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</si>
  <si>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</si>
  <si>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</si>
  <si>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</si>
  <si>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</si>
  <si>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</si>
  <si>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</si>
  <si>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</si>
  <si>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</si>
  <si>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</si>
  <si>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</si>
  <si>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</si>
  <si>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</si>
  <si>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</si>
  <si>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</si>
  <si>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</si>
  <si>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</si>
  <si>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</si>
  <si>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</si>
  <si>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</si>
  <si>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</si>
  <si>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</si>
  <si>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</si>
  <si>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</si>
  <si>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</si>
  <si>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</si>
  <si>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</si>
  <si>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</si>
  <si>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</si>
  <si>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</si>
  <si>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</si>
  <si>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</si>
  <si>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</si>
  <si>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</si>
  <si>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</si>
  <si>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</si>
  <si>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</si>
  <si>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</si>
  <si>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</si>
  <si>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</si>
  <si>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</si>
  <si>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</si>
  <si>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</si>
  <si>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</si>
  <si>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</si>
  <si>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</si>
  <si>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</si>
  <si>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</si>
  <si>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</si>
  <si>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</si>
  <si>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</si>
  <si>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</si>
  <si>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</si>
  <si>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</si>
  <si>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</si>
  <si>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</si>
  <si>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</si>
  <si>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</si>
  <si>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</si>
  <si>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</si>
  <si>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</si>
  <si>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</si>
  <si>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</si>
  <si>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</si>
  <si>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</si>
  <si>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</si>
  <si>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</si>
  <si>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</si>
  <si>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</si>
  <si>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</si>
  <si>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</si>
  <si>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</si>
  <si>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</si>
  <si>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</si>
  <si>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</si>
  <si>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</si>
  <si>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</si>
  <si>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</si>
  <si>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</si>
  <si>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</si>
  <si>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</si>
  <si>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</si>
  <si>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</si>
  <si>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</si>
  <si>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</si>
  <si>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</si>
  <si>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</si>
  <si>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</si>
  <si>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</si>
  <si>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</si>
  <si>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</si>
  <si>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</si>
  <si>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</si>
  <si>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</si>
  <si>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</si>
  <si>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</si>
  <si>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</si>
  <si>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</si>
  <si>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</si>
  <si>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</si>
  <si>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</si>
  <si>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</si>
  <si>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</si>
  <si>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</si>
  <si>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</si>
  <si>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</si>
  <si>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</si>
  <si>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</si>
  <si>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</si>
  <si>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</si>
  <si>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</si>
  <si>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</si>
  <si>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</si>
  <si>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</si>
  <si>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</si>
  <si>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</si>
  <si>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</si>
  <si>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</si>
  <si>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</si>
  <si>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</si>
  <si>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</si>
  <si>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</si>
  <si>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</si>
  <si>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</si>
  <si>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</si>
  <si>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</si>
  <si>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</si>
  <si>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</si>
  <si>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</si>
  <si>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</si>
  <si>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</si>
  <si>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</si>
  <si>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</si>
  <si>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</si>
  <si>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</si>
  <si>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</si>
  <si>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</si>
  <si>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</si>
  <si>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</si>
  <si>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</si>
  <si>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</si>
  <si>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</si>
  <si>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</si>
  <si>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</si>
  <si>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</si>
  <si>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</si>
  <si>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</si>
  <si>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</si>
  <si>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</si>
  <si>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</si>
  <si>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</si>
  <si>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</si>
  <si>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</si>
  <si>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</si>
  <si>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</si>
  <si>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</si>
  <si>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</si>
  <si>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</si>
  <si>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</si>
  <si>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</si>
  <si>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</si>
  <si>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</si>
  <si>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</si>
  <si>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</si>
  <si>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</si>
  <si>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</si>
  <si>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</si>
  <si>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</si>
  <si>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</si>
  <si>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</si>
  <si>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</si>
  <si>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</si>
  <si>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</si>
  <si>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</si>
  <si>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</si>
  <si>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</si>
  <si>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</si>
  <si>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</si>
  <si>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</si>
  <si>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</si>
  <si>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</si>
  <si>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</si>
  <si>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</si>
  <si>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</si>
  <si>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</si>
  <si>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</si>
  <si>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</si>
  <si>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</si>
  <si>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</si>
  <si>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</si>
  <si>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</si>
  <si>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</si>
  <si>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</si>
  <si>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</si>
  <si>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</si>
  <si>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</si>
  <si>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</si>
  <si>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</si>
  <si>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</si>
  <si>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</si>
  <si>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</si>
  <si>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</si>
  <si>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</si>
  <si>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</si>
  <si>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</si>
  <si>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</si>
  <si>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</si>
  <si>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</si>
  <si>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</si>
  <si>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</si>
  <si>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</si>
  <si>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</si>
  <si>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</si>
  <si>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</si>
  <si>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</si>
  <si>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</si>
  <si>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</si>
  <si>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</si>
  <si>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</si>
  <si>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</si>
  <si>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</si>
  <si>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</si>
  <si>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</si>
  <si>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</si>
  <si>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</si>
  <si>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</si>
  <si>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</si>
  <si>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</si>
  <si>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</si>
  <si>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</si>
  <si>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</si>
  <si>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</si>
  <si>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</si>
  <si>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</si>
  <si>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</si>
  <si>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</si>
  <si>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</si>
  <si>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</si>
  <si>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</si>
  <si>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</si>
  <si>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</si>
  <si>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</si>
  <si>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</si>
  <si>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</si>
  <si>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</si>
  <si>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</si>
  <si>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</si>
  <si>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</si>
  <si>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</si>
  <si>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</si>
  <si>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</si>
  <si>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</si>
  <si>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</si>
  <si>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</si>
  <si>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</si>
  <si>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</si>
  <si>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</si>
  <si>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</si>
  <si>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</si>
  <si>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</si>
  <si>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</si>
  <si>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</si>
  <si>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</si>
  <si>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</si>
  <si>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</si>
  <si>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</si>
  <si>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</si>
  <si>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</si>
  <si>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</si>
  <si>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</si>
  <si>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</si>
  <si>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</si>
  <si>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</si>
  <si>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</si>
  <si>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</si>
  <si>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</si>
  <si>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</si>
  <si>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</si>
  <si>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</si>
  <si>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</si>
  <si>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</si>
  <si>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</si>
  <si>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</si>
  <si>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</si>
  <si>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</si>
  <si>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</si>
  <si>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</si>
  <si>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</si>
  <si>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</si>
  <si>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</si>
  <si>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</si>
  <si>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</si>
  <si>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</si>
  <si>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</si>
  <si>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</si>
  <si>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</si>
  <si>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</si>
  <si>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</si>
  <si>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</si>
  <si>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</si>
  <si>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</si>
  <si>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</si>
  <si>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</si>
  <si>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</si>
  <si>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</si>
  <si>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</si>
  <si>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</si>
  <si>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</si>
  <si>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</si>
  <si>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</si>
  <si>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</si>
  <si>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</si>
  <si>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</si>
  <si>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</si>
  <si>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</si>
  <si>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</si>
  <si>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</si>
  <si>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</si>
  <si>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</si>
  <si>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</si>
  <si>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</si>
  <si>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</si>
  <si>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</si>
  <si>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</si>
  <si>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</si>
  <si>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</si>
  <si>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</si>
  <si>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</si>
  <si>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</si>
  <si>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</si>
  <si>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</si>
  <si>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</si>
  <si>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</si>
  <si>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</si>
  <si>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</si>
  <si>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</si>
  <si>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</si>
  <si>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</si>
  <si>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</si>
  <si>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</si>
  <si>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</si>
  <si>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</si>
  <si>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</si>
  <si>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</si>
  <si>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</si>
  <si>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</si>
  <si>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</si>
  <si>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</si>
  <si>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</si>
  <si>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</si>
  <si>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</si>
  <si>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</si>
  <si>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</si>
  <si>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</si>
  <si>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</si>
  <si>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</si>
  <si>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</si>
  <si>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</si>
  <si>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</si>
  <si>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</si>
  <si>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</si>
  <si>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</si>
  <si>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</si>
  <si>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</si>
  <si>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</si>
  <si>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</si>
  <si>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</si>
  <si>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</si>
  <si>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</si>
  <si>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</si>
  <si>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</si>
  <si>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</si>
  <si>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</si>
  <si>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</si>
  <si>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</si>
  <si>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</si>
  <si>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</si>
  <si>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</si>
  <si>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</si>
  <si>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</si>
  <si>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</si>
  <si>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</si>
  <si>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</si>
  <si>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</si>
  <si>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</si>
  <si>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</si>
  <si>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</si>
  <si>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</si>
  <si>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</si>
  <si>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</si>
  <si>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</si>
  <si>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</si>
  <si>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</si>
  <si>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</si>
  <si>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</si>
  <si>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</si>
  <si>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</si>
  <si>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</si>
  <si>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</si>
  <si>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</si>
  <si>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</si>
  <si>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</si>
  <si>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</si>
  <si>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FLORIAN GLOECKLER</t>
  </si>
  <si>
    <t>ANDREAS PAUL LANGBEIN</t>
  </si>
  <si>
    <t>RALF WAGNER</t>
  </si>
  <si>
    <t>ANTONIO SIERRA LOIS</t>
  </si>
  <si>
    <t>CHRISTIAN GRUPP</t>
  </si>
  <si>
    <t>01:31</t>
  </si>
  <si>
    <t>08:06</t>
  </si>
  <si>
    <t>04:44</t>
  </si>
  <si>
    <t>01:15</t>
  </si>
  <si>
    <t>I needed a bit more communication before the game. Very good scouting with a perfect first half. Good job</t>
  </si>
  <si>
    <t>ORIOL GARCIA</t>
  </si>
  <si>
    <t>C:\Users\oriol.garcia\OneDrive - EUROLEAGUE\Documents\Season 25-26\Reports\Eurocup\Ratiopharm Ulm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</si>
</sst>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29" sqref="N29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10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10_098_ULM_TTK_U2025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837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98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46001.791666666664</v>
      </c>
      <c r="C3" s="178"/>
      <c r="D3" s="39">
        <v>611</v>
      </c>
      <c r="E3" s="29"/>
      <c r="F3" s="26">
        <f>SUBTOTAL(3,I17:I106)</f>
        <v>6</v>
      </c>
      <c r="G3" s="27">
        <f>IF(OR(D3="",D3=0),"",F3/D3)</f>
        <v>9.8199672667757774E-3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ratiopharm Ulm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ULM</v>
      </c>
      <c r="I4" s="5"/>
      <c r="J4" s="119" t="s">
        <v>714</v>
      </c>
      <c r="K4" s="54" t="s">
        <v>743</v>
      </c>
      <c r="L4" s="5"/>
      <c r="M4" s="185" t="s">
        <v>835</v>
      </c>
      <c r="N4" s="186"/>
      <c r="O4" s="2"/>
      <c r="P4" s="2"/>
      <c r="Q4" s="84" t="s">
        <v>175</v>
      </c>
      <c r="R4" s="94">
        <f>(IF(G3="",0,G3))</f>
        <v>9.8199672667757774E-3</v>
      </c>
      <c r="S4" s="61">
        <f>SUM(I13:M13)</f>
        <v>3</v>
      </c>
      <c r="T4" s="78"/>
      <c r="U4" s="61">
        <f>AC18</f>
        <v>4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Turk Telekom Ankara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TTK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0.98199672667757776</v>
      </c>
      <c r="S5" s="70">
        <f t="shared" ref="S5" si="0">S4*S3</f>
        <v>3</v>
      </c>
      <c r="T5" s="92"/>
      <c r="U5" s="70">
        <f t="shared" ref="U5:AG5" si="1">U4*U3</f>
        <v>2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826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827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9.4819967266775773</v>
      </c>
      <c r="N7" s="58"/>
      <c r="O7" s="2"/>
      <c r="P7" s="2"/>
      <c r="Q7" s="86">
        <f>SUM(R5,S5,AC16)</f>
        <v>9.4819967266775773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828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9.4819967266775773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829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830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98</v>
      </c>
      <c r="H12" s="40" t="str">
        <f>$I$10</f>
        <v>LOGISTICS</v>
      </c>
      <c r="I12" s="14" t="s">
        <v>17</v>
      </c>
      <c r="J12" s="15" t="s">
        <v>14</v>
      </c>
      <c r="K12" s="15" t="s">
        <v>71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2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836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6</v>
      </c>
      <c r="K15" s="24">
        <f>SUBTOTAL(3,K17:K106)</f>
        <v>6</v>
      </c>
      <c r="L15" s="24">
        <f>SUBTOTAL(3,L17:L106)</f>
        <v>6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6</v>
      </c>
      <c r="Z16" s="90" t="s">
        <v>110</v>
      </c>
      <c r="AA16" s="75">
        <f>SUM(AA17:AA24)</f>
        <v>6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5.5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6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98</v>
      </c>
      <c r="D17" s="32"/>
      <c r="E17" s="33">
        <v>3</v>
      </c>
      <c r="F17" s="36">
        <v>27</v>
      </c>
      <c r="G17" s="36">
        <v>37</v>
      </c>
      <c r="H17" s="38" t="str">
        <f>IF(I17="","",$I$14)</f>
        <v>SCOUTING</v>
      </c>
      <c r="I17" s="34">
        <v>312</v>
      </c>
      <c r="J17" s="13" t="s">
        <v>4</v>
      </c>
      <c r="K17" s="13" t="s">
        <v>62</v>
      </c>
      <c r="L17" s="13" t="s">
        <v>7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6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98</v>
      </c>
      <c r="D18" s="32" t="s">
        <v>831</v>
      </c>
      <c r="E18" s="33">
        <v>3</v>
      </c>
      <c r="F18" s="36">
        <v>38</v>
      </c>
      <c r="G18" s="36">
        <v>54</v>
      </c>
      <c r="H18" s="38" t="str">
        <f t="shared" ref="H18:H81" si="8">IF(I18="","",$I$14)</f>
        <v>SCOUTING</v>
      </c>
      <c r="I18" s="34">
        <v>427</v>
      </c>
      <c r="J18" s="13" t="s">
        <v>4</v>
      </c>
      <c r="K18" s="13" t="s">
        <v>63</v>
      </c>
      <c r="L18" s="13" t="s">
        <v>6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98</v>
      </c>
      <c r="D19" s="32" t="s">
        <v>832</v>
      </c>
      <c r="E19" s="33">
        <v>4</v>
      </c>
      <c r="F19" s="36">
        <v>45</v>
      </c>
      <c r="G19" s="36">
        <v>61</v>
      </c>
      <c r="H19" s="38" t="str">
        <f t="shared" si="8"/>
        <v>SCOUTING</v>
      </c>
      <c r="I19" s="34">
        <v>486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98</v>
      </c>
      <c r="D20" s="32" t="s">
        <v>833</v>
      </c>
      <c r="E20" s="33">
        <v>4</v>
      </c>
      <c r="F20" s="36">
        <v>51</v>
      </c>
      <c r="G20" s="36">
        <v>72</v>
      </c>
      <c r="H20" s="38" t="str">
        <f t="shared" si="8"/>
        <v>SCOUTING</v>
      </c>
      <c r="I20" s="34">
        <v>555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4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98</v>
      </c>
      <c r="D21" s="32" t="s">
        <v>834</v>
      </c>
      <c r="E21" s="33">
        <v>4</v>
      </c>
      <c r="F21" s="36">
        <v>53</v>
      </c>
      <c r="G21" s="36">
        <v>81</v>
      </c>
      <c r="H21" s="38" t="str">
        <f t="shared" si="8"/>
        <v>SCOUTING</v>
      </c>
      <c r="I21" s="34">
        <v>598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98</v>
      </c>
      <c r="D22" s="32" t="s">
        <v>53</v>
      </c>
      <c r="E22" s="33">
        <v>4</v>
      </c>
      <c r="F22" s="36">
        <v>53</v>
      </c>
      <c r="G22" s="36">
        <v>85</v>
      </c>
      <c r="H22" s="38" t="str">
        <f t="shared" si="8"/>
        <v>SCOUTING</v>
      </c>
      <c r="I22" s="34">
        <v>610</v>
      </c>
      <c r="J22" s="13" t="s">
        <v>4</v>
      </c>
      <c r="K22" s="13" t="s">
        <v>63</v>
      </c>
      <c r="L22" s="13" t="s">
        <v>5</v>
      </c>
      <c r="M22" s="13" t="s">
        <v>10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REPORT_U2025098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"U2025098"</v>
      </c>
      <c r="F3" s="45" t="str">
        <f t="shared" ref="F3:F16" si="0">""""&amp;B3&amp;"""" &amp; " : " &amp;C3&amp;","</f>
        <v>"name" : "U2025098",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"U098"</v>
      </c>
      <c r="F4" s="45" t="str">
        <f t="shared" si="0"/>
        <v>"cod" : "U098",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098</v>
      </c>
      <c r="F6" s="45" t="str">
        <f t="shared" si="0"/>
        <v>"number" : 098,</v>
      </c>
    </row>
    <row r="7" spans="2:6" x14ac:dyDescent="0.25">
      <c r="B7" s="43" t="s">
        <v>116</v>
      </c>
      <c r="C7" s="43" t="str">
        <f ca="1">""""&amp;TEXT('SCOUT &amp; LOGISTICS'!B3,"dd/mm/aaaa")&amp;""""</f>
        <v>"10/12/Wednesday"</v>
      </c>
      <c r="F7" s="45" t="str">
        <f t="shared" ca="1" si="0"/>
        <v>"date" : "10/12/Wednesday",</v>
      </c>
    </row>
    <row r="8" spans="2:6" x14ac:dyDescent="0.25">
      <c r="B8" s="43" t="s">
        <v>125</v>
      </c>
      <c r="C8" s="43" t="str">
        <f>""""&amp;'SCOUT &amp; LOGISTICS'!D4 &amp;""""</f>
        <v>"ratiopharm Ulm"</v>
      </c>
      <c r="F8" s="45" t="str">
        <f t="shared" si="0"/>
        <v>"home_team" : "ratiopharm Ulm",</v>
      </c>
    </row>
    <row r="9" spans="2:6" x14ac:dyDescent="0.25">
      <c r="B9" s="43" t="s">
        <v>126</v>
      </c>
      <c r="C9" s="43" t="str">
        <f>""""&amp;'SCOUT &amp; LOGISTICS'!D5&amp;""""</f>
        <v>"Turk Telekom Ankara"</v>
      </c>
      <c r="F9" s="45" t="str">
        <f t="shared" si="0"/>
        <v>"away_team" : "Turk Telekom Ankara",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"FLORIAN GLOECKLER"</v>
      </c>
      <c r="F10" s="45" t="str">
        <f t="shared" si="0"/>
        <v>"Data_entry" : "FLORIAN GLOECKLER",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"ANDREAS PAUL LANGBEIN"</v>
      </c>
      <c r="F11" s="45" t="str">
        <f t="shared" si="0"/>
        <v>"Caller_1" : "ANDREAS PAUL LANGBEIN",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"RALF WAGNER"</v>
      </c>
      <c r="F12" s="45" t="str">
        <f t="shared" si="0"/>
        <v>"Caller_2" : "RALF WAGNER",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"ANTONIO SIERRA LOIS"</v>
      </c>
      <c r="F13" s="45" t="str">
        <f t="shared" si="0"/>
        <v>"Timerkeeper" : "ANTONIO SIERRA LOIS",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"CHRISTIAN GRUPP"</v>
      </c>
      <c r="F14" s="45" t="str">
        <f t="shared" si="0"/>
        <v>"Shotclock" : "CHRISTIAN GRUPP",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"NOT FLUID"</v>
      </c>
      <c r="F20" s="45" t="str">
        <f>""""&amp;C20&amp;"""" &amp; " : " &amp;D20&amp;","</f>
        <v>"communication" : "NOT FLUID",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611</v>
      </c>
      <c r="F25" s="45" t="str">
        <f t="shared" ref="F25:F48" si="1">""""&amp;C25&amp;"""" &amp; " : " &amp;D25&amp;","</f>
        <v>"total_actions" : 611,</v>
      </c>
    </row>
    <row r="26" spans="2:6" x14ac:dyDescent="0.25">
      <c r="C26" s="43" t="s">
        <v>132</v>
      </c>
      <c r="D26" s="43">
        <f>'SCOUT &amp; LOGISTICS'!F3</f>
        <v>6</v>
      </c>
      <c r="F26" s="45" t="str">
        <f t="shared" si="1"/>
        <v>"total_correcions" : 6,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4</v>
      </c>
      <c r="F34" s="45" t="str">
        <f t="shared" si="1"/>
        <v>"q4" : 4,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6</v>
      </c>
      <c r="F37" s="45" t="str">
        <f t="shared" si="1"/>
        <v>"scoresheet_corrections" : 6,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 needed a bit more communication before the game. Very good scouting with a perfect first half. Good job"</v>
      </c>
      <c r="F51" s="45" t="str">
        <f>""""&amp;B51&amp;"""" &amp; " : " &amp;C51&amp;","</f>
        <v>"comments" : "I needed a bit more communication before the game. Very good scouting with a perfect first half. Good job",</v>
      </c>
    </row>
    <row r="52" spans="2:6" x14ac:dyDescent="0.25">
      <c r="B52" s="43" t="s">
        <v>153</v>
      </c>
      <c r="C52" s="43" t="str">
        <f>TEXT('SCOUT &amp; LOGISTICS'!F1,"0,0")</f>
        <v>10_098_ULM_TTK_U2025</v>
      </c>
      <c r="F52" s="45" t="str">
        <f>""""&amp;B52&amp;"""" &amp; " : " &amp;C52</f>
        <v>"result" : 10_098_ULM_TTK_U2025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U098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10/12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Ratiopharm Ulm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Turk Telekom Ankara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FLORIAN GLOECKLER</v>
      </c>
      <c r="C8" s="201"/>
      <c r="D8" s="201"/>
      <c r="E8" s="201"/>
      <c r="F8" s="201"/>
      <c r="G8" s="201" t="str">
        <f>IF('SCOUT &amp; LOGISTICS'!D7="","",'SCOUT &amp; LOGISTICS'!D7)</f>
        <v>ANDREAS PAUL LANGBEIN</v>
      </c>
      <c r="H8" s="201"/>
      <c r="I8" s="201"/>
      <c r="J8" s="201"/>
      <c r="K8" s="201"/>
      <c r="L8" s="201" t="str">
        <f>IF('SCOUT &amp; LOGISTICS'!D8="","",'SCOUT &amp; LOGISTICS'!D8)</f>
        <v>RALF WAGNER</v>
      </c>
      <c r="M8" s="201"/>
      <c r="N8" s="201"/>
      <c r="O8" s="201"/>
      <c r="P8" s="201"/>
      <c r="Q8" s="201" t="str">
        <f>IF('SCOUT &amp; LOGISTICS'!D9="","",'SCOUT &amp; LOGISTICS'!D9)</f>
        <v>ANTONIO SIERRA LOIS</v>
      </c>
      <c r="R8" s="201"/>
      <c r="S8" s="201"/>
      <c r="T8" s="201"/>
      <c r="U8" s="201"/>
      <c r="V8" s="201" t="str">
        <f>IF('SCOUT &amp; LOGISTICS'!D10="","",'SCOUT &amp; LOGISTICS'!D10)</f>
        <v>CHRISTIAN GRUPP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NOT FLUID</v>
      </c>
      <c r="O13" s="205"/>
      <c r="P13" s="205"/>
      <c r="Q13" s="205"/>
      <c r="R13" s="205"/>
      <c r="S13" s="205"/>
      <c r="T13" s="205" t="str">
        <f>IF('SCOUT &amp; LOGISTICS'!L12="","",'SCOUT &amp; LOGISTICS'!L12)</f>
        <v>OK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611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6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9.8199672667757774E-3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4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2</v>
      </c>
      <c r="O22" s="199"/>
      <c r="P22" s="199"/>
      <c r="Q22" s="199"/>
      <c r="R22" s="199"/>
      <c r="S22" s="199"/>
      <c r="T22" s="199">
        <f>'SCOUT &amp; LOGISTICS'!AG20</f>
        <v>4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6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4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I needed a bit more communication before the game. Very good scouting with a perfect first half. Good job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9.4819967266775773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CC084F6-977C-40F1-B53E-FCB2B0F9EEE8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2025-12-10T16:18:45Z</cp:lastPrinted>
  <dcterms:created xsi:type="dcterms:W3CDTF">2023-09-19T19:50:35Z</dcterms:created>
  <dcterms:modified xsi:type="dcterms:W3CDTF">2025-12-16T16:19:45Z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