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8" documentId="8_{CF5BE9A6-0CF8-4607-A6A0-E2B12F8EAA41}" xr6:coauthVersionLast="47" xr6:coauthVersionMax="47" xr10:uidLastSave="{C966C5D2-0BAC-4C55-A2E8-7AB173FF38B3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<sst xmlns="http://schemas.openxmlformats.org/spreadsheetml/2006/main" count="3260" uniqueCount="758">
  <si>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</si>
  <si>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</si>
  <si>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</si>
  <si>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</si>
  <si>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</si>
  <si>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</si>
  <si>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</si>
  <si>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</si>
  <si>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</si>
  <si>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</si>
  <si>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</si>
  <si>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</si>
  <si>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</si>
  <si>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</si>
  <si>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</si>
  <si>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</si>
  <si>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</si>
  <si>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</si>
  <si>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</si>
  <si>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</si>
  <si>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</si>
  <si>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</si>
  <si>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</si>
  <si>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</si>
  <si>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</si>
  <si>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</si>
  <si>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</si>
  <si>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</si>
  <si>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</si>
  <si>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</si>
  <si>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</si>
  <si>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</si>
  <si>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</si>
  <si>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</si>
  <si>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</si>
  <si>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</si>
  <si>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</si>
  <si>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</si>
  <si>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</si>
  <si>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</si>
  <si>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</si>
  <si>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</si>
  <si>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</si>
  <si>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</si>
  <si>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</si>
  <si>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</si>
  <si>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</si>
  <si>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</si>
  <si>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</si>
  <si>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</si>
  <si>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</si>
  <si>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</si>
  <si>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</si>
  <si>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</si>
  <si>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</si>
  <si>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</si>
  <si>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</si>
  <si>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</si>
  <si>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</si>
  <si>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</si>
  <si>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</si>
  <si>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</si>
  <si>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</si>
  <si>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</si>
  <si>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</si>
  <si>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</si>
  <si>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</si>
  <si>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</si>
  <si>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</si>
  <si>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</si>
  <si>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</si>
  <si>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</si>
  <si>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</si>
  <si>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</si>
  <si>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</si>
  <si>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</si>
  <si>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</si>
  <si>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</si>
  <si>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</si>
  <si>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</si>
  <si>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</si>
  <si>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</si>
  <si>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</si>
  <si>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</si>
  <si>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</si>
  <si>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</si>
  <si>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</si>
  <si>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</si>
  <si>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</si>
  <si>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</si>
  <si>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</si>
  <si>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</si>
  <si>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</si>
  <si>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</si>
  <si>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</si>
  <si>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</si>
  <si>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</si>
  <si>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</si>
  <si>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</si>
  <si>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</si>
  <si>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</si>
  <si>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</si>
  <si>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</si>
  <si>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</si>
  <si>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</si>
  <si>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</si>
  <si>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</si>
  <si>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</si>
  <si>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</si>
  <si>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</si>
  <si>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</si>
  <si>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</si>
  <si>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</si>
  <si>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</si>
  <si>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</si>
  <si>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</si>
  <si>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</si>
  <si>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</si>
  <si>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</si>
  <si>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</si>
  <si>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</si>
  <si>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</si>
  <si>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</si>
  <si>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</si>
  <si>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</si>
  <si>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</si>
  <si>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</si>
  <si>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</si>
  <si>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</si>
  <si>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</si>
  <si>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</si>
  <si>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</si>
  <si>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</si>
  <si>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</si>
  <si>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</si>
  <si>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</si>
  <si>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</si>
  <si>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</si>
  <si>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</si>
  <si>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</si>
  <si>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</si>
  <si>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</si>
  <si>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</si>
  <si>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</si>
  <si>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</si>
  <si>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</si>
  <si>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</si>
  <si>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</si>
  <si>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</si>
  <si>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</si>
  <si>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</si>
  <si>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</si>
  <si>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</si>
  <si>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</si>
  <si>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</si>
  <si>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</si>
  <si>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</si>
  <si>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</si>
  <si>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</si>
  <si>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</si>
  <si>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</si>
  <si>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</si>
  <si>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</si>
  <si>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</si>
  <si>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</si>
  <si>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</si>
  <si>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</si>
  <si>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</si>
  <si>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</si>
  <si>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</si>
  <si>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</si>
  <si>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</si>
  <si>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</si>
  <si>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</si>
  <si>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</si>
  <si>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</si>
  <si>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</si>
  <si>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</si>
  <si>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</si>
  <si>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</si>
  <si>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</si>
  <si>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</si>
  <si>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</si>
  <si>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</si>
  <si>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</si>
  <si>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</si>
  <si>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</si>
  <si>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</si>
  <si>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</si>
  <si>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</si>
  <si>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</si>
  <si>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</si>
  <si>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</si>
  <si>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</si>
  <si>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</si>
  <si>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</si>
  <si>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</si>
  <si>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</si>
  <si>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</si>
  <si>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</si>
  <si>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</si>
  <si>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</si>
  <si>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</si>
  <si>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</si>
  <si>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</si>
  <si>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</si>
  <si>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</si>
  <si>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</si>
  <si>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</si>
  <si>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</si>
  <si>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</si>
  <si>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</si>
  <si>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</si>
  <si>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</si>
  <si>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</si>
  <si>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</si>
  <si>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</si>
  <si>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</si>
  <si>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</si>
  <si>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</si>
  <si>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</si>
  <si>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</si>
  <si>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</si>
  <si>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</si>
  <si>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</si>
  <si>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</si>
  <si>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</si>
  <si>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</si>
  <si>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</si>
  <si>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</si>
  <si>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</si>
  <si>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</si>
  <si>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</si>
  <si>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</si>
  <si>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</si>
  <si>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</si>
  <si>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</si>
  <si>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</si>
  <si>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</si>
  <si>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</si>
  <si>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</si>
  <si>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</si>
  <si>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</si>
  <si>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</si>
  <si>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</si>
  <si>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</si>
  <si>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</si>
  <si>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</si>
  <si>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</si>
  <si>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</si>
  <si>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</si>
  <si>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</si>
  <si>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</si>
  <si>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</si>
  <si>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</si>
  <si>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</si>
  <si>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</si>
  <si>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</si>
  <si>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</si>
  <si>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</si>
  <si>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</si>
  <si>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</si>
  <si>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</si>
  <si>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</si>
  <si>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</si>
  <si>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</si>
  <si>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</si>
  <si>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</si>
  <si>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</si>
  <si>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</si>
  <si>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</si>
  <si>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</si>
  <si>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</si>
  <si>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</si>
  <si>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</si>
  <si>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</si>
  <si>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</si>
  <si>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</si>
  <si>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</si>
  <si>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</si>
  <si>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</si>
  <si>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</si>
  <si>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</si>
  <si>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</si>
  <si>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</si>
  <si>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</si>
  <si>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</si>
  <si>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</si>
  <si>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</si>
  <si>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</si>
  <si>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</si>
  <si>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</si>
  <si>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</si>
  <si>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</si>
  <si>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</si>
  <si>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</si>
  <si>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</si>
  <si>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</si>
  <si>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</si>
  <si>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</si>
  <si>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</si>
  <si>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</si>
  <si>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</si>
  <si>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</si>
  <si>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</si>
  <si>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</si>
  <si>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</si>
  <si>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</si>
  <si>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</si>
  <si>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</si>
  <si>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</si>
  <si>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</si>
  <si>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</si>
  <si>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</si>
  <si>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</si>
  <si>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</si>
  <si>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</si>
  <si>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</si>
  <si>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</si>
  <si>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</si>
  <si>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</si>
  <si>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</si>
  <si>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</si>
  <si>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</si>
  <si>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</si>
  <si>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</si>
  <si>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</si>
  <si>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</si>
  <si>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</si>
  <si>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</si>
  <si>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</si>
  <si>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</si>
  <si>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</si>
  <si>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</si>
  <si>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</si>
  <si>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</si>
  <si>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</si>
  <si>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</si>
  <si>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</si>
  <si>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</si>
  <si>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</si>
  <si>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</si>
  <si>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</si>
  <si>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</si>
  <si>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</si>
  <si>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</si>
  <si>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</si>
  <si>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</si>
  <si>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</si>
  <si>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</si>
  <si>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</si>
  <si>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</si>
  <si>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</si>
  <si>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</si>
  <si>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</si>
  <si>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</si>
  <si>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</si>
  <si>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</si>
  <si>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</si>
  <si>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</si>
  <si>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</si>
  <si>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</si>
  <si>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</si>
  <si>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</si>
  <si>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</si>
  <si>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</si>
  <si>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</si>
  <si>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</si>
  <si>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</si>
  <si>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</si>
  <si>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</si>
  <si>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</si>
  <si>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</si>
  <si>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</si>
  <si>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</si>
  <si>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</si>
  <si>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</si>
  <si>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</si>
  <si>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</si>
  <si>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</si>
  <si>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</si>
  <si>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</si>
  <si>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</si>
  <si>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</si>
  <si>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</si>
  <si>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</si>
  <si>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</si>
  <si>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</si>
  <si>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</si>
  <si>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</si>
  <si>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</si>
  <si>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</si>
  <si>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</si>
  <si>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</si>
  <si>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</si>
  <si>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</si>
  <si>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</si>
  <si>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</si>
  <si>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</si>
  <si>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</si>
  <si>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</si>
  <si>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</si>
  <si>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</si>
  <si>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</si>
  <si>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</si>
  <si>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</si>
  <si>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</si>
  <si>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</si>
  <si>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</si>
  <si>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</si>
  <si>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</si>
  <si>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</si>
  <si>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</si>
  <si>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</si>
  <si>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</si>
  <si>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</si>
  <si>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</si>
  <si>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</si>
  <si>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</si>
  <si>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</si>
  <si>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</si>
  <si>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</si>
  <si>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</si>
  <si>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</si>
  <si>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</si>
  <si>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</si>
  <si>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</si>
  <si>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</si>
  <si>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</si>
  <si>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</si>
  <si>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</si>
  <si>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</si>
  <si>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</si>
  <si>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</si>
  <si>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</si>
  <si>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</si>
  <si>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</si>
  <si>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</si>
  <si>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</si>
  <si>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</si>
  <si>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</si>
  <si>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</si>
  <si>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</si>
  <si>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</si>
  <si>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</si>
  <si>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</si>
  <si>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</si>
  <si>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</si>
  <si>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</si>
  <si>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</si>
  <si>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</si>
  <si>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</si>
  <si>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</si>
  <si>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</si>
  <si>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</si>
  <si>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</si>
  <si>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</si>
  <si>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</si>
  <si>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</si>
  <si>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</si>
  <si>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</si>
  <si>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</si>
  <si>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</si>
  <si>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</si>
  <si>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</si>
  <si>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</si>
  <si>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</si>
  <si>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</si>
  <si>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</si>
  <si>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</si>
  <si>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</si>
  <si>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</si>
  <si>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</si>
  <si>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</si>
  <si>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</si>
  <si>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</si>
  <si>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</si>
  <si>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</si>
  <si>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</si>
  <si>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</si>
  <si>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</si>
  <si>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</si>
  <si>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</si>
  <si>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</si>
  <si>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</si>
  <si>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</si>
  <si>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</si>
  <si>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</si>
  <si>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</si>
  <si>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</si>
  <si>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</si>
  <si>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</si>
  <si>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</si>
  <si>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</si>
  <si>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</si>
  <si>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</si>
  <si>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</si>
  <si>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</si>
  <si>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</si>
  <si>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</si>
  <si>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</si>
  <si>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</si>
  <si>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</si>
  <si>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</si>
  <si>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</si>
  <si>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</si>
  <si>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</si>
  <si>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</si>
  <si>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</si>
  <si>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</si>
  <si>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</si>
  <si>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</si>
  <si>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</si>
  <si>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</si>
  <si>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</si>
  <si>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</si>
  <si>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</si>
  <si>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</si>
  <si>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</si>
  <si>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</si>
  <si>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</si>
  <si>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</si>
  <si>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</si>
  <si>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</si>
  <si>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</si>
  <si>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</si>
  <si>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</si>
  <si>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</si>
  <si>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</si>
  <si>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</si>
  <si>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</si>
  <si>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</si>
  <si>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</si>
  <si>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</si>
  <si>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</si>
  <si>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</si>
  <si>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</si>
  <si>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</si>
  <si>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</si>
  <si>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</si>
  <si>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</si>
  <si>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</si>
  <si>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</si>
  <si>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</si>
  <si>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</si>
  <si>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</si>
  <si>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</si>
  <si>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</si>
  <si>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</si>
  <si>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</si>
  <si>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</si>
  <si>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</si>
  <si>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</si>
  <si>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</si>
  <si>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</si>
  <si>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</si>
  <si>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</si>
  <si>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</si>
  <si>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</si>
  <si>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</si>
  <si>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</si>
  <si>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</si>
  <si>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</si>
  <si>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</si>
  <si>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</si>
  <si>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</si>
  <si>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</si>
  <si>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</si>
  <si>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</si>
  <si>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</si>
  <si>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</si>
  <si>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</si>
  <si>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</si>
  <si>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</si>
  <si>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</si>
  <si>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</si>
  <si>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</si>
  <si>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</si>
  <si>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</si>
  <si>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</si>
  <si>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</si>
  <si>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</si>
  <si>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</si>
  <si>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</si>
  <si>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</si>
  <si>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</si>
  <si>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</si>
  <si>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</si>
  <si>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</si>
  <si>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</si>
  <si>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</si>
  <si>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</si>
  <si>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</si>
  <si>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</si>
  <si>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</si>
  <si>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</si>
  <si>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</si>
  <si>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</si>
  <si>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</si>
  <si>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</si>
  <si>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</si>
  <si>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</si>
  <si>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</si>
  <si>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</si>
  <si>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</si>
  <si>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</si>
  <si>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</si>
  <si>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</si>
  <si>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</si>
  <si>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</si>
  <si>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</si>
  <si>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</si>
  <si>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</si>
  <si>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</si>
  <si>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</si>
  <si>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</si>
  <si>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</si>
  <si>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</si>
  <si>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</si>
  <si>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</si>
  <si>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</si>
  <si>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</si>
  <si>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</si>
  <si>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</si>
  <si>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</si>
  <si>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</si>
  <si>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</si>
  <si>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</si>
  <si>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</si>
  <si>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</si>
  <si>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</si>
  <si>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</si>
  <si>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</si>
  <si>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</si>
  <si>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</si>
  <si>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</si>
  <si>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</si>
  <si>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</si>
  <si>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</si>
  <si>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</si>
  <si>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</si>
  <si>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</si>
  <si>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</si>
  <si>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</si>
  <si>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</si>
  <si>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</si>
  <si>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</si>
  <si>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</si>
  <si>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</si>
  <si>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</si>
  <si>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</si>
  <si>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</si>
  <si>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</si>
  <si>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</si>
  <si>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</si>
  <si>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</si>
  <si>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</si>
  <si>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</si>
  <si>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</si>
  <si>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</si>
  <si>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</si>
  <si>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</si>
  <si>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</si>
  <si>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</si>
  <si>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</si>
  <si>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</si>
  <si>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</si>
  <si>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</si>
  <si>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</si>
  <si>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</si>
  <si>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</si>
  <si>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</si>
  <si>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</si>
  <si>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</si>
  <si>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</si>
  <si>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</si>
  <si>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</si>
  <si>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</si>
  <si>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</si>
  <si>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</si>
  <si>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</si>
  <si>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</si>
  <si>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</si>
  <si>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</si>
  <si>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</si>
  <si>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</si>
  <si>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</si>
  <si>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</si>
  <si>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</si>
  <si>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</si>
  <si>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</si>
  <si>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</si>
  <si>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</si>
  <si>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</si>
  <si>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</si>
  <si>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</si>
  <si>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</si>
  <si>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</si>
  <si>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</si>
  <si>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</si>
  <si>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</si>
  <si>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</si>
  <si>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</si>
  <si>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</si>
  <si>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</si>
  <si>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</si>
  <si>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</si>
  <si>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</si>
  <si>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</si>
  <si>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</si>
  <si>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</si>
  <si>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</si>
  <si>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</si>
  <si>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</si>
  <si>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</si>
  <si>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</si>
  <si>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</si>
  <si>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</si>
  <si>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</si>
  <si>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</si>
  <si>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</si>
  <si>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</si>
  <si>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</si>
  <si>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</si>
  <si>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</si>
  <si>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</si>
  <si>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</si>
  <si>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</si>
  <si>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</si>
  <si>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</si>
  <si>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</si>
  <si>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</si>
  <si>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</si>
  <si>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</si>
  <si>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</si>
  <si>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</si>
  <si>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</si>
  <si>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</si>
  <si>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</si>
  <si>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</si>
  <si>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</si>
  <si>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</si>
  <si>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</si>
  <si>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</si>
  <si>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</si>
  <si>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</si>
  <si>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</si>
  <si>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</si>
  <si>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</si>
  <si>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HUBERT KRAGLER</t>
  </si>
  <si>
    <t>MARKUS IDSTEIN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</si>
  <si>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</si>
  <si>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</si>
  <si>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</si>
  <si>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7:31</t>
  </si>
  <si>
    <t>3:48</t>
  </si>
  <si>
    <t>3:43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</si>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</sst>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10_099_MUN_BAR_E2025</v>
      </c>
      <c r="G1" s="5"/>
      <c r="H1" s="5"/>
      <c r="I1" s="5"/>
      <c r="J1" s="8" t="s">
        <v>707</v>
      </c>
      <c r="K1" s="121" t="s">
        <v>752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99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45973.854166666664</v>
      </c>
      <c r="C3" s="157"/>
      <c r="D3" s="39">
        <v>516</v>
      </c>
      <c r="E3" s="29"/>
      <c r="F3" s="26">
        <f>SUBTOTAL(3,I17:I106)</f>
        <v>3</v>
      </c>
      <c r="G3" s="27">
        <f>IF(OR(D3="",D3=0),"",F3/D3)</f>
        <v>5.8139534883720929E-3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5.8139534883720929E-3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0.58139534883720934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2.5813953488372094</v>
      </c>
      <c r="N7" s="58"/>
      <c r="O7" s="2"/>
      <c r="P7" s="2"/>
      <c r="Q7" s="86">
        <f>SUM(R5,S5,AC16)</f>
        <v>2.5813953488372094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2.5813953488372094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726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99</v>
      </c>
      <c r="D17" s="32" t="s">
        <v>754</v>
      </c>
      <c r="E17" s="33">
        <v>1</v>
      </c>
      <c r="F17" s="36">
        <v>2</v>
      </c>
      <c r="G17" s="36">
        <v>6</v>
      </c>
      <c r="H17" s="38" t="str">
        <f>IF(I17="","",$I$14)</f>
        <v>SCOUTING</v>
      </c>
      <c r="I17" s="34">
        <v>25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99</v>
      </c>
      <c r="D18" s="32" t="s">
        <v>755</v>
      </c>
      <c r="E18" s="33">
        <v>3</v>
      </c>
      <c r="F18" s="36">
        <v>49</v>
      </c>
      <c r="G18" s="36">
        <v>52</v>
      </c>
      <c r="H18" s="38" t="str">
        <f t="shared" ref="H18:H81" si="8">IF(I18="","",$I$14)</f>
        <v>SCOUTING</v>
      </c>
      <c r="I18" s="34">
        <v>333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99</v>
      </c>
      <c r="D19" s="32" t="s">
        <v>756</v>
      </c>
      <c r="E19" s="33">
        <v>3</v>
      </c>
      <c r="F19" s="36">
        <v>49</v>
      </c>
      <c r="G19" s="36">
        <v>52</v>
      </c>
      <c r="H19" s="38" t="str">
        <f t="shared" si="8"/>
        <v>SCOUTING</v>
      </c>
      <c r="I19" s="34">
        <v>335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REPORT_E2025099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"E2025099"</v>
      </c>
      <c r="F3" s="45" t="str">
        <f t="shared" ref="F3:F16" si="0">""""&amp;B3&amp;"""" &amp; " : " &amp;C3&amp;","</f>
        <v>"name" : "E2025099",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"E099"</v>
      </c>
      <c r="F4" s="45" t="str">
        <f t="shared" si="0"/>
        <v>"cod" : "E099",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099</v>
      </c>
      <c r="F6" s="45" t="str">
        <f t="shared" si="0"/>
        <v>"number" : 099,</v>
      </c>
    </row>
    <row r="7" spans="2:6" x14ac:dyDescent="0.25">
      <c r="B7" s="43" t="s">
        <v>116</v>
      </c>
      <c r="C7" s="43" t="str">
        <f ca="1">""""&amp;TEXT('SCOUT &amp; LOGISTICS'!B3,"dd/mm/aaaa")&amp;""""</f>
        <v>"12/11/Wednesday"</v>
      </c>
      <c r="F7" s="45" t="str">
        <f t="shared" ca="1" si="0"/>
        <v>"date" : "12/11/Wednesday",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"MANUEL HERZOG"</v>
      </c>
      <c r="F10" s="45" t="str">
        <f t="shared" si="0"/>
        <v>"Data_entry" : "MANUEL HERZOG",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BLANZ"</v>
      </c>
      <c r="F11" s="45" t="str">
        <f t="shared" si="0"/>
        <v>"Caller_1" : "SEBASTIAN BLANZ",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"JURGEN JOST"</v>
      </c>
      <c r="F13" s="45" t="str">
        <f t="shared" si="0"/>
        <v>"Timerkeeper" : "JURGEN JOST",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"MARKUS IDSTEIN"</v>
      </c>
      <c r="F14" s="45" t="str">
        <f t="shared" si="0"/>
        <v>"Shotclock" : "MARKUS IDSTEIN",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516</v>
      </c>
      <c r="F25" s="45" t="str">
        <f t="shared" ref="F25:F48" si="1">""""&amp;C25&amp;"""" &amp; " : " &amp;D25&amp;","</f>
        <v>"total_actions" : 516,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10_099_MUN_BAR_E2025</v>
      </c>
      <c r="F52" s="45" t="str">
        <f>""""&amp;B52&amp;"""" &amp; " : " &amp;C52</f>
        <v>"result" : 10_099_MUN_BAR_E2025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E099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MANUEL HERZOG</v>
      </c>
      <c r="C8" s="206"/>
      <c r="D8" s="206"/>
      <c r="E8" s="206"/>
      <c r="F8" s="206"/>
      <c r="G8" s="206" t="str">
        <f>IF('SCOUT &amp; LOGISTICS'!D7="","",'SCOUT &amp; LOGISTICS'!D7)</f>
        <v>SEBASTIAN BLANZ</v>
      </c>
      <c r="H8" s="206"/>
      <c r="I8" s="206"/>
      <c r="J8" s="206"/>
      <c r="K8" s="206"/>
      <c r="L8" s="206" t="str">
        <f>IF('SCOUT &amp; LOGISTICS'!D8="","",'SCOUT &amp; LOGISTICS'!D8)</f>
        <v>HUBERT KRAGLER</v>
      </c>
      <c r="M8" s="206"/>
      <c r="N8" s="206"/>
      <c r="O8" s="206"/>
      <c r="P8" s="206"/>
      <c r="Q8" s="206" t="str">
        <f>IF('SCOUT &amp; LOGISTICS'!D9="","",'SCOUT &amp; LOGISTICS'!D9)</f>
        <v>JURGEN JOST</v>
      </c>
      <c r="R8" s="206"/>
      <c r="S8" s="206"/>
      <c r="T8" s="206"/>
      <c r="U8" s="206"/>
      <c r="V8" s="206" t="str">
        <f>IF('SCOUT &amp; LOGISTICS'!D10="","",'SCOUT &amp; LOGISTICS'!D10)</f>
        <v>MARKUS IDSTEIN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5.8139534883720929E-3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2.5813953488372094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D40E5D-8891-4B54-BD20-C169B5F8B8B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2025-11-12T21:26:21Z</cp:lastPrinted>
  <dcterms:created xsi:type="dcterms:W3CDTF">2023-09-19T19:50:35Z</dcterms:created>
  <dcterms:modified xsi:type="dcterms:W3CDTF">2025-11-12T21:26:24Z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