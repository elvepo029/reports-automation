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35" documentId="8_{F47940EA-58D7-419F-8E70-009D3E884565}" xr6:coauthVersionLast="47" xr6:coauthVersionMax="47" xr10:uidLastSave="{C1B225EE-4A8F-43F7-951F-15867112F787}"/>
  <bookViews>
    <workbookView xWindow="-5490" yWindow="-15465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<sst xmlns="http://schemas.openxmlformats.org/spreadsheetml/2006/main" count="3397" uniqueCount="845">
  <si>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</si>
  <si>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</si>
  <si>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</si>
  <si>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</si>
  <si>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</si>
  <si>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</si>
  <si>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</si>
  <si>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</si>
  <si>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</si>
  <si>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</si>
  <si>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</si>
  <si>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</si>
  <si>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</si>
  <si>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</si>
  <si>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</si>
  <si>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</si>
  <si>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</si>
  <si>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</si>
  <si>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</si>
  <si>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</si>
  <si>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</si>
  <si>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</si>
  <si>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</si>
  <si>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</si>
  <si>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</si>
  <si>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</si>
  <si>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</si>
  <si>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</si>
  <si>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</si>
  <si>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</si>
  <si>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</si>
  <si>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</si>
  <si>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</si>
  <si>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</si>
  <si>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</si>
  <si>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</si>
  <si>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</si>
  <si>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</si>
  <si>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</si>
  <si>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</si>
  <si>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</si>
  <si>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</si>
  <si>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</si>
  <si>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</si>
  <si>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</si>
  <si>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</si>
  <si>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</si>
  <si>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</si>
  <si>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</si>
  <si>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</si>
  <si>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</si>
  <si>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</si>
  <si>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</si>
  <si>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</si>
  <si>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</si>
  <si>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</si>
  <si>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</si>
  <si>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</si>
  <si>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</si>
  <si>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</si>
  <si>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</si>
  <si>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</si>
  <si>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</si>
  <si>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</si>
  <si>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</si>
  <si>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</si>
  <si>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</si>
  <si>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</si>
  <si>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</si>
  <si>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</si>
  <si>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</si>
  <si>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</si>
  <si>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</si>
  <si>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</si>
  <si>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</si>
  <si>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</si>
  <si>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</si>
  <si>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</si>
  <si>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</si>
  <si>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</si>
  <si>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</si>
  <si>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</si>
  <si>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</si>
  <si>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</si>
  <si>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</si>
  <si>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</si>
  <si>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</si>
  <si>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</si>
  <si>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</si>
  <si>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</si>
  <si>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</si>
  <si>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</si>
  <si>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</si>
  <si>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</si>
  <si>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</si>
  <si>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</si>
  <si>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</si>
  <si>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</si>
  <si>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</si>
  <si>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</si>
  <si>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</si>
  <si>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</si>
  <si>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</si>
  <si>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</si>
  <si>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</si>
  <si>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</si>
  <si>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</si>
  <si>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</si>
  <si>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</si>
  <si>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</si>
  <si>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</si>
  <si>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</si>
  <si>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</si>
  <si>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</si>
  <si>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</si>
  <si>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</si>
  <si>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</si>
  <si>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</si>
  <si>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</si>
  <si>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</si>
  <si>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</si>
  <si>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</si>
  <si>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</si>
  <si>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</si>
  <si>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</si>
  <si>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</si>
  <si>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</si>
  <si>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</si>
  <si>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</si>
  <si>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</si>
  <si>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</si>
  <si>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</si>
  <si>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</si>
  <si>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</si>
  <si>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</si>
  <si>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</si>
  <si>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</si>
  <si>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</si>
  <si>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</si>
  <si>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</si>
  <si>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</si>
  <si>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</si>
  <si>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</si>
  <si>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</si>
  <si>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</si>
  <si>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</si>
  <si>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</si>
  <si>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</si>
  <si>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</si>
  <si>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</si>
  <si>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</si>
  <si>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</si>
  <si>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</si>
  <si>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</si>
  <si>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</si>
  <si>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</si>
  <si>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</si>
  <si>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</si>
  <si>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</si>
  <si>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</si>
  <si>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</si>
  <si>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</si>
  <si>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</si>
  <si>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</si>
  <si>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</si>
  <si>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</si>
  <si>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</si>
  <si>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</si>
  <si>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</si>
  <si>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</si>
  <si>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</si>
  <si>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</si>
  <si>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</si>
  <si>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</si>
  <si>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</si>
  <si>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</si>
  <si>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</si>
  <si>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</si>
  <si>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</si>
  <si>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</si>
  <si>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</si>
  <si>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</si>
  <si>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</si>
  <si>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</si>
  <si>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</si>
  <si>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</si>
  <si>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</si>
  <si>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</si>
  <si>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</si>
  <si>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</si>
  <si>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</si>
  <si>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</si>
  <si>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</si>
  <si>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</si>
  <si>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</si>
  <si>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</si>
  <si>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</si>
  <si>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</si>
  <si>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</si>
  <si>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</si>
  <si>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</si>
  <si>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</si>
  <si>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</si>
  <si>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</si>
  <si>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</si>
  <si>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</si>
  <si>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</si>
  <si>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</si>
  <si>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</si>
  <si>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</si>
  <si>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</si>
  <si>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</si>
  <si>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</si>
  <si>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</si>
  <si>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</si>
  <si>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</si>
  <si>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</si>
  <si>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</si>
  <si>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</si>
  <si>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</si>
  <si>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</si>
  <si>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</si>
  <si>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</si>
  <si>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</si>
  <si>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</si>
  <si>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</si>
  <si>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</si>
  <si>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</si>
  <si>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</si>
  <si>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</si>
  <si>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</si>
  <si>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</si>
  <si>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</si>
  <si>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</si>
  <si>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</si>
  <si>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</si>
  <si>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</si>
  <si>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</si>
  <si>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</si>
  <si>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</si>
  <si>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</si>
  <si>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</si>
  <si>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</si>
  <si>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</si>
  <si>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</si>
  <si>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</si>
  <si>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</si>
  <si>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</si>
  <si>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</si>
  <si>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</si>
  <si>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</si>
  <si>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</si>
  <si>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</si>
  <si>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</si>
  <si>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</si>
  <si>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</si>
  <si>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</si>
  <si>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</si>
  <si>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</si>
  <si>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</si>
  <si>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</si>
  <si>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</si>
  <si>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</si>
  <si>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</si>
  <si>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</si>
  <si>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</si>
  <si>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</si>
  <si>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</si>
  <si>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</si>
  <si>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</si>
  <si>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</si>
  <si>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</si>
  <si>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</si>
  <si>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</si>
  <si>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</si>
  <si>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</si>
  <si>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</si>
  <si>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</si>
  <si>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</si>
  <si>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</si>
  <si>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</si>
  <si>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</si>
  <si>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</si>
  <si>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</si>
  <si>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</si>
  <si>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</si>
  <si>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</si>
  <si>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</si>
  <si>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</si>
  <si>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</si>
  <si>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</si>
  <si>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</si>
  <si>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</si>
  <si>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</si>
  <si>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</si>
  <si>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</si>
  <si>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</si>
  <si>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</si>
  <si>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</si>
  <si>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</si>
  <si>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</si>
  <si>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</si>
  <si>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</si>
  <si>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</si>
  <si>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</si>
  <si>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</si>
  <si>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</si>
  <si>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</si>
  <si>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</si>
  <si>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</si>
  <si>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</si>
  <si>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</si>
  <si>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</si>
  <si>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</si>
  <si>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</si>
  <si>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</si>
  <si>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</si>
  <si>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</si>
  <si>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</si>
  <si>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</si>
  <si>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</si>
  <si>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</si>
  <si>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</si>
  <si>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</si>
  <si>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</si>
  <si>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</si>
  <si>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</si>
  <si>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</si>
  <si>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</si>
  <si>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</si>
  <si>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</si>
  <si>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</si>
  <si>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</si>
  <si>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</si>
  <si>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</si>
  <si>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</si>
  <si>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</si>
  <si>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</si>
  <si>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</si>
  <si>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</si>
  <si>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</si>
  <si>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</si>
  <si>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</si>
  <si>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</si>
  <si>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</si>
  <si>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</si>
  <si>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</si>
  <si>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</si>
  <si>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</si>
  <si>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</si>
  <si>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</si>
  <si>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</si>
  <si>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</si>
  <si>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</si>
  <si>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</si>
  <si>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</si>
  <si>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</si>
  <si>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</si>
  <si>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</si>
  <si>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</si>
  <si>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</si>
  <si>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</si>
  <si>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</si>
  <si>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</si>
  <si>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</si>
  <si>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</si>
  <si>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</si>
  <si>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</si>
  <si>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</si>
  <si>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</si>
  <si>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</si>
  <si>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</si>
  <si>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</si>
  <si>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</si>
  <si>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</si>
  <si>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</si>
  <si>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</si>
  <si>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</si>
  <si>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</si>
  <si>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</si>
  <si>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</si>
  <si>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</si>
  <si>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</si>
  <si>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</si>
  <si>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</si>
  <si>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</si>
  <si>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</si>
  <si>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</si>
  <si>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</si>
  <si>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</si>
  <si>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</si>
  <si>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</si>
  <si>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</si>
  <si>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</si>
  <si>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</si>
  <si>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</si>
  <si>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</si>
  <si>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</si>
  <si>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</si>
  <si>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</si>
  <si>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</si>
  <si>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</si>
  <si>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</si>
  <si>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</si>
  <si>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</si>
  <si>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</si>
  <si>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</si>
  <si>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</si>
  <si>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</si>
  <si>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</si>
  <si>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</si>
  <si>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</si>
  <si>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</si>
  <si>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</si>
  <si>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</si>
  <si>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</si>
  <si>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</si>
  <si>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</si>
  <si>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</si>
  <si>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</si>
  <si>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</si>
  <si>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</si>
  <si>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</si>
  <si>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</si>
  <si>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</si>
  <si>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</si>
  <si>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</si>
  <si>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</si>
  <si>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</si>
  <si>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</si>
  <si>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</si>
  <si>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</si>
  <si>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</si>
  <si>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</si>
  <si>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</si>
  <si>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</si>
  <si>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</si>
  <si>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</si>
  <si>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</si>
  <si>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</si>
  <si>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</si>
  <si>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</si>
  <si>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</si>
  <si>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</si>
  <si>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</si>
  <si>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</si>
  <si>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</si>
  <si>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</si>
  <si>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</si>
  <si>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</si>
  <si>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</si>
  <si>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</si>
  <si>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</si>
  <si>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</si>
  <si>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</si>
  <si>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</si>
  <si>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</si>
  <si>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</si>
  <si>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</si>
  <si>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</si>
  <si>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</si>
  <si>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</si>
  <si>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</si>
  <si>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</si>
  <si>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</si>
  <si>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</si>
  <si>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</si>
  <si>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</si>
  <si>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</si>
  <si>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</si>
  <si>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</si>
  <si>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</si>
  <si>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</si>
  <si>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</si>
  <si>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</si>
  <si>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</si>
  <si>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</si>
  <si>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</si>
  <si>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</si>
  <si>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</si>
  <si>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</si>
  <si>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</si>
  <si>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</si>
  <si>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</si>
  <si>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</si>
  <si>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</si>
  <si>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</si>
  <si>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</si>
  <si>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</si>
  <si>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</si>
  <si>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</si>
  <si>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</si>
  <si>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</si>
  <si>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</si>
  <si>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</si>
  <si>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</si>
  <si>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</si>
  <si>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</si>
  <si>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</si>
  <si>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</si>
  <si>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</si>
  <si>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</si>
  <si>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</si>
  <si>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</si>
  <si>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</si>
  <si>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</si>
  <si>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</si>
  <si>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</si>
  <si>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</si>
  <si>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</si>
  <si>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</si>
  <si>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</si>
  <si>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</si>
  <si>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</si>
  <si>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</si>
  <si>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</si>
  <si>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</si>
  <si>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</si>
  <si>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</si>
  <si>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</si>
  <si>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</si>
  <si>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</si>
  <si>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</si>
  <si>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</si>
  <si>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</si>
  <si>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</si>
  <si>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</si>
  <si>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</si>
  <si>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</si>
  <si>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</si>
  <si>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</si>
  <si>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</si>
  <si>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</si>
  <si>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</si>
  <si>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</si>
  <si>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</si>
  <si>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</si>
  <si>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</si>
  <si>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</si>
  <si>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</si>
  <si>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</si>
  <si>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</si>
  <si>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</si>
  <si>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</si>
  <si>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</si>
  <si>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</si>
  <si>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</si>
  <si>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</si>
  <si>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</si>
  <si>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</si>
  <si>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</si>
  <si>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</si>
  <si>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</si>
  <si>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</si>
  <si>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</si>
  <si>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</si>
  <si>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</si>
  <si>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</si>
  <si>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</si>
  <si>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</si>
  <si>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</si>
  <si>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</si>
  <si>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</si>
  <si>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</si>
  <si>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</si>
  <si>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</si>
  <si>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</si>
  <si>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</si>
  <si>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</si>
  <si>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</si>
  <si>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</si>
  <si>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</si>
  <si>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</si>
  <si>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</si>
  <si>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</si>
  <si>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</si>
  <si>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</si>
  <si>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</si>
  <si>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</si>
  <si>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</si>
  <si>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</si>
  <si>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</si>
  <si>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</si>
  <si>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</si>
  <si>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</si>
  <si>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</si>
  <si>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</si>
  <si>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</si>
  <si>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</si>
  <si>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</si>
  <si>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</si>
  <si>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</si>
  <si>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</si>
  <si>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</si>
  <si>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</si>
  <si>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</si>
  <si>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</si>
  <si>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</si>
  <si>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</si>
  <si>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</si>
  <si>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</si>
  <si>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</si>
  <si>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</si>
  <si>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</si>
  <si>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</si>
  <si>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</si>
  <si>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</si>
  <si>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</si>
  <si>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</si>
  <si>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</si>
  <si>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</si>
  <si>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</si>
  <si>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</si>
  <si>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</si>
  <si>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</si>
  <si>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</si>
  <si>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</si>
  <si>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</si>
  <si>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</si>
  <si>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</si>
  <si>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</si>
  <si>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</si>
  <si>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</si>
  <si>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</si>
  <si>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</si>
  <si>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</si>
  <si>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</si>
  <si>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</si>
  <si>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</si>
  <si>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</si>
  <si>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</si>
  <si>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</si>
  <si>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</si>
  <si>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</si>
  <si>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</si>
  <si>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</si>
  <si>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</si>
  <si>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</si>
  <si>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</si>
  <si>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</si>
  <si>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</si>
  <si>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</si>
  <si>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</si>
  <si>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</si>
  <si>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</si>
  <si>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</si>
  <si>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</si>
  <si>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</si>
  <si>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</si>
  <si>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</si>
  <si>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</si>
  <si>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</si>
  <si>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</si>
  <si>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</si>
  <si>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</si>
  <si>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</si>
  <si>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</si>
  <si>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</si>
  <si>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</si>
  <si>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</si>
  <si>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</si>
  <si>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</si>
  <si>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</si>
  <si>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</si>
  <si>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</si>
  <si>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</si>
  <si>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</si>
  <si>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</si>
  <si>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</si>
  <si>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</si>
  <si>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</si>
  <si>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</si>
  <si>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</si>
  <si>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</si>
  <si>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</si>
  <si>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</si>
  <si>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</si>
  <si>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</si>
  <si>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</si>
  <si>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</si>
  <si>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</si>
  <si>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</si>
  <si>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</si>
  <si>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</si>
  <si>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</si>
  <si>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</si>
  <si>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</si>
  <si>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</si>
  <si>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</si>
  <si>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</si>
  <si>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</si>
  <si>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</si>
  <si>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</si>
  <si>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</si>
  <si>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</si>
  <si>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</si>
  <si>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</si>
  <si>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</si>
  <si>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</si>
  <si>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</si>
  <si>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</si>
  <si>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</si>
  <si>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</si>
  <si>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</si>
  <si>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</si>
  <si>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</si>
  <si>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</si>
  <si>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</si>
  <si>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</si>
  <si>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</si>
  <si>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</si>
  <si>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</si>
  <si>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</si>
  <si>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</si>
  <si>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</si>
  <si>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</si>
  <si>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</si>
  <si>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</si>
  <si>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</si>
  <si>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</si>
  <si>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</si>
  <si>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</si>
  <si>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</si>
  <si>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</si>
  <si>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</si>
  <si>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</si>
  <si>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</si>
  <si>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</si>
  <si>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</si>
  <si>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</si>
  <si>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</si>
  <si>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</si>
  <si>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</si>
  <si>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</si>
  <si>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</si>
  <si>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</si>
  <si>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</si>
  <si>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</si>
  <si>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</si>
  <si>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</si>
  <si>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</si>
  <si>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</si>
  <si>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</si>
  <si>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</si>
  <si>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</si>
  <si>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</si>
  <si>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</si>
  <si>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</si>
  <si>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</si>
  <si>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</si>
  <si>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</si>
  <si>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</si>
  <si>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</si>
  <si>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</si>
  <si>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</si>
  <si>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</si>
  <si>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</si>
  <si>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</si>
  <si>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</si>
  <si>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</si>
  <si>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</si>
  <si>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</si>
  <si>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</si>
  <si>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</si>
  <si>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</si>
  <si>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</si>
  <si>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</si>
  <si>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</si>
  <si>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</si>
  <si>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</si>
  <si>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</si>
  <si>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</si>
  <si>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</si>
  <si>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</si>
  <si>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</si>
  <si>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</si>
  <si>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</si>
  <si>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</si>
  <si>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</si>
  <si>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</si>
  <si>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</si>
  <si>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</si>
  <si>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</si>
  <si>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</si>
  <si>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</si>
  <si>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</si>
  <si>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</si>
  <si>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</si>
  <si>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</si>
  <si>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</si>
  <si>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</si>
  <si>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</si>
  <si>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</si>
  <si>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</si>
  <si>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</si>
  <si>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</si>
  <si>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</si>
  <si>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</si>
  <si>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</si>
  <si>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</si>
  <si>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</si>
  <si>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</si>
  <si>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</si>
  <si>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</si>
  <si>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</si>
  <si>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</si>
  <si>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</si>
  <si>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</si>
  <si>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</si>
  <si>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</si>
  <si>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</si>
  <si>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</si>
  <si>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</si>
  <si>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</si>
  <si>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</si>
  <si>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</si>
  <si>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</si>
  <si>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</si>
  <si>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</si>
  <si>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</si>
  <si>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</si>
  <si>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</si>
  <si>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</si>
  <si>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</si>
  <si>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</si>
  <si>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</si>
  <si>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KIM THÄMMIG</t>
  </si>
  <si>
    <t>MORITZ HEIM</t>
  </si>
  <si>
    <t>ALEXANDER JAHN</t>
  </si>
  <si>
    <t>SEBASTIAN LUCK</t>
  </si>
  <si>
    <t>CURT KINDLER</t>
  </si>
  <si>
    <t>ELOI VERGÉ</t>
  </si>
  <si>
    <t>08:30</t>
  </si>
  <si>
    <t>05:39</t>
  </si>
  <si>
    <t>03:24</t>
  </si>
  <si>
    <t>09:16</t>
  </si>
  <si>
    <t>05:02</t>
  </si>
  <si>
    <t>04:11</t>
  </si>
  <si>
    <t>03:55</t>
  </si>
  <si>
    <t>07:04</t>
  </si>
  <si>
    <t>03:13</t>
  </si>
  <si>
    <t>02:03</t>
  </si>
  <si>
    <t>04:28</t>
  </si>
  <si>
    <t>01:16</t>
  </si>
  <si>
    <t>Really good 1st and 4th quarter. However, the second quarter was full of missidentities and missing/not happened which you have to be careful with.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</si>
</sst>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10_099_NIN_NIO_U2025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99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46000.791666666664</v>
      </c>
      <c r="C3" s="178"/>
      <c r="D3" s="39">
        <v>648</v>
      </c>
      <c r="E3" s="29"/>
      <c r="F3" s="26">
        <f>SUBTOTAL(3,I17:I106)</f>
        <v>13</v>
      </c>
      <c r="G3" s="27">
        <f>IF(OR(D3="",D3=0),"",F3/D3)</f>
        <v>2.0061728395061727E-2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NINERS Chemnitz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NIN</v>
      </c>
      <c r="I4" s="5"/>
      <c r="J4" s="119" t="s">
        <v>714</v>
      </c>
      <c r="K4" s="54" t="s">
        <v>742</v>
      </c>
      <c r="L4" s="5"/>
      <c r="M4" s="185" t="s">
        <v>844</v>
      </c>
      <c r="N4" s="186"/>
      <c r="O4" s="2"/>
      <c r="P4" s="2"/>
      <c r="Q4" s="84" t="s">
        <v>175</v>
      </c>
      <c r="R4" s="94">
        <f>(IF(G3="",0,G3))</f>
        <v>2.0061728395061727E-2</v>
      </c>
      <c r="S4" s="61">
        <f>SUM(I13:M13)</f>
        <v>0</v>
      </c>
      <c r="T4" s="78"/>
      <c r="U4" s="61">
        <f>AC18</f>
        <v>3</v>
      </c>
      <c r="V4" s="61">
        <f>+AC22</f>
        <v>5</v>
      </c>
      <c r="W4" s="61">
        <f>AC24</f>
        <v>1</v>
      </c>
      <c r="X4" s="61">
        <f>AC29</f>
        <v>0</v>
      </c>
      <c r="Y4" s="61">
        <f>AC25</f>
        <v>3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Panionios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2.0061728395061729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5</v>
      </c>
      <c r="W5" s="70">
        <f t="shared" si="1"/>
        <v>1</v>
      </c>
      <c r="X5" s="70">
        <f t="shared" si="1"/>
        <v>0</v>
      </c>
      <c r="Y5" s="70">
        <f t="shared" si="1"/>
        <v>6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18.006172839506174</v>
      </c>
      <c r="N7" s="58"/>
      <c r="O7" s="2"/>
      <c r="P7" s="2"/>
      <c r="Q7" s="86">
        <f>SUM(R5,S5,AC16)</f>
        <v>18.006172839506174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18.006172839506171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16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99</v>
      </c>
      <c r="D17" s="32" t="s">
        <v>832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19</v>
      </c>
      <c r="J17" s="13" t="s">
        <v>4</v>
      </c>
      <c r="K17" s="13" t="s">
        <v>63</v>
      </c>
      <c r="L17" s="13" t="s">
        <v>48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12</v>
      </c>
      <c r="Z17" s="105" t="s">
        <v>63</v>
      </c>
      <c r="AA17" s="62">
        <f>COUNTIF($K$17:$K$106,Z17)</f>
        <v>9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99</v>
      </c>
      <c r="D18" s="32" t="s">
        <v>833</v>
      </c>
      <c r="E18" s="33">
        <v>1</v>
      </c>
      <c r="F18" s="36">
        <v>9</v>
      </c>
      <c r="G18" s="36">
        <v>6</v>
      </c>
      <c r="H18" s="38" t="str">
        <f t="shared" ref="H18:H81" si="8">IF(I18="","",$I$14)</f>
        <v>SCOUTING</v>
      </c>
      <c r="I18" s="34">
        <v>51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99</v>
      </c>
      <c r="D19" s="32" t="s">
        <v>834</v>
      </c>
      <c r="E19" s="33">
        <v>1</v>
      </c>
      <c r="F19" s="36">
        <v>11</v>
      </c>
      <c r="G19" s="36">
        <v>11</v>
      </c>
      <c r="H19" s="38" t="str">
        <f t="shared" si="8"/>
        <v>SCOUTING</v>
      </c>
      <c r="I19" s="34">
        <v>91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99</v>
      </c>
      <c r="D20" s="32" t="s">
        <v>835</v>
      </c>
      <c r="E20" s="33">
        <v>2</v>
      </c>
      <c r="F20" s="36">
        <v>20</v>
      </c>
      <c r="G20" s="36">
        <v>18</v>
      </c>
      <c r="H20" s="38" t="str">
        <f t="shared" si="8"/>
        <v>SCOUTING</v>
      </c>
      <c r="I20" s="34">
        <v>157</v>
      </c>
      <c r="J20" s="13" t="s">
        <v>4</v>
      </c>
      <c r="K20" s="13" t="s">
        <v>62</v>
      </c>
      <c r="L20" s="13" t="s">
        <v>48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99</v>
      </c>
      <c r="D21" s="32" t="s">
        <v>836</v>
      </c>
      <c r="E21" s="33">
        <v>2</v>
      </c>
      <c r="F21" s="36">
        <v>28</v>
      </c>
      <c r="G21" s="36">
        <v>25</v>
      </c>
      <c r="H21" s="38" t="str">
        <f t="shared" si="8"/>
        <v>SCOUTING</v>
      </c>
      <c r="I21" s="34">
        <v>207</v>
      </c>
      <c r="J21" s="13" t="s">
        <v>4</v>
      </c>
      <c r="K21" s="13" t="s">
        <v>63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U2025</v>
      </c>
      <c r="C22" s="31">
        <f t="shared" si="3"/>
        <v>99</v>
      </c>
      <c r="D22" s="32" t="s">
        <v>836</v>
      </c>
      <c r="E22" s="33">
        <v>2</v>
      </c>
      <c r="F22" s="36">
        <v>28</v>
      </c>
      <c r="G22" s="36">
        <v>25</v>
      </c>
      <c r="H22" s="38" t="str">
        <f t="shared" si="8"/>
        <v>SCOUTING</v>
      </c>
      <c r="I22" s="34">
        <v>211</v>
      </c>
      <c r="J22" s="13" t="s">
        <v>4</v>
      </c>
      <c r="K22" s="13" t="s">
        <v>63</v>
      </c>
      <c r="L22" s="13" t="s">
        <v>6</v>
      </c>
      <c r="M22" s="13" t="s">
        <v>27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1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U2025</v>
      </c>
      <c r="C23" s="31">
        <f t="shared" si="3"/>
        <v>99</v>
      </c>
      <c r="D23" s="32" t="s">
        <v>837</v>
      </c>
      <c r="E23" s="33">
        <v>2</v>
      </c>
      <c r="F23" s="36">
        <v>28</v>
      </c>
      <c r="G23" s="36">
        <v>27</v>
      </c>
      <c r="H23" s="38" t="str">
        <f t="shared" si="8"/>
        <v>SCOUTING</v>
      </c>
      <c r="I23" s="34">
        <v>233</v>
      </c>
      <c r="J23" s="13" t="s">
        <v>3</v>
      </c>
      <c r="K23" s="13" t="s">
        <v>63</v>
      </c>
      <c r="L23" s="13" t="s">
        <v>7</v>
      </c>
      <c r="M23" s="13" t="s">
        <v>167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U2025</v>
      </c>
      <c r="C24" s="31">
        <f t="shared" si="3"/>
        <v>99</v>
      </c>
      <c r="D24" s="32" t="s">
        <v>838</v>
      </c>
      <c r="E24" s="33">
        <v>2</v>
      </c>
      <c r="F24" s="36">
        <v>30</v>
      </c>
      <c r="G24" s="36">
        <v>27</v>
      </c>
      <c r="H24" s="38" t="str">
        <f t="shared" si="8"/>
        <v>SCOUTING</v>
      </c>
      <c r="I24" s="34">
        <v>238</v>
      </c>
      <c r="J24" s="13" t="s">
        <v>4</v>
      </c>
      <c r="K24" s="13" t="s">
        <v>62</v>
      </c>
      <c r="L24" s="13" t="s">
        <v>47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U2025</v>
      </c>
      <c r="C25" s="31">
        <f t="shared" si="3"/>
        <v>99</v>
      </c>
      <c r="D25" s="32" t="s">
        <v>839</v>
      </c>
      <c r="E25" s="33">
        <v>3</v>
      </c>
      <c r="F25" s="36">
        <v>44</v>
      </c>
      <c r="G25" s="36">
        <v>50</v>
      </c>
      <c r="H25" s="38" t="str">
        <f t="shared" si="8"/>
        <v>SCOUTING</v>
      </c>
      <c r="I25" s="34">
        <v>358</v>
      </c>
      <c r="J25" s="13" t="s">
        <v>4</v>
      </c>
      <c r="K25" s="13" t="s">
        <v>63</v>
      </c>
      <c r="L25" s="13" t="s">
        <v>6</v>
      </c>
      <c r="M25" s="13" t="s">
        <v>28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3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>U2025</v>
      </c>
      <c r="C26" s="31">
        <f t="shared" si="3"/>
        <v>99</v>
      </c>
      <c r="D26" s="32" t="s">
        <v>840</v>
      </c>
      <c r="E26" s="33">
        <v>3</v>
      </c>
      <c r="F26" s="36">
        <v>46</v>
      </c>
      <c r="G26" s="36">
        <v>56</v>
      </c>
      <c r="H26" s="38" t="str">
        <f t="shared" si="8"/>
        <v>SCOUTING</v>
      </c>
      <c r="I26" s="34">
        <v>434</v>
      </c>
      <c r="J26" s="13" t="s">
        <v>4</v>
      </c>
      <c r="K26" s="13" t="s">
        <v>62</v>
      </c>
      <c r="L26" s="13" t="s">
        <v>48</v>
      </c>
      <c r="M26" s="13" t="s">
        <v>26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>U2025</v>
      </c>
      <c r="C27" s="31">
        <f t="shared" si="3"/>
        <v>99</v>
      </c>
      <c r="D27" s="32" t="s">
        <v>841</v>
      </c>
      <c r="E27" s="33">
        <v>3</v>
      </c>
      <c r="F27" s="36">
        <v>47</v>
      </c>
      <c r="G27" s="36">
        <v>60</v>
      </c>
      <c r="H27" s="38" t="str">
        <f t="shared" si="8"/>
        <v>SCOUTING</v>
      </c>
      <c r="I27" s="34">
        <v>451</v>
      </c>
      <c r="J27" s="13" t="s">
        <v>4</v>
      </c>
      <c r="K27" s="13" t="s">
        <v>63</v>
      </c>
      <c r="L27" s="13" t="s">
        <v>6</v>
      </c>
      <c r="M27" s="13" t="s">
        <v>10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>U2025</v>
      </c>
      <c r="C28" s="31">
        <f t="shared" si="3"/>
        <v>99</v>
      </c>
      <c r="D28" s="32" t="s">
        <v>842</v>
      </c>
      <c r="E28" s="33">
        <v>4</v>
      </c>
      <c r="F28" s="36">
        <v>63</v>
      </c>
      <c r="G28" s="36">
        <v>66</v>
      </c>
      <c r="H28" s="38" t="str">
        <f t="shared" si="8"/>
        <v>SCOUTING</v>
      </c>
      <c r="I28" s="34">
        <v>573</v>
      </c>
      <c r="J28" s="13" t="s">
        <v>4</v>
      </c>
      <c r="K28" s="13" t="s">
        <v>63</v>
      </c>
      <c r="L28" s="13" t="s">
        <v>6</v>
      </c>
      <c r="M28" s="13" t="s">
        <v>12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>U2025</v>
      </c>
      <c r="C29" s="31">
        <f t="shared" si="3"/>
        <v>99</v>
      </c>
      <c r="D29" s="32" t="s">
        <v>843</v>
      </c>
      <c r="E29" s="33">
        <v>4</v>
      </c>
      <c r="F29" s="36">
        <v>71</v>
      </c>
      <c r="G29" s="36">
        <v>68</v>
      </c>
      <c r="H29" s="38" t="str">
        <f t="shared" si="8"/>
        <v>SCOUTING</v>
      </c>
      <c r="I29" s="34">
        <v>626</v>
      </c>
      <c r="J29" s="13" t="s">
        <v>4</v>
      </c>
      <c r="K29" s="13" t="s">
        <v>62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2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2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REPORT_U2025099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"U2025099"</v>
      </c>
      <c r="F3" s="45" t="str">
        <f t="shared" ref="F3:F16" si="0">""""&amp;B3&amp;"""" &amp; " : " &amp;C3&amp;","</f>
        <v>"name" : "U2025099",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"U099"</v>
      </c>
      <c r="F4" s="45" t="str">
        <f t="shared" si="0"/>
        <v>"cod" : "U099",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099</v>
      </c>
      <c r="F6" s="45" t="str">
        <f t="shared" si="0"/>
        <v>"number" : 099,</v>
      </c>
    </row>
    <row r="7" spans="2:6" x14ac:dyDescent="0.2">
      <c r="B7" s="43" t="s">
        <v>116</v>
      </c>
      <c r="C7" s="43" t="str">
        <f ca="1">""""&amp;TEXT('SCOUT &amp; LOGISTICS'!B3,"dd/mm/aaaa")&amp;""""</f>
        <v>"09/12/Tuesday"</v>
      </c>
      <c r="F7" s="45" t="str">
        <f t="shared" ca="1" si="0"/>
        <v>"date" : "09/12/Tuesday",</v>
      </c>
    </row>
    <row r="8" spans="2:6" x14ac:dyDescent="0.2">
      <c r="B8" s="43" t="s">
        <v>125</v>
      </c>
      <c r="C8" s="43" t="str">
        <f>""""&amp;'SCOUT &amp; LOGISTICS'!D4 &amp;""""</f>
        <v>"NINERS Chemnitz"</v>
      </c>
      <c r="F8" s="45" t="str">
        <f t="shared" si="0"/>
        <v>"home_team" : "NINERS Chemnitz",</v>
      </c>
    </row>
    <row r="9" spans="2:6" x14ac:dyDescent="0.2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"KIM THÄMMIG"</v>
      </c>
      <c r="F10" s="45" t="str">
        <f t="shared" si="0"/>
        <v>"Data_entry" : "KIM THÄMMIG",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"MORITZ HEIM"</v>
      </c>
      <c r="F11" s="45" t="str">
        <f t="shared" si="0"/>
        <v>"Caller_1" : "MORITZ HEIM",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"ALEXANDER JAHN"</v>
      </c>
      <c r="F12" s="45" t="str">
        <f t="shared" si="0"/>
        <v>"Caller_2" : "ALEXANDER JAHN",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"SEBASTIAN LUCK"</v>
      </c>
      <c r="F13" s="45" t="str">
        <f t="shared" si="0"/>
        <v>"Timerkeeper" : "SEBASTIAN LUCK",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"CURT KINDLER"</v>
      </c>
      <c r="F14" s="45" t="str">
        <f t="shared" si="0"/>
        <v>"Shotclock" : "CURT KINDLER",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648</v>
      </c>
      <c r="F25" s="45" t="str">
        <f t="shared" ref="F25:F48" si="1">""""&amp;C25&amp;"""" &amp; " : " &amp;D25&amp;","</f>
        <v>"total_actions" : 648,</v>
      </c>
    </row>
    <row r="26" spans="2:6" x14ac:dyDescent="0.2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">
      <c r="C27" s="43" t="s">
        <v>133</v>
      </c>
      <c r="D27" s="43" t="str">
        <f>""""&amp;IF(OR(D25="",D25=0),"",TEXT(D26/D25,"0,0%"))&amp;""""</f>
        <v>"2,0%"</v>
      </c>
      <c r="F27" s="45" t="str">
        <f t="shared" si="1"/>
        <v>"%_corrections" : "2,0%",</v>
      </c>
    </row>
    <row r="28" spans="2:6" x14ac:dyDescent="0.2">
      <c r="C28" s="43" t="s">
        <v>125</v>
      </c>
      <c r="D28" s="43">
        <f>IF('SCOUT &amp; LOGISTICS'!AA17="","",'SCOUT &amp; LOGISTICS'!AA17)</f>
        <v>9</v>
      </c>
      <c r="F28" s="45" t="str">
        <f t="shared" si="1"/>
        <v>"home_team" : 9,</v>
      </c>
    </row>
    <row r="29" spans="2:6" x14ac:dyDescent="0.2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"Really good 1st and 4th quarter. However, the second quarter was full of missidentities and missing/not happened which you have to be careful with. Keep it up!"</v>
      </c>
      <c r="F51" s="45" t="str">
        <f>""""&amp;B51&amp;"""" &amp; " : " &amp;C51&amp;","</f>
        <v>"comments" : "Really good 1st and 4th quarter. However, the second quarter was full of missidentities and missing/not happened which you have to be careful with. Keep it up!",</v>
      </c>
    </row>
    <row r="52" spans="2:6" x14ac:dyDescent="0.2">
      <c r="B52" s="43" t="s">
        <v>153</v>
      </c>
      <c r="C52" s="43" t="str">
        <f>TEXT('SCOUT &amp; LOGISTICS'!F1,"0,0")</f>
        <v>10_099_NIN_NIO_U2025</v>
      </c>
      <c r="F52" s="45" t="str">
        <f>""""&amp;B52&amp;"""" &amp; " : " &amp;C52</f>
        <v>"result" : 10_099_NIN_NIO_U2025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U099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Niners Chemnitz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Panionios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KIM THÄMMIG</v>
      </c>
      <c r="C8" s="201"/>
      <c r="D8" s="201"/>
      <c r="E8" s="201"/>
      <c r="F8" s="201"/>
      <c r="G8" s="201" t="str">
        <f>IF('SCOUT &amp; LOGISTICS'!D7="","",'SCOUT &amp; LOGISTICS'!D7)</f>
        <v>MORITZ HEIM</v>
      </c>
      <c r="H8" s="201"/>
      <c r="I8" s="201"/>
      <c r="J8" s="201"/>
      <c r="K8" s="201"/>
      <c r="L8" s="201" t="str">
        <f>IF('SCOUT &amp; LOGISTICS'!D8="","",'SCOUT &amp; LOGISTICS'!D8)</f>
        <v>ALEXANDER JAHN</v>
      </c>
      <c r="M8" s="201"/>
      <c r="N8" s="201"/>
      <c r="O8" s="201"/>
      <c r="P8" s="201"/>
      <c r="Q8" s="201" t="str">
        <f>IF('SCOUT &amp; LOGISTICS'!D9="","",'SCOUT &amp; LOGISTICS'!D9)</f>
        <v>SEBASTIAN LUCK</v>
      </c>
      <c r="R8" s="201"/>
      <c r="S8" s="201"/>
      <c r="T8" s="201"/>
      <c r="U8" s="201"/>
      <c r="V8" s="201" t="str">
        <f>IF('SCOUT &amp; LOGISTICS'!D10="","",'SCOUT &amp; LOGISTICS'!D10)</f>
        <v>CURT KINDLER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648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2.0061728395061727E-2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9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3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5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3</v>
      </c>
      <c r="C29" s="199"/>
      <c r="D29" s="199"/>
      <c r="E29" s="199"/>
      <c r="F29" s="199"/>
      <c r="G29" s="199">
        <f>'SCOUT &amp; LOGISTICS'!AC24</f>
        <v>1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Really good 1st and 4th quarter. However, the second quarter was full of missidentities and missing/not happened which you have to be careful with.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18.006172839506174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A6C449C-DACF-4CBF-98E0-687EDDD5CA1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2025-12-10T16:18:52Z</cp:lastPrinted>
  <dcterms:created xsi:type="dcterms:W3CDTF">2023-09-19T19:50:35Z</dcterms:created>
  <dcterms:modified xsi:type="dcterms:W3CDTF">2025-12-11T17:36:44Z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