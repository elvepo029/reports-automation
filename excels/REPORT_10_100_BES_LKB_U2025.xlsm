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32" documentId="8_{DFB454C1-01F7-4CAD-8688-270367FD514A}" xr6:coauthVersionLast="47" xr6:coauthVersionMax="47" xr10:uidLastSave="{5C297DC7-1F7E-46C7-88C6-84394BE9A87B}"/>
  <bookViews>
    <workbookView xWindow="-5145" yWindow="-15120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<sst xmlns="http://schemas.openxmlformats.org/spreadsheetml/2006/main" count="3337" uniqueCount="834">
  <si>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</si>
  <si>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</si>
  <si>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</si>
  <si>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</si>
  <si>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</si>
  <si>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</si>
  <si>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</si>
  <si>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</si>
  <si>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</si>
  <si>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</si>
  <si>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</si>
  <si>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</si>
  <si>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</si>
  <si>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</si>
  <si>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</si>
  <si>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</si>
  <si>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</si>
  <si>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</si>
  <si>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</si>
  <si>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</si>
  <si>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</si>
  <si>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</si>
  <si>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</si>
  <si>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</si>
  <si>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</si>
  <si>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</si>
  <si>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</si>
  <si>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</si>
  <si>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</si>
  <si>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</si>
  <si>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</si>
  <si>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</si>
  <si>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</si>
  <si>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</si>
  <si>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</si>
  <si>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</si>
  <si>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</si>
  <si>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</si>
  <si>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</si>
  <si>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</si>
  <si>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</si>
  <si>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</si>
  <si>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</si>
  <si>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</si>
  <si>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</si>
  <si>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</si>
  <si>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</si>
  <si>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</si>
  <si>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</si>
  <si>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</si>
  <si>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</si>
  <si>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</si>
  <si>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</si>
  <si>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</si>
  <si>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</si>
  <si>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</si>
  <si>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</si>
  <si>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</si>
  <si>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</si>
  <si>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</si>
  <si>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</si>
  <si>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</si>
  <si>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</si>
  <si>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</si>
  <si>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</si>
  <si>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</si>
  <si>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</si>
  <si>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</si>
  <si>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</si>
  <si>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</si>
  <si>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</si>
  <si>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</si>
  <si>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</si>
  <si>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</si>
  <si>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</si>
  <si>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</si>
  <si>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</si>
  <si>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</si>
  <si>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</si>
  <si>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</si>
  <si>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</si>
  <si>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</si>
  <si>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</si>
  <si>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</si>
  <si>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</si>
  <si>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</si>
  <si>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</si>
  <si>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</si>
  <si>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</si>
  <si>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</si>
  <si>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</si>
  <si>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</si>
  <si>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</si>
  <si>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</si>
  <si>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</si>
  <si>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</si>
  <si>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</si>
  <si>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</si>
  <si>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</si>
  <si>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</si>
  <si>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</si>
  <si>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</si>
  <si>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</si>
  <si>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</si>
  <si>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</si>
  <si>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</si>
  <si>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</si>
  <si>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</si>
  <si>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</si>
  <si>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</si>
  <si>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</si>
  <si>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</si>
  <si>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</si>
  <si>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</si>
  <si>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</si>
  <si>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</si>
  <si>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</si>
  <si>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</si>
  <si>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</si>
  <si>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</si>
  <si>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</si>
  <si>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</si>
  <si>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</si>
  <si>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</si>
  <si>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</si>
  <si>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</si>
  <si>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</si>
  <si>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</si>
  <si>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</si>
  <si>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</si>
  <si>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</si>
  <si>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</si>
  <si>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</si>
  <si>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</si>
  <si>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</si>
  <si>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</si>
  <si>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</si>
  <si>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</si>
  <si>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</si>
  <si>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</si>
  <si>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</si>
  <si>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</si>
  <si>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</si>
  <si>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</si>
  <si>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</si>
  <si>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</si>
  <si>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</si>
  <si>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</si>
  <si>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</si>
  <si>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</si>
  <si>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</si>
  <si>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</si>
  <si>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</si>
  <si>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</si>
  <si>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</si>
  <si>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</si>
  <si>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</si>
  <si>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</si>
  <si>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</si>
  <si>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</si>
  <si>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</si>
  <si>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</si>
  <si>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</si>
  <si>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</si>
  <si>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</si>
  <si>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</si>
  <si>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</si>
  <si>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</si>
  <si>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</si>
  <si>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</si>
  <si>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</si>
  <si>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</si>
  <si>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</si>
  <si>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</si>
  <si>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</si>
  <si>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</si>
  <si>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</si>
  <si>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</si>
  <si>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</si>
  <si>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</si>
  <si>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</si>
  <si>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</si>
  <si>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</si>
  <si>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</si>
  <si>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</si>
  <si>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</si>
  <si>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</si>
  <si>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</si>
  <si>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</si>
  <si>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</si>
  <si>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</si>
  <si>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</si>
  <si>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</si>
  <si>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</si>
  <si>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</si>
  <si>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</si>
  <si>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</si>
  <si>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</si>
  <si>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</si>
  <si>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</si>
  <si>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</si>
  <si>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</si>
  <si>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</si>
  <si>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</si>
  <si>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</si>
  <si>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</si>
  <si>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</si>
  <si>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</si>
  <si>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</si>
  <si>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</si>
  <si>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</si>
  <si>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</si>
  <si>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</si>
  <si>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</si>
  <si>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</si>
  <si>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</si>
  <si>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</si>
  <si>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</si>
  <si>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</si>
  <si>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</si>
  <si>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</si>
  <si>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</si>
  <si>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</si>
  <si>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</si>
  <si>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</si>
  <si>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</si>
  <si>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</si>
  <si>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</si>
  <si>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</si>
  <si>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</si>
  <si>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</si>
  <si>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</si>
  <si>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</si>
  <si>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</si>
  <si>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</si>
  <si>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</si>
  <si>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</si>
  <si>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</si>
  <si>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</si>
  <si>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</si>
  <si>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</si>
  <si>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</si>
  <si>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</si>
  <si>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</si>
  <si>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</si>
  <si>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</si>
  <si>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</si>
  <si>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</si>
  <si>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</si>
  <si>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</si>
  <si>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</si>
  <si>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</si>
  <si>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</si>
  <si>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</si>
  <si>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</si>
  <si>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</si>
  <si>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</si>
  <si>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</si>
  <si>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</si>
  <si>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</si>
  <si>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</si>
  <si>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</si>
  <si>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</si>
  <si>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</si>
  <si>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</si>
  <si>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</si>
  <si>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</si>
  <si>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</si>
  <si>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</si>
  <si>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</si>
  <si>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</si>
  <si>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</si>
  <si>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</si>
  <si>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</si>
  <si>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</si>
  <si>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</si>
  <si>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</si>
  <si>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</si>
  <si>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</si>
  <si>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</si>
  <si>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</si>
  <si>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</si>
  <si>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</si>
  <si>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</si>
  <si>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</si>
  <si>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</si>
  <si>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</si>
  <si>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</si>
  <si>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</si>
  <si>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</si>
  <si>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</si>
  <si>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</si>
  <si>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</si>
  <si>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</si>
  <si>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</si>
  <si>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</si>
  <si>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</si>
  <si>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</si>
  <si>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</si>
  <si>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</si>
  <si>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</si>
  <si>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</si>
  <si>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</si>
  <si>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</si>
  <si>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</si>
  <si>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</si>
  <si>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</si>
  <si>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</si>
  <si>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</si>
  <si>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</si>
  <si>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</si>
  <si>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</si>
  <si>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</si>
  <si>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</si>
  <si>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</si>
  <si>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</si>
  <si>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</si>
  <si>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</si>
  <si>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</si>
  <si>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</si>
  <si>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</si>
  <si>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</si>
  <si>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</si>
  <si>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</si>
  <si>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</si>
  <si>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</si>
  <si>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</si>
  <si>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</si>
  <si>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</si>
  <si>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</si>
  <si>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</si>
  <si>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</si>
  <si>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</si>
  <si>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</si>
  <si>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</si>
  <si>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</si>
  <si>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</si>
  <si>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</si>
  <si>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</si>
  <si>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</si>
  <si>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</si>
  <si>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</si>
  <si>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</si>
  <si>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</si>
  <si>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</si>
  <si>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</si>
  <si>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</si>
  <si>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</si>
  <si>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</si>
  <si>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</si>
  <si>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</si>
  <si>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</si>
  <si>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</si>
  <si>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</si>
  <si>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</si>
  <si>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</si>
  <si>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</si>
  <si>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</si>
  <si>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</si>
  <si>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</si>
  <si>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</si>
  <si>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</si>
  <si>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</si>
  <si>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</si>
  <si>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</si>
  <si>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</si>
  <si>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</si>
  <si>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</si>
  <si>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</si>
  <si>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</si>
  <si>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</si>
  <si>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</si>
  <si>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</si>
  <si>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</si>
  <si>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</si>
  <si>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</si>
  <si>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</si>
  <si>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</si>
  <si>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</si>
  <si>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</si>
  <si>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</si>
  <si>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</si>
  <si>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</si>
  <si>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</si>
  <si>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</si>
  <si>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</si>
  <si>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</si>
  <si>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</si>
  <si>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</si>
  <si>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</si>
  <si>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</si>
  <si>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</si>
  <si>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</si>
  <si>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</si>
  <si>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</si>
  <si>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</si>
  <si>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</si>
  <si>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</si>
  <si>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</si>
  <si>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</si>
  <si>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</si>
  <si>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</si>
  <si>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</si>
  <si>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</si>
  <si>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</si>
  <si>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</si>
  <si>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</si>
  <si>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</si>
  <si>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</si>
  <si>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</si>
  <si>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</si>
  <si>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</si>
  <si>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</si>
  <si>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</si>
  <si>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</si>
  <si>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</si>
  <si>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</si>
  <si>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</si>
  <si>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</si>
  <si>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</si>
  <si>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</si>
  <si>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</si>
  <si>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</si>
  <si>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</si>
  <si>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</si>
  <si>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</si>
  <si>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</si>
  <si>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</si>
  <si>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</si>
  <si>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</si>
  <si>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</si>
  <si>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</si>
  <si>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</si>
  <si>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</si>
  <si>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</si>
  <si>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</si>
  <si>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</si>
  <si>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</si>
  <si>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</si>
  <si>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</si>
  <si>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</si>
  <si>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</si>
  <si>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</si>
  <si>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</si>
  <si>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</si>
  <si>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</si>
  <si>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</si>
  <si>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</si>
  <si>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</si>
  <si>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</si>
  <si>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</si>
  <si>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</si>
  <si>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</si>
  <si>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</si>
  <si>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</si>
  <si>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</si>
  <si>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</si>
  <si>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</si>
  <si>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</si>
  <si>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</si>
  <si>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</si>
  <si>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</si>
  <si>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</si>
  <si>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</si>
  <si>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</si>
  <si>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</si>
  <si>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</si>
  <si>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</si>
  <si>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</si>
  <si>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</si>
  <si>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</si>
  <si>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</si>
  <si>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</si>
  <si>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</si>
  <si>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</si>
  <si>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</si>
  <si>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</si>
  <si>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</si>
  <si>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</si>
  <si>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</si>
  <si>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</si>
  <si>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</si>
  <si>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</si>
  <si>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</si>
  <si>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</si>
  <si>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</si>
  <si>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</si>
  <si>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</si>
  <si>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</si>
  <si>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</si>
  <si>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</si>
  <si>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</si>
  <si>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</si>
  <si>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</si>
  <si>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</si>
  <si>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</si>
  <si>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</si>
  <si>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</si>
  <si>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</si>
  <si>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</si>
  <si>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</si>
  <si>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</si>
  <si>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</si>
  <si>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</si>
  <si>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</si>
  <si>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</si>
  <si>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</si>
  <si>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</si>
  <si>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</si>
  <si>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</si>
  <si>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</si>
  <si>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</si>
  <si>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</si>
  <si>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</si>
  <si>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</si>
  <si>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</si>
  <si>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</si>
  <si>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</si>
  <si>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</si>
  <si>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</si>
  <si>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</si>
  <si>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</si>
  <si>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</si>
  <si>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</si>
  <si>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</si>
  <si>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</si>
  <si>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</si>
  <si>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</si>
  <si>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</si>
  <si>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</si>
  <si>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</si>
  <si>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</si>
  <si>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</si>
  <si>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</si>
  <si>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</si>
  <si>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</si>
  <si>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</si>
  <si>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</si>
  <si>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</si>
  <si>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</si>
  <si>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</si>
  <si>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</si>
  <si>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</si>
  <si>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</si>
  <si>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</si>
  <si>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</si>
  <si>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</si>
  <si>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</si>
  <si>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</si>
  <si>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</si>
  <si>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</si>
  <si>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</si>
  <si>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</si>
  <si>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</si>
  <si>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</si>
  <si>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</si>
  <si>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</si>
  <si>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</si>
  <si>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</si>
  <si>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</si>
  <si>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</si>
  <si>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</si>
  <si>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</si>
  <si>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</si>
  <si>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</si>
  <si>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</si>
  <si>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</si>
  <si>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</si>
  <si>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</si>
  <si>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</si>
  <si>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</si>
  <si>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</si>
  <si>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</si>
  <si>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</si>
  <si>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</si>
  <si>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</si>
  <si>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</si>
  <si>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</si>
  <si>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</si>
  <si>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</si>
  <si>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</si>
  <si>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</si>
  <si>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</si>
  <si>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</si>
  <si>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</si>
  <si>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</si>
  <si>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</si>
  <si>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</si>
  <si>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</si>
  <si>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</si>
  <si>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</si>
  <si>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</si>
  <si>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</si>
  <si>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</si>
  <si>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</si>
  <si>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</si>
  <si>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</si>
  <si>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</si>
  <si>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</si>
  <si>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</si>
  <si>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</si>
  <si>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</si>
  <si>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</si>
  <si>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</si>
  <si>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</si>
  <si>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</si>
  <si>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</si>
  <si>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</si>
  <si>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</si>
  <si>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</si>
  <si>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</si>
  <si>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</si>
  <si>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</si>
  <si>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</si>
  <si>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</si>
  <si>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</si>
  <si>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</si>
  <si>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</si>
  <si>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</si>
  <si>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</si>
  <si>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</si>
  <si>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</si>
  <si>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</si>
  <si>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</si>
  <si>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</si>
  <si>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</si>
  <si>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</si>
  <si>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</si>
  <si>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</si>
  <si>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</si>
  <si>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</si>
  <si>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</si>
  <si>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</si>
  <si>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</si>
  <si>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</si>
  <si>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</si>
  <si>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</si>
  <si>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</si>
  <si>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</si>
  <si>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</si>
  <si>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</si>
  <si>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</si>
  <si>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</si>
  <si>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</si>
  <si>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</si>
  <si>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</si>
  <si>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</si>
  <si>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</si>
  <si>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</si>
  <si>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</si>
  <si>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</si>
  <si>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</si>
  <si>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</si>
  <si>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</si>
  <si>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</si>
  <si>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</si>
  <si>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</si>
  <si>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</si>
  <si>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</si>
  <si>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</si>
  <si>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</si>
  <si>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</si>
  <si>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</si>
  <si>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</si>
  <si>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</si>
  <si>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</si>
  <si>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</si>
  <si>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</si>
  <si>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</si>
  <si>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</si>
  <si>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</si>
  <si>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</si>
  <si>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</si>
  <si>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</si>
  <si>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</si>
  <si>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</si>
  <si>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</si>
  <si>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</si>
  <si>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</si>
  <si>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</si>
  <si>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</si>
  <si>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</si>
  <si>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</si>
  <si>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</si>
  <si>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</si>
  <si>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</si>
  <si>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</si>
  <si>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</si>
  <si>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</si>
  <si>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</si>
  <si>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</si>
  <si>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</si>
  <si>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</si>
  <si>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</si>
  <si>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</si>
  <si>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</si>
  <si>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</si>
  <si>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</si>
  <si>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</si>
  <si>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</si>
  <si>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</si>
  <si>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</si>
  <si>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</si>
  <si>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</si>
  <si>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</si>
  <si>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</si>
  <si>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</si>
  <si>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</si>
  <si>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</si>
  <si>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</si>
  <si>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</si>
  <si>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</si>
  <si>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</si>
  <si>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</si>
  <si>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</si>
  <si>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</si>
  <si>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</si>
  <si>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</si>
  <si>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</si>
  <si>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</si>
  <si>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</si>
  <si>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</si>
  <si>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</si>
  <si>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</si>
  <si>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</si>
  <si>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</si>
  <si>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</si>
  <si>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</si>
  <si>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</si>
  <si>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</si>
  <si>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</si>
  <si>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</si>
  <si>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</si>
  <si>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</si>
  <si>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</si>
  <si>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</si>
  <si>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</si>
  <si>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</si>
  <si>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</si>
  <si>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</si>
  <si>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</si>
  <si>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</si>
  <si>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</si>
  <si>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</si>
  <si>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</si>
  <si>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</si>
  <si>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</si>
  <si>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</si>
  <si>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</si>
  <si>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</si>
  <si>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</si>
  <si>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</si>
  <si>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</si>
  <si>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</si>
  <si>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</si>
  <si>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</si>
  <si>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</si>
  <si>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</si>
  <si>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</si>
  <si>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</si>
  <si>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</si>
  <si>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</si>
  <si>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</si>
  <si>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</si>
  <si>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</si>
  <si>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</si>
  <si>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</si>
  <si>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</si>
  <si>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</si>
  <si>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</si>
  <si>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</si>
  <si>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</si>
  <si>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</si>
  <si>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</si>
  <si>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</si>
  <si>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</si>
  <si>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</si>
  <si>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</si>
  <si>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</si>
  <si>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</si>
  <si>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</si>
  <si>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</si>
  <si>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</si>
  <si>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</si>
  <si>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</si>
  <si>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</si>
  <si>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</si>
  <si>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</si>
  <si>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</si>
  <si>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</si>
  <si>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</si>
  <si>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</si>
  <si>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</si>
  <si>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</si>
  <si>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</si>
  <si>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</si>
  <si>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</si>
  <si>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</si>
  <si>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</si>
  <si>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</si>
  <si>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</si>
  <si>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</si>
  <si>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</si>
  <si>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</si>
  <si>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</si>
  <si>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</si>
  <si>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</si>
  <si>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</si>
  <si>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</si>
  <si>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</si>
  <si>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</si>
  <si>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</si>
  <si>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</si>
  <si>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</si>
  <si>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</si>
  <si>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</si>
  <si>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</si>
  <si>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</si>
  <si>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</si>
  <si>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</si>
  <si>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</si>
  <si>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</si>
  <si>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</si>
  <si>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</si>
  <si>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</si>
  <si>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SERTAC DORSEL</t>
  </si>
  <si>
    <t>AHMET GEZINTI</t>
  </si>
  <si>
    <t>ZAFER RIFAI</t>
  </si>
  <si>
    <t>GORKEM GORGULU</t>
  </si>
  <si>
    <t>HECTOR GUILLEN</t>
  </si>
  <si>
    <t>C:\Users\hector.guillen\EUROLEAGUE\EB STATS - Documents\General\SEASON 2025-26\Reports\Eurocup</t>
  </si>
  <si>
    <t>C:\Users\hector.guillen\EUROLEAGUE\EB STATS - Documents\General\SEASON 2025-26\Reports\Eurocup\PDF</t>
  </si>
  <si>
    <t>1:54</t>
  </si>
  <si>
    <t>Perfect game. Keep it up!!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</si>
</sst>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10_100_BES_LKB_U2025</v>
      </c>
      <c r="G1" s="5"/>
      <c r="H1" s="5"/>
      <c r="I1" s="5"/>
      <c r="J1" s="8" t="s">
        <v>707</v>
      </c>
      <c r="K1" s="121" t="s">
        <v>830</v>
      </c>
      <c r="L1" s="121"/>
      <c r="M1" s="122" t="s">
        <v>239</v>
      </c>
      <c r="N1" s="121" t="s">
        <v>831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100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46000.833333333336</v>
      </c>
      <c r="C3" s="157"/>
      <c r="D3" s="39">
        <v>721</v>
      </c>
      <c r="E3" s="29"/>
      <c r="F3" s="26">
        <f>SUBTOTAL(3,I17:I106)</f>
        <v>1</v>
      </c>
      <c r="G3" s="27">
        <f>IF(OR(D3="",D3=0),"",F3/D3)</f>
        <v>1.3869625520110957E-3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Besiktas GAIN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BES</v>
      </c>
      <c r="I4" s="5"/>
      <c r="J4" s="119" t="s">
        <v>714</v>
      </c>
      <c r="K4" s="54" t="s">
        <v>742</v>
      </c>
      <c r="L4" s="5"/>
      <c r="M4" s="167" t="s">
        <v>833</v>
      </c>
      <c r="N4" s="168"/>
      <c r="O4" s="2"/>
      <c r="P4" s="2"/>
      <c r="Q4" s="84" t="s">
        <v>175</v>
      </c>
      <c r="R4" s="94">
        <f>(IF(G3="",0,G3))</f>
        <v>1.3869625520110957E-3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Lietkabelis Panevezys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LKB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0.13869625520110956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825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1.1386962552011095</v>
      </c>
      <c r="N7" s="58"/>
      <c r="O7" s="2"/>
      <c r="P7" s="2"/>
      <c r="Q7" s="86">
        <f>SUM(R5,S5,AC16)</f>
        <v>1.1386962552011095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826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1.1386962552011095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827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828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100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829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100</v>
      </c>
      <c r="D17" s="32" t="s">
        <v>832</v>
      </c>
      <c r="E17" s="33">
        <v>4</v>
      </c>
      <c r="F17" s="36">
        <v>87</v>
      </c>
      <c r="G17" s="36">
        <v>80</v>
      </c>
      <c r="H17" s="38" t="str">
        <f>IF(I17="","",$I$14)</f>
        <v>SCOUTING</v>
      </c>
      <c r="I17" s="34">
        <v>698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ColWidth="8.7109375"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ColWidth="8.7109375"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REPORT_U2025100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"U2025100"</v>
      </c>
      <c r="F3" s="45" t="str">
        <f t="shared" ref="F3:F16" si="0">""""&amp;B3&amp;"""" &amp; " : " &amp;C3&amp;","</f>
        <v>"name" : "U2025100",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"U100"</v>
      </c>
      <c r="F4" s="45" t="str">
        <f t="shared" si="0"/>
        <v>"cod" : "U100",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100</v>
      </c>
      <c r="F6" s="45" t="str">
        <f t="shared" si="0"/>
        <v>"number" : 100,</v>
      </c>
    </row>
    <row r="7" spans="2:6" x14ac:dyDescent="0.2">
      <c r="B7" s="43" t="s">
        <v>116</v>
      </c>
      <c r="C7" s="43" t="str">
        <f ca="1">""""&amp;TEXT('SCOUT &amp; LOGISTICS'!B3,"dd/mm/aaaa")&amp;""""</f>
        <v>"09/12/Tuesday"</v>
      </c>
      <c r="F7" s="45" t="str">
        <f t="shared" ca="1" si="0"/>
        <v>"date" : "09/12/Tuesday",</v>
      </c>
    </row>
    <row r="8" spans="2:6" x14ac:dyDescent="0.2">
      <c r="B8" s="43" t="s">
        <v>125</v>
      </c>
      <c r="C8" s="43" t="str">
        <f>""""&amp;'SCOUT &amp; LOGISTICS'!D4 &amp;""""</f>
        <v>"Besiktas GAIN Istanbul"</v>
      </c>
      <c r="F8" s="45" t="str">
        <f t="shared" si="0"/>
        <v>"home_team" : "Besiktas GAIN Istanbul",</v>
      </c>
    </row>
    <row r="9" spans="2:6" x14ac:dyDescent="0.2">
      <c r="B9" s="43" t="s">
        <v>126</v>
      </c>
      <c r="C9" s="43" t="str">
        <f>""""&amp;'SCOUT &amp; LOGISTICS'!D5&amp;""""</f>
        <v>"Lietkabelis Panevezys"</v>
      </c>
      <c r="F9" s="45" t="str">
        <f t="shared" si="0"/>
        <v>"away_team" : "Lietkabelis Panevezys",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"SERTAC DORSEL"</v>
      </c>
      <c r="F11" s="45" t="str">
        <f t="shared" si="0"/>
        <v>"Caller_1" : "SERTAC DORSEL",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"AHMET GEZINTI"</v>
      </c>
      <c r="F12" s="45" t="str">
        <f t="shared" si="0"/>
        <v>"Caller_2" : "AHMET GEZINTI",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"ZAFER RIFAI"</v>
      </c>
      <c r="F13" s="45" t="str">
        <f t="shared" si="0"/>
        <v>"Timerkeeper" : "ZAFER RIFAI",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"GORKEM GORGULU"</v>
      </c>
      <c r="F14" s="45" t="str">
        <f t="shared" si="0"/>
        <v>"Shotclock" : "GORKEM GORGULU",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721</v>
      </c>
      <c r="F25" s="45" t="str">
        <f t="shared" ref="F25:F48" si="1">""""&amp;C25&amp;"""" &amp; " : " &amp;D25&amp;","</f>
        <v>"total_actions" : 721,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"Perfect game. Keep it up!!"</v>
      </c>
      <c r="F51" s="45" t="str">
        <f>""""&amp;B51&amp;"""" &amp; " : " &amp;C51&amp;","</f>
        <v>"comments" : "Perfect game. Keep it up!!",</v>
      </c>
    </row>
    <row r="52" spans="2:6" x14ac:dyDescent="0.2">
      <c r="B52" s="43" t="s">
        <v>153</v>
      </c>
      <c r="C52" s="43" t="str">
        <f>TEXT('SCOUT &amp; LOGISTICS'!F1,"0,0")</f>
        <v>10_100_BES_LKB_U2025</v>
      </c>
      <c r="F52" s="45" t="str">
        <f>""""&amp;B52&amp;"""" &amp; " : " &amp;C52</f>
        <v>"result" : 10_100_BES_LKB_U2025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U100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09/12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Besiktas Gain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Lietkabelis Panevezys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SERTAC DORSEL</v>
      </c>
      <c r="H8" s="206"/>
      <c r="I8" s="206"/>
      <c r="J8" s="206"/>
      <c r="K8" s="206"/>
      <c r="L8" s="206" t="str">
        <f>IF('SCOUT &amp; LOGISTICS'!D8="","",'SCOUT &amp; LOGISTICS'!D8)</f>
        <v>AHMET GEZINTI</v>
      </c>
      <c r="M8" s="206"/>
      <c r="N8" s="206"/>
      <c r="O8" s="206"/>
      <c r="P8" s="206"/>
      <c r="Q8" s="206" t="str">
        <f>IF('SCOUT &amp; LOGISTICS'!D9="","",'SCOUT &amp; LOGISTICS'!D9)</f>
        <v>ZAFER RIFAI</v>
      </c>
      <c r="R8" s="206"/>
      <c r="S8" s="206"/>
      <c r="T8" s="206"/>
      <c r="U8" s="206"/>
      <c r="V8" s="206" t="str">
        <f>IF('SCOUT &amp; LOGISTICS'!D10="","",'SCOUT &amp; LOGISTICS'!D10)</f>
        <v>GORKEM GORGULU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721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1.3869625520110957E-3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Perfect game. Keep it up!!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1.1386962552011095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A6EC26-594A-45FF-A9BB-73F5DA5A27C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2025-12-10T20:49:02Z</cp:lastPrinted>
  <dcterms:created xsi:type="dcterms:W3CDTF">2023-09-19T19:50:35Z</dcterms:created>
  <dcterms:modified xsi:type="dcterms:W3CDTF">2025-12-11T17:36:30Z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