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0" documentId="8_{1CDA6CB8-AE99-4873-B165-9FECD8DD167E}" xr6:coauthVersionLast="47" xr6:coauthVersionMax="47" xr10:uidLastSave="{00000000-0000-0000-0000-000000000000}"/>
  <bookViews>
    <workbookView xWindow="-750" yWindow="-15675" windowWidth="22230" windowHeight="1354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<sst xmlns="http://schemas.openxmlformats.org/spreadsheetml/2006/main" count="3235" uniqueCount="752">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</sst>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11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11_101_ULK_HTA_E2025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101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45974.864583333336</v>
      </c>
      <c r="C3" s="157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Fenerbahce Beko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ULK</v>
      </c>
      <c r="I4" s="5"/>
      <c r="J4" s="119" t="s">
        <v>714</v>
      </c>
      <c r="K4" s="54" t="s">
        <v>743</v>
      </c>
      <c r="L4" s="5"/>
      <c r="M4" s="167" t="s">
        <v>750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Hapoel IBI Tel Aviv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HTA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tr">
        <f>H7</f>
        <v>Data entry Name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tr">
        <f>I7</f>
        <v>Caller 1 Name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tr">
        <f>J7</f>
        <v>Caller 2 Name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tr">
        <f>K7</f>
        <v>Timerkeeper Name</v>
      </c>
      <c r="E9" s="179"/>
      <c r="F9" s="179"/>
      <c r="G9" s="180"/>
      <c r="H9" s="130" t="str">
        <f>VLOOKUP($H$4,Teams!$B$3:$O$44,3,FALSE)</f>
        <v>CAN KUTLUATA</v>
      </c>
      <c r="I9" s="130" t="str">
        <f>VLOOKUP($H$4,Teams!$B$3:$O$44,3,FALSE)</f>
        <v>CAN KUTLUATA</v>
      </c>
      <c r="J9" s="130" t="str">
        <f>VLOOKUP($H$4,Teams!$B$3:$O$44,5,FALSE)</f>
        <v>SERTAC DSTEL</v>
      </c>
      <c r="K9" s="130" t="str">
        <f>VLOOKUP($H$4,Teams!$B$3:$O$44,6,FALSE)</f>
        <v>SERHAT LEVENT</v>
      </c>
      <c r="L9" s="130" t="str">
        <f>VLOOKUP($H$4,Teams!$B$3:$O$44,7,FALSE)</f>
        <v>AHMET ERKASAP</v>
      </c>
      <c r="M9" s="131" t="str">
        <f>VLOOKUP($H$4,Teams!$B$3:$O$44,8,FALSE)</f>
        <v>MURAT KUS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tr">
        <f>L7</f>
        <v>Shotclock Name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REPORT_E2025101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"E2025101"</v>
      </c>
      <c r="F3" s="45" t="str">
        <f t="shared" ref="F3:F16" si="0">""""&amp;B3&amp;"""" &amp; " : " &amp;C3&amp;","</f>
        <v>"name" : "E2025101",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"E101"</v>
      </c>
      <c r="F4" s="45" t="str">
        <f t="shared" si="0"/>
        <v>"cod" : "E101",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101</v>
      </c>
      <c r="F6" s="45" t="str">
        <f t="shared" si="0"/>
        <v>"number" : 101,</v>
      </c>
    </row>
    <row r="7" spans="2:6" x14ac:dyDescent="0.2">
      <c r="B7" s="43" t="s">
        <v>116</v>
      </c>
      <c r="C7" s="43" t="str">
        <f ca="1">""""&amp;TEXT('SCOUT &amp; LOGISTICS'!B3,"dd/mm/aaaa")&amp;""""</f>
        <v>"13/11/Thursday"</v>
      </c>
      <c r="F7" s="45" t="str">
        <f t="shared" ca="1" si="0"/>
        <v>"date" : "13/11/Thursday",</v>
      </c>
    </row>
    <row r="8" spans="2:6" x14ac:dyDescent="0.2">
      <c r="B8" s="43" t="s">
        <v>125</v>
      </c>
      <c r="C8" s="43" t="str">
        <f>""""&amp;'SCOUT &amp; LOGISTICS'!D4 &amp;""""</f>
        <v>"Fenerbahce Beko Istanbul"</v>
      </c>
      <c r="F8" s="45" t="str">
        <f t="shared" si="0"/>
        <v>"home_team" : "Fenerbahce Beko Istanbul",</v>
      </c>
    </row>
    <row r="9" spans="2:6" x14ac:dyDescent="0.2">
      <c r="B9" s="43" t="s">
        <v>126</v>
      </c>
      <c r="C9" s="43" t="str">
        <f>""""&amp;'SCOUT &amp; LOGISTICS'!D5&amp;""""</f>
        <v>"Hapoel IBI Tel Aviv"</v>
      </c>
      <c r="F9" s="45" t="str">
        <f t="shared" si="0"/>
        <v>"away_team" : "Hapoel IBI Tel Aviv",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11_101_ULK_HTA_E2025</v>
      </c>
      <c r="F52" s="45" t="str">
        <f>""""&amp;B52&amp;"""" &amp; " : " &amp;C52</f>
        <v>"result" : 11_101_ULK_HTA_E2025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E101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13/11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Fenerbahce Beko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Hapoel Ibi Tel Aviv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Data entry Name</v>
      </c>
      <c r="C8" s="206"/>
      <c r="D8" s="206"/>
      <c r="E8" s="206"/>
      <c r="F8" s="206"/>
      <c r="G8" s="206" t="str">
        <f>IF('SCOUT &amp; LOGISTICS'!D7="","",'SCOUT &amp; LOGISTICS'!D7)</f>
        <v>Caller 1 Name</v>
      </c>
      <c r="H8" s="206"/>
      <c r="I8" s="206"/>
      <c r="J8" s="206"/>
      <c r="K8" s="206"/>
      <c r="L8" s="206" t="str">
        <f>IF('SCOUT &amp; LOGISTICS'!D8="","",'SCOUT &amp; LOGISTICS'!D8)</f>
        <v>Caller 2 Name</v>
      </c>
      <c r="M8" s="206"/>
      <c r="N8" s="206"/>
      <c r="O8" s="206"/>
      <c r="P8" s="206"/>
      <c r="Q8" s="206" t="str">
        <f>IF('SCOUT &amp; LOGISTICS'!D9="","",'SCOUT &amp; LOGISTICS'!D9)</f>
        <v>Timerkeeper Name</v>
      </c>
      <c r="R8" s="206"/>
      <c r="S8" s="206"/>
      <c r="T8" s="206"/>
      <c r="U8" s="206"/>
      <c r="V8" s="206" t="str">
        <f>IF('SCOUT &amp; LOGISTICS'!D10="","",'SCOUT &amp; LOGISTICS'!D10)</f>
        <v>Shotclock Name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/>
      </c>
      <c r="C13" s="207"/>
      <c r="D13" s="207"/>
      <c r="E13" s="207"/>
      <c r="F13" s="207"/>
      <c r="G13" s="207"/>
      <c r="H13" s="207" t="str">
        <f>IF('SCOUT &amp; LOGISTICS'!J12="","",'SCOUT &amp; LOGISTICS'!J12)</f>
        <v/>
      </c>
      <c r="I13" s="207"/>
      <c r="J13" s="207"/>
      <c r="K13" s="207"/>
      <c r="L13" s="207"/>
      <c r="M13" s="207"/>
      <c r="N13" s="207" t="str">
        <f>IF('SCOUT &amp; LOGISTICS'!K12="","",'SCOUT &amp; LOGISTICS'!K12)</f>
        <v/>
      </c>
      <c r="O13" s="207"/>
      <c r="P13" s="207"/>
      <c r="Q13" s="207"/>
      <c r="R13" s="207"/>
      <c r="S13" s="207"/>
      <c r="T13" s="207" t="str">
        <f>IF('SCOUT &amp; LOGISTICS'!L12="","",'SCOUT &amp; LOGISTICS'!L12)</f>
        <v/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 t="str">
        <f>IF(OR(B17="",B17=0),"",L17/B17)</f>
        <v/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Very good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6A68D60-BA63-4969-BE56-CCAC748AE089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2025-11-20T20:01:35Z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