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Excel Reports fets/"/>
    </mc:Choice>
  </mc:AlternateContent>
  <xr:revisionPtr revIDLastSave="2" documentId="8_{D9FDA794-8C52-4388-AF75-187356DA3741}" xr6:coauthVersionLast="47" xr6:coauthVersionMax="47" xr10:uidLastSave="{433BB457-5177-4E54-AD2A-CE8C2E6F1181}"/>
  <bookViews>
    <workbookView xWindow="-110" yWindow="-110" windowWidth="19420" windowHeight="1030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18" i="1"/>
  <c r="H17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18" i="1"/>
  <c r="B18" i="1" s="1"/>
  <c r="C17" i="1"/>
  <c r="B17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<sst xmlns="http://schemas.openxmlformats.org/spreadsheetml/2006/main" count="3357" uniqueCount="839">
  <si>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</si>
  <si>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</si>
  <si>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</si>
  <si>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</si>
  <si>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</si>
  <si>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</si>
  <si>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</si>
  <si>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</si>
  <si>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</si>
  <si>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</si>
  <si>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</si>
  <si>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</si>
  <si>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</si>
  <si>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</si>
  <si>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</si>
  <si>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</si>
  <si>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</si>
  <si>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</si>
  <si>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</si>
  <si>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</si>
  <si>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</si>
  <si>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</si>
  <si>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</si>
  <si>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</si>
  <si>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</si>
  <si>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</si>
  <si>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</si>
  <si>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</si>
  <si>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</si>
  <si>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</si>
  <si>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</si>
  <si>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</si>
  <si>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</si>
  <si>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</si>
  <si>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</si>
  <si>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</si>
  <si>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</si>
  <si>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</si>
  <si>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</si>
  <si>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</si>
  <si>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</si>
  <si>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</si>
  <si>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</si>
  <si>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</si>
  <si>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</si>
  <si>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</si>
  <si>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</si>
  <si>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</si>
  <si>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</si>
  <si>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</si>
  <si>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</si>
  <si>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</si>
  <si>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</si>
  <si>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</si>
  <si>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</si>
  <si>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</si>
  <si>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</si>
  <si>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</si>
  <si>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</si>
  <si>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</si>
  <si>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</si>
  <si>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</si>
  <si>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</si>
  <si>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</si>
  <si>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</si>
  <si>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</si>
  <si>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</si>
  <si>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</si>
  <si>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</si>
  <si>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</si>
  <si>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</si>
  <si>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</si>
  <si>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</si>
  <si>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</si>
  <si>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</si>
  <si>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</si>
  <si>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</si>
  <si>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</si>
  <si>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</si>
  <si>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</si>
  <si>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</si>
  <si>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</si>
  <si>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</si>
  <si>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</si>
  <si>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</si>
  <si>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</si>
  <si>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</si>
  <si>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</si>
  <si>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</si>
  <si>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</si>
  <si>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</si>
  <si>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</si>
  <si>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</si>
  <si>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</si>
  <si>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</si>
  <si>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</si>
  <si>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</si>
  <si>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</si>
  <si>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</si>
  <si>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</si>
  <si>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</si>
  <si>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</si>
  <si>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</si>
  <si>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</si>
  <si>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</si>
  <si>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</si>
  <si>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</si>
  <si>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</si>
  <si>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</si>
  <si>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</si>
  <si>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</si>
  <si>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</si>
  <si>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</si>
  <si>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</si>
  <si>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</si>
  <si>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</si>
  <si>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</si>
  <si>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</si>
  <si>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</si>
  <si>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</si>
  <si>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</si>
  <si>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</si>
  <si>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</si>
  <si>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</si>
  <si>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</si>
  <si>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</si>
  <si>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</si>
  <si>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</si>
  <si>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</si>
  <si>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</si>
  <si>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</si>
  <si>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</si>
  <si>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</si>
  <si>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</si>
  <si>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</si>
  <si>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</si>
  <si>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</si>
  <si>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</si>
  <si>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</si>
  <si>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</si>
  <si>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</si>
  <si>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</si>
  <si>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</si>
  <si>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</si>
  <si>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</si>
  <si>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</si>
  <si>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</si>
  <si>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</si>
  <si>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</si>
  <si>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</si>
  <si>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</si>
  <si>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</si>
  <si>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</si>
  <si>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</si>
  <si>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</si>
  <si>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</si>
  <si>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</si>
  <si>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</si>
  <si>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</si>
  <si>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</si>
  <si>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</si>
  <si>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</si>
  <si>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</si>
  <si>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</si>
  <si>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</si>
  <si>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</si>
  <si>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</si>
  <si>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</si>
  <si>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</si>
  <si>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</si>
  <si>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</si>
  <si>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</si>
  <si>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</si>
  <si>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</si>
  <si>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</si>
  <si>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</si>
  <si>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</si>
  <si>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</si>
  <si>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</si>
  <si>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</si>
  <si>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</si>
  <si>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</si>
  <si>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</si>
  <si>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</si>
  <si>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</si>
  <si>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</si>
  <si>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</si>
  <si>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</si>
  <si>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</si>
  <si>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</si>
  <si>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</si>
  <si>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</si>
  <si>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</si>
  <si>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</si>
  <si>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</si>
  <si>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</si>
  <si>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</si>
  <si>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</si>
  <si>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</si>
  <si>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</si>
  <si>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</si>
  <si>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</si>
  <si>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</si>
  <si>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</si>
  <si>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</si>
  <si>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</si>
  <si>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</si>
  <si>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</si>
  <si>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</si>
  <si>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</si>
  <si>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</si>
  <si>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</si>
  <si>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</si>
  <si>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</si>
  <si>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</si>
  <si>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</si>
  <si>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</si>
  <si>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</si>
  <si>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</si>
  <si>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</si>
  <si>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</si>
  <si>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</si>
  <si>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</si>
  <si>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</si>
  <si>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</si>
  <si>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</si>
  <si>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</si>
  <si>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</si>
  <si>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</si>
  <si>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</si>
  <si>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</si>
  <si>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</si>
  <si>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</si>
  <si>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</si>
  <si>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</si>
  <si>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</si>
  <si>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</si>
  <si>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</si>
  <si>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</si>
  <si>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</si>
  <si>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</si>
  <si>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</si>
  <si>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</si>
  <si>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</si>
  <si>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</si>
  <si>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</si>
  <si>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</si>
  <si>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</si>
  <si>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</si>
  <si>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</si>
  <si>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</si>
  <si>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</si>
  <si>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</si>
  <si>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</si>
  <si>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</si>
  <si>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</si>
  <si>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</si>
  <si>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</si>
  <si>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</si>
  <si>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</si>
  <si>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</si>
  <si>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</si>
  <si>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</si>
  <si>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</si>
  <si>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</si>
  <si>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</si>
  <si>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</si>
  <si>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</si>
  <si>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</si>
  <si>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</si>
  <si>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</si>
  <si>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</si>
  <si>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</si>
  <si>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</si>
  <si>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</si>
  <si>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</si>
  <si>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</si>
  <si>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</si>
  <si>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</si>
  <si>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</si>
  <si>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</si>
  <si>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</si>
  <si>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</si>
  <si>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</si>
  <si>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</si>
  <si>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</si>
  <si>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</si>
  <si>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</si>
  <si>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</si>
  <si>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</si>
  <si>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</si>
  <si>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</si>
  <si>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</si>
  <si>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</si>
  <si>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</si>
  <si>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</si>
  <si>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</si>
  <si>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</si>
  <si>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</si>
  <si>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</si>
  <si>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</si>
  <si>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</si>
  <si>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</si>
  <si>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</si>
  <si>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</si>
  <si>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</si>
  <si>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</si>
  <si>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</si>
  <si>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</si>
  <si>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</si>
  <si>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</si>
  <si>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</si>
  <si>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</si>
  <si>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</si>
  <si>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</si>
  <si>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</si>
  <si>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</si>
  <si>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</si>
  <si>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</si>
  <si>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</si>
  <si>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</si>
  <si>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</si>
  <si>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</si>
  <si>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</si>
  <si>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</si>
  <si>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</si>
  <si>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</si>
  <si>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</si>
  <si>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</si>
  <si>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</si>
  <si>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</si>
  <si>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</si>
  <si>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</si>
  <si>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</si>
  <si>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</si>
  <si>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</si>
  <si>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</si>
  <si>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</si>
  <si>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</si>
  <si>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</si>
  <si>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</si>
  <si>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</si>
  <si>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</si>
  <si>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</si>
  <si>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</si>
  <si>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</si>
  <si>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</si>
  <si>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</si>
  <si>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</si>
  <si>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</si>
  <si>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</si>
  <si>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</si>
  <si>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</si>
  <si>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</si>
  <si>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</si>
  <si>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</si>
  <si>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</si>
  <si>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</si>
  <si>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</si>
  <si>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</si>
  <si>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</si>
  <si>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</si>
  <si>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</si>
  <si>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</si>
  <si>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</si>
  <si>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</si>
  <si>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</si>
  <si>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</si>
  <si>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</si>
  <si>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</si>
  <si>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</si>
  <si>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</si>
  <si>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</si>
  <si>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</si>
  <si>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</si>
  <si>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</si>
  <si>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</si>
  <si>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</si>
  <si>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</si>
  <si>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</si>
  <si>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</si>
  <si>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</si>
  <si>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</si>
  <si>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</si>
  <si>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</si>
  <si>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</si>
  <si>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</si>
  <si>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</si>
  <si>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</si>
  <si>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</si>
  <si>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</si>
  <si>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</si>
  <si>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</si>
  <si>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</si>
  <si>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</si>
  <si>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</si>
  <si>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</si>
  <si>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</si>
  <si>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</si>
  <si>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</si>
  <si>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</si>
  <si>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</si>
  <si>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</si>
  <si>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</si>
  <si>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</si>
  <si>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</si>
  <si>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</si>
  <si>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</si>
  <si>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</si>
  <si>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</si>
  <si>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</si>
  <si>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</si>
  <si>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</si>
  <si>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</si>
  <si>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</si>
  <si>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</si>
  <si>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</si>
  <si>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</si>
  <si>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</si>
  <si>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</si>
  <si>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</si>
  <si>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</si>
  <si>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</si>
  <si>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</si>
  <si>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</si>
  <si>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</si>
  <si>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</si>
  <si>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</si>
  <si>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</si>
  <si>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</si>
  <si>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</si>
  <si>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</si>
  <si>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</si>
  <si>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</si>
  <si>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</si>
  <si>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</si>
  <si>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</si>
  <si>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</si>
  <si>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</si>
  <si>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</si>
  <si>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</si>
  <si>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</si>
  <si>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</si>
  <si>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</si>
  <si>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</si>
  <si>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</si>
  <si>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</si>
  <si>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</si>
  <si>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</si>
  <si>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</si>
  <si>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</si>
  <si>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</si>
  <si>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</si>
  <si>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</si>
  <si>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</si>
  <si>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</si>
  <si>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</si>
  <si>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</si>
  <si>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</si>
  <si>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</si>
  <si>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</si>
  <si>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</si>
  <si>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</si>
  <si>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</si>
  <si>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</si>
  <si>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</si>
  <si>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</si>
  <si>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</si>
  <si>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</si>
  <si>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</si>
  <si>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</si>
  <si>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</si>
  <si>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</si>
  <si>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</si>
  <si>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</si>
  <si>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</si>
  <si>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</si>
  <si>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</si>
  <si>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</si>
  <si>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</si>
  <si>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</si>
  <si>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</si>
  <si>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</si>
  <si>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</si>
  <si>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</si>
  <si>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</si>
  <si>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</si>
  <si>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</si>
  <si>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</si>
  <si>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</si>
  <si>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</si>
  <si>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</si>
  <si>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</si>
  <si>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</si>
  <si>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</si>
  <si>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</si>
  <si>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</si>
  <si>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</si>
  <si>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</si>
  <si>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</si>
  <si>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</si>
  <si>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</si>
  <si>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</si>
  <si>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</si>
  <si>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</si>
  <si>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</si>
  <si>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</si>
  <si>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</si>
  <si>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</si>
  <si>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</si>
  <si>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</si>
  <si>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</si>
  <si>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</si>
  <si>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</si>
  <si>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</si>
  <si>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</si>
  <si>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</si>
  <si>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</si>
  <si>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</si>
  <si>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</si>
  <si>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</si>
  <si>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</si>
  <si>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</si>
  <si>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</si>
  <si>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</si>
  <si>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</si>
  <si>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</si>
  <si>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</si>
  <si>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</si>
  <si>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</si>
  <si>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</si>
  <si>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</si>
  <si>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</si>
  <si>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</si>
  <si>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</si>
  <si>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</si>
  <si>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</si>
  <si>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</si>
  <si>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</si>
  <si>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</si>
  <si>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</si>
  <si>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</si>
  <si>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</si>
  <si>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</si>
  <si>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</si>
  <si>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</si>
  <si>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</si>
  <si>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</si>
  <si>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</si>
  <si>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</si>
  <si>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</si>
  <si>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</si>
  <si>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</si>
  <si>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</si>
  <si>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</si>
  <si>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</si>
  <si>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</si>
  <si>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</si>
  <si>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</si>
  <si>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</si>
  <si>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</si>
  <si>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</si>
  <si>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</si>
  <si>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</si>
  <si>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</si>
  <si>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</si>
  <si>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</si>
  <si>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</si>
  <si>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</si>
  <si>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</si>
  <si>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</si>
  <si>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</si>
  <si>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</si>
  <si>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</si>
  <si>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</si>
  <si>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</si>
  <si>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</si>
  <si>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</si>
  <si>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</si>
  <si>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</si>
  <si>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</si>
  <si>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</si>
  <si>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</si>
  <si>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</si>
  <si>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</si>
  <si>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</si>
  <si>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</si>
  <si>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</si>
  <si>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</si>
  <si>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</si>
  <si>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</si>
  <si>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</si>
  <si>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</si>
  <si>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</si>
  <si>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</si>
  <si>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</si>
  <si>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</si>
  <si>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</si>
  <si>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</si>
  <si>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</si>
  <si>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</si>
  <si>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</si>
  <si>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</si>
  <si>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</si>
  <si>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</si>
  <si>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</si>
  <si>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</si>
  <si>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</si>
  <si>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</si>
  <si>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</si>
  <si>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</si>
  <si>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</si>
  <si>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</si>
  <si>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</si>
  <si>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</si>
  <si>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</si>
  <si>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</si>
  <si>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</si>
  <si>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</si>
  <si>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</si>
  <si>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</si>
  <si>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</si>
  <si>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</si>
  <si>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</si>
  <si>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</si>
  <si>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</si>
  <si>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</si>
  <si>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</si>
  <si>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</si>
  <si>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</si>
  <si>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</si>
  <si>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</si>
  <si>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</si>
  <si>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</si>
  <si>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</si>
  <si>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</si>
  <si>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</si>
  <si>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</si>
  <si>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</si>
  <si>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</si>
  <si>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</si>
  <si>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</si>
  <si>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</si>
  <si>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</si>
  <si>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</si>
  <si>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</si>
  <si>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</si>
  <si>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</si>
  <si>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</si>
  <si>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</si>
  <si>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</si>
  <si>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</si>
  <si>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</si>
  <si>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</si>
  <si>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</si>
  <si>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</si>
  <si>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</si>
  <si>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</si>
  <si>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</si>
  <si>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</si>
  <si>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</si>
  <si>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</si>
  <si>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</si>
  <si>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</si>
  <si>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</si>
  <si>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</si>
  <si>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</si>
  <si>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</si>
  <si>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</si>
  <si>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</si>
  <si>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</si>
  <si>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</si>
  <si>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</si>
  <si>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</si>
  <si>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</si>
  <si>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</si>
  <si>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</si>
  <si>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</si>
  <si>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</si>
  <si>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</si>
  <si>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</si>
  <si>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</si>
  <si>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</si>
  <si>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</si>
  <si>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</si>
  <si>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</si>
  <si>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</si>
  <si>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</si>
  <si>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</si>
  <si>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</si>
  <si>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</si>
  <si>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</si>
  <si>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</si>
  <si>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</si>
  <si>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</si>
  <si>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</si>
  <si>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</si>
  <si>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</si>
  <si>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</si>
  <si>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</si>
  <si>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</si>
  <si>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</si>
  <si>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</si>
  <si>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</si>
  <si>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</si>
  <si>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</si>
  <si>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</si>
  <si>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</si>
  <si>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</si>
  <si>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</si>
  <si>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</si>
  <si>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</si>
  <si>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</si>
  <si>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</si>
  <si>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</si>
  <si>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</si>
  <si>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</si>
  <si>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</si>
  <si>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</si>
  <si>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</si>
  <si>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</si>
  <si>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</si>
  <si>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</si>
  <si>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</si>
  <si>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</si>
  <si>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</si>
  <si>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</si>
  <si>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</si>
  <si>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</si>
  <si>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</si>
  <si>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</si>
  <si>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</si>
  <si>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</si>
  <si>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</si>
  <si>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</si>
  <si>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</si>
  <si>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</si>
  <si>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</si>
  <si>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</si>
  <si>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</si>
  <si>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</si>
  <si>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</si>
  <si>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</si>
  <si>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</si>
  <si>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</si>
  <si>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</si>
  <si>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</si>
  <si>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</si>
  <si>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</si>
  <si>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</si>
  <si>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</si>
  <si>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</si>
  <si>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</si>
  <si>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</si>
  <si>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</si>
  <si>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</si>
  <si>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</si>
  <si>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</si>
  <si>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</si>
  <si>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</si>
  <si>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</si>
  <si>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</si>
  <si>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</si>
  <si>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</si>
  <si>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</si>
  <si>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</si>
  <si>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</si>
  <si>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</si>
  <si>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</si>
  <si>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</si>
  <si>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</si>
  <si>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</si>
  <si>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</si>
  <si>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</si>
  <si>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</si>
  <si>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</si>
  <si>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</si>
  <si>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</si>
  <si>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</si>
  <si>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</si>
  <si>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</si>
  <si>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</si>
  <si>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</si>
  <si>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</si>
  <si>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</si>
  <si>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</si>
  <si>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</si>
  <si>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</si>
  <si>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</si>
  <si>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</si>
  <si>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</si>
  <si>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</si>
  <si>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</si>
  <si>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</si>
  <si>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</si>
  <si>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</si>
  <si>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</si>
  <si>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</si>
  <si>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</si>
  <si>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</si>
  <si>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</si>
  <si>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</si>
  <si>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</si>
  <si>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</si>
  <si>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</si>
  <si>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</si>
  <si>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</si>
  <si>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</si>
  <si>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</si>
  <si>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</si>
  <si>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</si>
  <si>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</si>
  <si>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</si>
  <si>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</si>
  <si>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</si>
  <si>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</si>
  <si>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</si>
  <si>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</si>
  <si>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</si>
  <si>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</si>
  <si>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</si>
  <si>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</si>
  <si>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</si>
  <si>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</si>
  <si>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</si>
  <si>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C:\Users\pablo.campoy\EUROLEAGUE\EB STATS - General\SEASON 2025-26\Reports\Eurocup\PDF</t>
  </si>
  <si>
    <t>C:\Users\pablo.campoy\EUROLEAGUE\EB STATS - General\SEASON 2025-26\Reports\Eurocup\Excel Reports fets</t>
  </si>
  <si>
    <t>PABLO CAMPOY</t>
  </si>
  <si>
    <t>AGNIESKA WYSOCKA</t>
  </si>
  <si>
    <t>DOROTA RECZUCH</t>
  </si>
  <si>
    <t>KATARZYNA LESIECKA</t>
  </si>
  <si>
    <t>EMILIA GLOGOWSKA</t>
  </si>
  <si>
    <t>MATEUSZ KOJKA</t>
  </si>
  <si>
    <t>05:48</t>
  </si>
  <si>
    <t>03:46</t>
  </si>
  <si>
    <t>04:42</t>
  </si>
  <si>
    <t>04:04</t>
  </si>
  <si>
    <t>01:48</t>
  </si>
  <si>
    <t>Great job! The main problems were due to a the confusion between numbers 6 and 8 of Manresa, too similar.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</si>
</sst>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11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11_101_WRO_MAN_U2025</v>
      </c>
      <c r="G1" s="5"/>
      <c r="H1" s="5"/>
      <c r="I1" s="5"/>
      <c r="J1" s="8" t="s">
        <v>707</v>
      </c>
      <c r="K1" s="121" t="s">
        <v>826</v>
      </c>
      <c r="L1" s="121"/>
      <c r="M1" s="122" t="s">
        <v>239</v>
      </c>
      <c r="N1" s="121" t="s">
        <v>825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U2025</v>
      </c>
      <c r="C2" s="123">
        <v>101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>
        <f ca="1">IF(ISERROR(VLOOKUP($B$2&amp;TEXT($C$2,"000"),GAMES!$A$3:$I$562,8,FALSE)),NOW(),VLOOKUP($B$2&amp;TEXT($C$2,"000"),GAMES!$A$3:$I$562,8,FALSE))</f>
        <v>46008.791666666664</v>
      </c>
      <c r="C3" s="178"/>
      <c r="D3" s="39">
        <v>725</v>
      </c>
      <c r="E3" s="29"/>
      <c r="F3" s="26">
        <f>SUBTOTAL(3,I17:I106)</f>
        <v>5</v>
      </c>
      <c r="G3" s="27">
        <f>IF(OR(D3="",D3=0),"",F3/D3)</f>
        <v>6.8965517241379309E-3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Slask Wroclaw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WRO</v>
      </c>
      <c r="I4" s="5"/>
      <c r="J4" s="119" t="s">
        <v>714</v>
      </c>
      <c r="K4" s="54" t="s">
        <v>742</v>
      </c>
      <c r="L4" s="5"/>
      <c r="M4" s="185" t="s">
        <v>838</v>
      </c>
      <c r="N4" s="186"/>
      <c r="O4" s="2"/>
      <c r="P4" s="2"/>
      <c r="Q4" s="84" t="s">
        <v>175</v>
      </c>
      <c r="R4" s="94">
        <f>(IF(G3="",0,G3))</f>
        <v>6.8965517241379309E-3</v>
      </c>
      <c r="S4" s="61">
        <f>SUM(I13:M13)</f>
        <v>0</v>
      </c>
      <c r="T4" s="78"/>
      <c r="U4" s="61">
        <f>AC18</f>
        <v>0</v>
      </c>
      <c r="V4" s="61">
        <f>+AC22</f>
        <v>3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2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87</v>
      </c>
      <c r="C5" s="184"/>
      <c r="D5" s="191" t="str">
        <f>IF(ISERROR(VLOOKUP(H5,Teams!$B$2:$C$44,2,FALSE)),"Visitor Team",VLOOKUP(H5,Teams!$B$2:$C$44,2,FALSE))</f>
        <v>BAXI Manresa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MAN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0.68965517241379315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3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95</v>
      </c>
      <c r="C6" s="168"/>
      <c r="D6" s="158" t="s">
        <v>828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96</v>
      </c>
      <c r="C7" s="170"/>
      <c r="D7" s="158" t="s">
        <v>829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8.6896551724137936</v>
      </c>
      <c r="N7" s="58"/>
      <c r="O7" s="2"/>
      <c r="P7" s="2"/>
      <c r="Q7" s="86">
        <f>SUM(R5,S5,AC16)</f>
        <v>8.6896551724137936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97</v>
      </c>
      <c r="C8" s="172"/>
      <c r="D8" s="161" t="s">
        <v>830</v>
      </c>
      <c r="E8" s="162"/>
      <c r="F8" s="162"/>
      <c r="G8" s="16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8.6896551724137936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98</v>
      </c>
      <c r="C9" s="173"/>
      <c r="D9" s="158" t="s">
        <v>831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99</v>
      </c>
      <c r="C10" s="172"/>
      <c r="D10" s="161" t="s">
        <v>832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101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162</v>
      </c>
      <c r="C14" s="157"/>
      <c r="D14" s="164" t="s">
        <v>827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5</v>
      </c>
      <c r="J15" s="24">
        <f>SUBTOTAL(3,J17:J106)</f>
        <v>5</v>
      </c>
      <c r="K15" s="24">
        <f>SUBTOTAL(3,K17:K106)</f>
        <v>5</v>
      </c>
      <c r="L15" s="24">
        <f>SUBTOTAL(3,L17:L106)</f>
        <v>5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 t="e">
        <f>SUM(Q17:Q106)</f>
        <v>#REF!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5</v>
      </c>
      <c r="Z16" s="90" t="s">
        <v>110</v>
      </c>
      <c r="AA16" s="75">
        <f>SUM(AA17:AA24)</f>
        <v>5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8</v>
      </c>
      <c r="AD16" s="75">
        <f>SUM(AD17:AD24)</f>
        <v>45</v>
      </c>
      <c r="AE16" s="76" t="s">
        <v>42</v>
      </c>
      <c r="AF16" s="75">
        <f>SUM(AF17:AF24)</f>
        <v>2</v>
      </c>
      <c r="AG16" s="75">
        <f>SUM(AG17:AG21)</f>
        <v>5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1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>IF(C17="","",$B$2)</f>
        <v>U2025</v>
      </c>
      <c r="C17" s="31">
        <f>IF(I17="","",$C$2)</f>
        <v>101</v>
      </c>
      <c r="D17" s="32" t="s">
        <v>833</v>
      </c>
      <c r="E17" s="33">
        <v>2</v>
      </c>
      <c r="F17" s="36">
        <v>34</v>
      </c>
      <c r="G17" s="36">
        <v>28</v>
      </c>
      <c r="H17" s="38" t="str">
        <f>IF(I17="","",$I$14)</f>
        <v>SCOUTING</v>
      </c>
      <c r="I17" s="34">
        <v>244</v>
      </c>
      <c r="J17" s="13" t="s">
        <v>4</v>
      </c>
      <c r="K17" s="13" t="s">
        <v>63</v>
      </c>
      <c r="L17" s="13" t="s">
        <v>7</v>
      </c>
      <c r="M17" s="13" t="s">
        <v>12</v>
      </c>
      <c r="N17" s="35"/>
      <c r="O17" s="5" t="s">
        <v>19</v>
      </c>
      <c r="P17" s="5">
        <v>10</v>
      </c>
      <c r="Q17" s="84" t="e">
        <f>IF(AND(OR(#REF!="MISSING",#REF!="PART OF A SEQUENCE",#REF!="NOT HAPPENED"),OR(#REF!=$AE$37,#REF!=$AE$38,#REF!=$AE$43,#REF!=$AE$40,#REF!=$AE$25)),1,0)</f>
        <v>#REF!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5</v>
      </c>
      <c r="Z17" s="105" t="s">
        <v>63</v>
      </c>
      <c r="AA17" s="62">
        <f>COUNTIF($K$17:$K$106,Z17)</f>
        <v>4</v>
      </c>
      <c r="AB17" s="66" t="s">
        <v>19</v>
      </c>
      <c r="AC17" s="61">
        <f>COUNTIF($L$17:$L$106,AB17)</f>
        <v>0</v>
      </c>
      <c r="AD17" s="61">
        <f t="shared" ref="AD17:AD25" si="2">P17</f>
        <v>10</v>
      </c>
      <c r="AE17" s="66" t="s">
        <v>11</v>
      </c>
      <c r="AF17" s="65">
        <f>COUNTIF($M$17:$M$106,AE17)</f>
        <v>1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>IF(C18="","",$B$2)</f>
        <v>U2025</v>
      </c>
      <c r="C18" s="31">
        <f>IF(I18="","",$C$2)</f>
        <v>101</v>
      </c>
      <c r="D18" s="32" t="s">
        <v>834</v>
      </c>
      <c r="E18" s="33">
        <v>2</v>
      </c>
      <c r="F18" s="36">
        <v>44</v>
      </c>
      <c r="G18" s="36">
        <v>32</v>
      </c>
      <c r="H18" s="38" t="str">
        <f>IF(I18="","",$I$14)</f>
        <v>SCOUTING</v>
      </c>
      <c r="I18" s="34">
        <v>282</v>
      </c>
      <c r="J18" s="13" t="s">
        <v>4</v>
      </c>
      <c r="K18" s="13" t="s">
        <v>62</v>
      </c>
      <c r="L18" s="13" t="s">
        <v>6</v>
      </c>
      <c r="M18" s="13" t="s">
        <v>37</v>
      </c>
      <c r="N18" s="35"/>
      <c r="O18" s="5" t="s">
        <v>5</v>
      </c>
      <c r="P18" s="5">
        <v>0.5</v>
      </c>
      <c r="Q18" s="84" t="e">
        <f>IF(AND(OR(#REF!="MISSING",#REF!="PART OF A SEQUENCE",#REF!="NOT HAPPENED"),OR(#REF!=$AE$37,#REF!=$AE$38,#REF!=$AE$43,#REF!=$AE$40,#REF!=$AE$25)),1,0)</f>
        <v>#REF!</v>
      </c>
      <c r="R18" s="5" t="s">
        <v>171</v>
      </c>
      <c r="U18" s="66" t="s">
        <v>21</v>
      </c>
      <c r="V18" s="65">
        <f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</v>
      </c>
      <c r="AB18" s="66" t="s">
        <v>5</v>
      </c>
      <c r="AC18" s="61">
        <f>COUNTIF($L$17:$L$106,AB18)</f>
        <v>0</v>
      </c>
      <c r="AD18" s="61">
        <f t="shared" si="2"/>
        <v>0.5</v>
      </c>
      <c r="AE18" s="66" t="s">
        <v>12</v>
      </c>
      <c r="AF18" s="65">
        <f>COUNTIF($M$17:$M$106,AE18)</f>
        <v>1</v>
      </c>
      <c r="AG18" s="62">
        <f>COUNTIF($E$17:$E$106,$AK18)</f>
        <v>2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ref="B17:B48" si="3">IF(C19="","",$B$2)</f>
        <v>U2025</v>
      </c>
      <c r="C19" s="31">
        <f t="shared" ref="C17:C48" si="4">IF(I19="","",$C$2)</f>
        <v>101</v>
      </c>
      <c r="D19" s="32" t="s">
        <v>835</v>
      </c>
      <c r="E19" s="33">
        <v>3</v>
      </c>
      <c r="F19" s="36">
        <v>60</v>
      </c>
      <c r="G19" s="36">
        <v>54</v>
      </c>
      <c r="H19" s="38" t="str">
        <f t="shared" ref="H18:H81" si="5">IF(I19="","",$I$14)</f>
        <v>SCOUTING</v>
      </c>
      <c r="I19" s="34">
        <v>438</v>
      </c>
      <c r="J19" s="13" t="s">
        <v>4</v>
      </c>
      <c r="K19" s="13" t="s">
        <v>63</v>
      </c>
      <c r="L19" s="13" t="s">
        <v>6</v>
      </c>
      <c r="M19" s="13" t="s">
        <v>30</v>
      </c>
      <c r="N19" s="35"/>
      <c r="O19" s="5" t="s">
        <v>76</v>
      </c>
      <c r="P19" s="5">
        <v>15</v>
      </c>
      <c r="Q19" s="84">
        <f t="shared" ref="Q17:Q48" si="6">IF(AND(OR(L19="MISSING",L19="PART OF A SEQUENCE",L19="NOT HAPPENED"),OR(M19=$AE$37,M19=$AE$38,M19=$AE$43,M19=$AE$40,M19=$AE$25)),1,0)</f>
        <v>0</v>
      </c>
      <c r="R19" s="5" t="s">
        <v>172</v>
      </c>
      <c r="U19" s="66" t="s">
        <v>8</v>
      </c>
      <c r="V19" s="65">
        <f>COUNTIF($M$17:$M$106,$U19)</f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>COUNTIF($L$17:$L$106,AB19)</f>
        <v>0</v>
      </c>
      <c r="AD19" s="61">
        <f t="shared" si="2"/>
        <v>15</v>
      </c>
      <c r="AE19" s="66" t="s">
        <v>19</v>
      </c>
      <c r="AF19" s="65">
        <f>COUNTIF($M$17:$M$106,AE19)</f>
        <v>0</v>
      </c>
      <c r="AG19" s="62">
        <f>COUNTIF($E$17:$E$106,$AK19)</f>
        <v>3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3"/>
        <v>U2025</v>
      </c>
      <c r="C20" s="31">
        <f t="shared" si="4"/>
        <v>101</v>
      </c>
      <c r="D20" s="32" t="s">
        <v>836</v>
      </c>
      <c r="E20" s="33">
        <v>3</v>
      </c>
      <c r="F20" s="36">
        <v>61</v>
      </c>
      <c r="G20" s="36">
        <v>55</v>
      </c>
      <c r="H20" s="38" t="str">
        <f t="shared" si="5"/>
        <v>SCOUTING</v>
      </c>
      <c r="I20" s="34">
        <v>462</v>
      </c>
      <c r="J20" s="13" t="s">
        <v>4</v>
      </c>
      <c r="K20" s="13" t="s">
        <v>63</v>
      </c>
      <c r="L20" s="13" t="s">
        <v>6</v>
      </c>
      <c r="M20" s="13" t="s">
        <v>27</v>
      </c>
      <c r="N20" s="35"/>
      <c r="O20" s="5" t="s">
        <v>24</v>
      </c>
      <c r="P20" s="5">
        <v>10</v>
      </c>
      <c r="Q20" s="84">
        <f t="shared" si="6"/>
        <v>0</v>
      </c>
      <c r="R20" s="5" t="s">
        <v>171</v>
      </c>
      <c r="U20" s="66" t="s">
        <v>29</v>
      </c>
      <c r="V20" s="65">
        <f>COUNTIF($M$17:$M$106,$U20)</f>
        <v>0</v>
      </c>
      <c r="X20" s="82"/>
      <c r="Y20" s="83"/>
      <c r="Z20" s="88"/>
      <c r="AA20" s="65"/>
      <c r="AB20" s="66" t="s">
        <v>24</v>
      </c>
      <c r="AC20" s="61">
        <f>COUNTIF($L$17:$L$106,AB20)</f>
        <v>0</v>
      </c>
      <c r="AD20" s="61">
        <f t="shared" si="2"/>
        <v>10</v>
      </c>
      <c r="AE20" s="66" t="s">
        <v>168</v>
      </c>
      <c r="AF20" s="65">
        <f>COUNTIF($M$17:$M$106,AE20)</f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1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3"/>
        <v>U2025</v>
      </c>
      <c r="C21" s="31">
        <f t="shared" si="4"/>
        <v>101</v>
      </c>
      <c r="D21" s="32" t="s">
        <v>837</v>
      </c>
      <c r="E21" s="33">
        <v>3</v>
      </c>
      <c r="F21" s="36">
        <v>61</v>
      </c>
      <c r="G21" s="36">
        <v>59</v>
      </c>
      <c r="H21" s="38" t="str">
        <f t="shared" si="5"/>
        <v>SCOUTING</v>
      </c>
      <c r="I21" s="34">
        <v>500</v>
      </c>
      <c r="J21" s="13" t="s">
        <v>4</v>
      </c>
      <c r="K21" s="13" t="s">
        <v>63</v>
      </c>
      <c r="L21" s="13" t="s">
        <v>7</v>
      </c>
      <c r="M21" s="13" t="s">
        <v>11</v>
      </c>
      <c r="N21" s="35"/>
      <c r="O21" s="5" t="s">
        <v>46</v>
      </c>
      <c r="P21" s="5">
        <v>5</v>
      </c>
      <c r="Q21" s="84">
        <f t="shared" si="6"/>
        <v>0</v>
      </c>
      <c r="R21" s="5" t="s">
        <v>172</v>
      </c>
      <c r="U21" s="66" t="s">
        <v>31</v>
      </c>
      <c r="V21" s="65">
        <f>COUNTIF($M$17:$M$106,$U21)</f>
        <v>0</v>
      </c>
      <c r="X21" s="82"/>
      <c r="Y21" s="83"/>
      <c r="Z21" s="105"/>
      <c r="AA21" s="65"/>
      <c r="AB21" s="66" t="s">
        <v>46</v>
      </c>
      <c r="AC21" s="61">
        <f>COUNTIF($L$17:$L$106,AB21)</f>
        <v>0</v>
      </c>
      <c r="AD21" s="61">
        <f t="shared" si="2"/>
        <v>5</v>
      </c>
      <c r="AE21" s="66" t="s">
        <v>20</v>
      </c>
      <c r="AF21" s="65">
        <f>COUNTIF($M$17:$M$106,AE21)</f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3"/>
        <v/>
      </c>
      <c r="C22" s="31" t="str">
        <f t="shared" si="4"/>
        <v/>
      </c>
      <c r="D22" s="32"/>
      <c r="E22" s="33"/>
      <c r="F22" s="36"/>
      <c r="G22" s="36"/>
      <c r="H22" s="38" t="str">
        <f t="shared" si="5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6"/>
        <v>0</v>
      </c>
      <c r="R22" s="5"/>
      <c r="U22" s="66" t="s">
        <v>32</v>
      </c>
      <c r="V22" s="65">
        <f>COUNTIF($M$17:$M$106,$U22)</f>
        <v>0</v>
      </c>
      <c r="X22" s="82"/>
      <c r="Y22" s="83"/>
      <c r="Z22" s="105"/>
      <c r="AA22" s="65"/>
      <c r="AB22" s="66" t="s">
        <v>6</v>
      </c>
      <c r="AC22" s="61">
        <f>COUNTIF($L$17:$L$106,AB22)</f>
        <v>3</v>
      </c>
      <c r="AD22" s="61">
        <f t="shared" si="2"/>
        <v>1</v>
      </c>
      <c r="AE22" s="66" t="s">
        <v>167</v>
      </c>
      <c r="AF22" s="65">
        <f>COUNTIF($M$17:$M$106,AE22)</f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3"/>
        <v/>
      </c>
      <c r="C23" s="31" t="str">
        <f t="shared" si="4"/>
        <v/>
      </c>
      <c r="D23" s="32"/>
      <c r="E23" s="33"/>
      <c r="F23" s="36"/>
      <c r="G23" s="36"/>
      <c r="H23" s="38" t="str">
        <f t="shared" si="5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6"/>
        <v>0</v>
      </c>
      <c r="R23" s="5"/>
      <c r="U23" s="66" t="s">
        <v>33</v>
      </c>
      <c r="V23" s="65">
        <f>COUNTIF($M$17:$M$106,$U23)</f>
        <v>0</v>
      </c>
      <c r="X23" s="82"/>
      <c r="Y23" s="83"/>
      <c r="Z23" s="105"/>
      <c r="AA23" s="65"/>
      <c r="AB23" s="66" t="s">
        <v>7</v>
      </c>
      <c r="AC23" s="61">
        <f>COUNTIF($L$17:$L$106,AB23)</f>
        <v>2</v>
      </c>
      <c r="AD23" s="61">
        <f t="shared" si="2"/>
        <v>2.5</v>
      </c>
      <c r="AE23" s="66" t="s">
        <v>21</v>
      </c>
      <c r="AF23" s="65">
        <f>COUNTIF($M$17:$M$106,AE23)</f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3"/>
        <v/>
      </c>
      <c r="C24" s="31" t="str">
        <f t="shared" si="4"/>
        <v/>
      </c>
      <c r="D24" s="32"/>
      <c r="E24" s="33"/>
      <c r="F24" s="36"/>
      <c r="G24" s="36"/>
      <c r="H24" s="38" t="str">
        <f t="shared" si="5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6"/>
        <v>0</v>
      </c>
      <c r="R24" s="5" t="s">
        <v>171</v>
      </c>
      <c r="U24" s="66" t="s">
        <v>40</v>
      </c>
      <c r="V24" s="65">
        <f>COUNTIF($M$17:$M$106,$U24)</f>
        <v>0</v>
      </c>
      <c r="X24" s="82"/>
      <c r="Y24" s="83"/>
      <c r="Z24" s="105"/>
      <c r="AA24" s="65"/>
      <c r="AB24" s="66" t="s">
        <v>47</v>
      </c>
      <c r="AC24" s="61">
        <f>COUNTIF($L$17:$L$106,AB24)</f>
        <v>0</v>
      </c>
      <c r="AD24" s="61">
        <f t="shared" si="2"/>
        <v>1</v>
      </c>
      <c r="AE24" s="66" t="s">
        <v>8</v>
      </c>
      <c r="AF24" s="65">
        <f>COUNTIF($M$17:$M$106,AE24)</f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3"/>
        <v/>
      </c>
      <c r="C25" s="31" t="str">
        <f t="shared" si="4"/>
        <v/>
      </c>
      <c r="D25" s="32"/>
      <c r="E25" s="33"/>
      <c r="F25" s="36"/>
      <c r="G25" s="36"/>
      <c r="H25" s="38" t="str">
        <f t="shared" si="5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6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>COUNTIF($L$17:$L$106,AB25)</f>
        <v>0</v>
      </c>
      <c r="AD25" s="61">
        <f t="shared" si="2"/>
        <v>2</v>
      </c>
      <c r="AE25" s="66" t="s">
        <v>22</v>
      </c>
      <c r="AF25" s="65">
        <f>COUNTIF($M$17:$M$106,AE25)</f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3"/>
        <v/>
      </c>
      <c r="C26" s="31" t="str">
        <f t="shared" si="4"/>
        <v/>
      </c>
      <c r="D26" s="32"/>
      <c r="E26" s="33"/>
      <c r="F26" s="36"/>
      <c r="G26" s="36"/>
      <c r="H26" s="38" t="str">
        <f t="shared" si="5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6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>COUNTIF($L$17:$L$106,AB26)</f>
        <v>0</v>
      </c>
      <c r="AD26" s="61">
        <v>20</v>
      </c>
      <c r="AE26" s="66" t="s">
        <v>23</v>
      </c>
      <c r="AF26" s="65">
        <f>COUNTIF($M$17:$M$106,AE26)</f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3"/>
        <v/>
      </c>
      <c r="C27" s="31" t="str">
        <f t="shared" si="4"/>
        <v/>
      </c>
      <c r="D27" s="32"/>
      <c r="E27" s="33"/>
      <c r="F27" s="36"/>
      <c r="G27" s="36"/>
      <c r="H27" s="38" t="str">
        <f t="shared" si="5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6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>COUNTIF($L$17:$L$106,AB27)</f>
        <v>0</v>
      </c>
      <c r="AD27" s="61">
        <f>P27</f>
        <v>5</v>
      </c>
      <c r="AE27" s="66" t="s">
        <v>24</v>
      </c>
      <c r="AF27" s="65">
        <f>COUNTIF($M$17:$M$106,AE27)</f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3"/>
        <v/>
      </c>
      <c r="C28" s="31" t="str">
        <f t="shared" si="4"/>
        <v/>
      </c>
      <c r="D28" s="32"/>
      <c r="E28" s="33"/>
      <c r="F28" s="36"/>
      <c r="G28" s="36"/>
      <c r="H28" s="38" t="str">
        <f t="shared" si="5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6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>COUNTIF($L$17:$L$106,AB28)</f>
        <v>0</v>
      </c>
      <c r="AD28" s="61">
        <f>P28</f>
        <v>10</v>
      </c>
      <c r="AE28" s="66" t="s">
        <v>46</v>
      </c>
      <c r="AF28" s="65">
        <f>COUNTIF($M$17:$M$106,AE28)</f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3"/>
        <v/>
      </c>
      <c r="C29" s="31" t="str">
        <f t="shared" si="4"/>
        <v/>
      </c>
      <c r="D29" s="32"/>
      <c r="E29" s="33"/>
      <c r="F29" s="36"/>
      <c r="G29" s="36"/>
      <c r="H29" s="38" t="str">
        <f t="shared" si="5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6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>COUNTIF($L$17:$L$106,AB29)</f>
        <v>0</v>
      </c>
      <c r="AD29" s="61">
        <f>P29</f>
        <v>1</v>
      </c>
      <c r="AE29" s="66" t="s">
        <v>25</v>
      </c>
      <c r="AF29" s="65">
        <f>COUNTIF($M$17:$M$106,AE29)</f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3"/>
        <v/>
      </c>
      <c r="C30" s="31" t="str">
        <f t="shared" si="4"/>
        <v/>
      </c>
      <c r="D30" s="32"/>
      <c r="E30" s="33"/>
      <c r="F30" s="36"/>
      <c r="G30" s="36"/>
      <c r="H30" s="38" t="str">
        <f t="shared" si="5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6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>COUNTIF($M$17:$M$106,AE30)</f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3"/>
        <v/>
      </c>
      <c r="C31" s="31" t="str">
        <f t="shared" si="4"/>
        <v/>
      </c>
      <c r="D31" s="32"/>
      <c r="E31" s="33"/>
      <c r="F31" s="36"/>
      <c r="G31" s="36"/>
      <c r="H31" s="38" t="str">
        <f t="shared" si="5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6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>COUNTIF($M$17:$M$106,AE31)</f>
        <v>1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3"/>
        <v/>
      </c>
      <c r="C32" s="31" t="str">
        <f t="shared" si="4"/>
        <v/>
      </c>
      <c r="D32" s="32"/>
      <c r="E32" s="33"/>
      <c r="F32" s="36"/>
      <c r="G32" s="36"/>
      <c r="H32" s="38" t="str">
        <f t="shared" si="5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6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>COUNTIF($M$17:$M$106,AE32)</f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3"/>
        <v/>
      </c>
      <c r="C33" s="31" t="str">
        <f t="shared" si="4"/>
        <v/>
      </c>
      <c r="D33" s="32"/>
      <c r="E33" s="33"/>
      <c r="F33" s="36"/>
      <c r="G33" s="36"/>
      <c r="H33" s="38" t="str">
        <f t="shared" si="5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6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>COUNTIF($M$17:$M$106,AE33)</f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3"/>
        <v/>
      </c>
      <c r="C34" s="31" t="str">
        <f t="shared" si="4"/>
        <v/>
      </c>
      <c r="D34" s="32"/>
      <c r="E34" s="33"/>
      <c r="F34" s="36"/>
      <c r="G34" s="36"/>
      <c r="H34" s="38" t="str">
        <f t="shared" si="5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6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>COUNTIF($M$17:$M$106,AE34)</f>
        <v>1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N35" s="35"/>
      <c r="O35" s="5"/>
      <c r="P35" s="5"/>
      <c r="Q35" s="84">
        <f>IF(AND(OR(L17="MISSING",L17="PART OF A SEQUENCE",L17="NOT HAPPENED"),OR(M17=$AE$37,M17=$AE$38,M17=$AE$43,M17=$AE$40,M17=$AE$25)),1,0)</f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>COUNTIF($M$17:$M$106,AE35)</f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N36" s="35"/>
      <c r="O36" s="5"/>
      <c r="P36" s="5"/>
      <c r="Q36" s="84">
        <f>IF(AND(OR(L18="MISSING",L18="PART OF A SEQUENCE",L18="NOT HAPPENED"),OR(M18=$AE$37,M18=$AE$38,M18=$AE$43,M18=$AE$40,M18=$AE$25)),1,0)</f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>COUNTIF($M$17:$M$106,AE36)</f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3"/>
        <v/>
      </c>
      <c r="C37" s="31" t="str">
        <f t="shared" si="4"/>
        <v/>
      </c>
      <c r="D37" s="32"/>
      <c r="E37" s="33"/>
      <c r="F37" s="36"/>
      <c r="G37" s="36"/>
      <c r="H37" s="38" t="str">
        <f t="shared" si="5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6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>COUNTIF($M$17:$M$106,AE37)</f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3"/>
        <v/>
      </c>
      <c r="C38" s="31" t="str">
        <f t="shared" si="4"/>
        <v/>
      </c>
      <c r="D38" s="32"/>
      <c r="E38" s="33"/>
      <c r="F38" s="36"/>
      <c r="G38" s="36"/>
      <c r="H38" s="38" t="str">
        <f t="shared" si="5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6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>COUNTIF($M$17:$M$106,AE38)</f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3"/>
        <v/>
      </c>
      <c r="C39" s="31" t="str">
        <f t="shared" si="4"/>
        <v/>
      </c>
      <c r="D39" s="32"/>
      <c r="E39" s="33"/>
      <c r="F39" s="36"/>
      <c r="G39" s="36"/>
      <c r="H39" s="38" t="str">
        <f t="shared" si="5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6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>COUNTIF($M$17:$M$106,AE39)</f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3"/>
        <v/>
      </c>
      <c r="C40" s="31" t="str">
        <f t="shared" si="4"/>
        <v/>
      </c>
      <c r="D40" s="32"/>
      <c r="E40" s="33"/>
      <c r="F40" s="36"/>
      <c r="G40" s="36"/>
      <c r="H40" s="38" t="str">
        <f t="shared" si="5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6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>COUNTIF($M$17:$M$106,AE40)</f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3"/>
        <v/>
      </c>
      <c r="C41" s="31" t="str">
        <f t="shared" si="4"/>
        <v/>
      </c>
      <c r="D41" s="32"/>
      <c r="E41" s="33"/>
      <c r="F41" s="36"/>
      <c r="G41" s="36"/>
      <c r="H41" s="38" t="str">
        <f t="shared" si="5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6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>COUNTIF($M$17:$M$106,AE41)</f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3"/>
        <v/>
      </c>
      <c r="C42" s="31" t="str">
        <f t="shared" si="4"/>
        <v/>
      </c>
      <c r="D42" s="32"/>
      <c r="E42" s="33"/>
      <c r="F42" s="36"/>
      <c r="G42" s="36"/>
      <c r="H42" s="38" t="str">
        <f t="shared" si="5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6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>COUNTIF($M$17:$M$106,AE42)</f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3"/>
        <v/>
      </c>
      <c r="C43" s="31" t="str">
        <f t="shared" si="4"/>
        <v/>
      </c>
      <c r="D43" s="32"/>
      <c r="E43" s="33"/>
      <c r="F43" s="36"/>
      <c r="G43" s="36"/>
      <c r="H43" s="38" t="str">
        <f t="shared" si="5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6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>COUNTIF($M$17:$M$106,AE43)</f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3"/>
        <v/>
      </c>
      <c r="C44" s="31" t="str">
        <f t="shared" si="4"/>
        <v/>
      </c>
      <c r="D44" s="32"/>
      <c r="E44" s="33"/>
      <c r="F44" s="36"/>
      <c r="G44" s="36"/>
      <c r="H44" s="38" t="str">
        <f t="shared" si="5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6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>COUNTIF($M$17:$M$106,AE44)</f>
        <v>1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3"/>
        <v/>
      </c>
      <c r="C45" s="31" t="str">
        <f t="shared" si="4"/>
        <v/>
      </c>
      <c r="D45" s="32"/>
      <c r="E45" s="33"/>
      <c r="F45" s="36"/>
      <c r="G45" s="36"/>
      <c r="H45" s="38" t="str">
        <f t="shared" si="5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6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>COUNTIF($M$17:$M$106,AE45)</f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3"/>
        <v/>
      </c>
      <c r="C46" s="31" t="str">
        <f t="shared" si="4"/>
        <v/>
      </c>
      <c r="D46" s="32"/>
      <c r="E46" s="33"/>
      <c r="F46" s="36"/>
      <c r="G46" s="36"/>
      <c r="H46" s="38" t="str">
        <f t="shared" si="5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6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>COUNTIF($M$17:$M$106,AE46)</f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3"/>
        <v/>
      </c>
      <c r="C47" s="31" t="str">
        <f t="shared" si="4"/>
        <v/>
      </c>
      <c r="D47" s="32"/>
      <c r="E47" s="33"/>
      <c r="F47" s="36"/>
      <c r="G47" s="36"/>
      <c r="H47" s="38" t="str">
        <f t="shared" si="5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6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>COUNTIF($M$17:$M$106,AE47)</f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3"/>
        <v/>
      </c>
      <c r="C48" s="31" t="str">
        <f t="shared" si="4"/>
        <v/>
      </c>
      <c r="D48" s="32"/>
      <c r="E48" s="33"/>
      <c r="F48" s="36"/>
      <c r="G48" s="36"/>
      <c r="H48" s="38" t="str">
        <f t="shared" si="5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6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>COUNTIF($M$17:$M$106,AE48)</f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7">IF(C49="","",$B$2)</f>
        <v/>
      </c>
      <c r="C49" s="31" t="str">
        <f t="shared" ref="C49:C80" si="8">IF(I49="","",$C$2)</f>
        <v/>
      </c>
      <c r="D49" s="32"/>
      <c r="E49" s="33"/>
      <c r="F49" s="36"/>
      <c r="G49" s="36"/>
      <c r="H49" s="38" t="str">
        <f t="shared" si="5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9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7"/>
        <v/>
      </c>
      <c r="C50" s="31" t="str">
        <f t="shared" si="8"/>
        <v/>
      </c>
      <c r="D50" s="32"/>
      <c r="E50" s="33"/>
      <c r="F50" s="36"/>
      <c r="G50" s="36"/>
      <c r="H50" s="38" t="str">
        <f t="shared" si="5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9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7"/>
        <v/>
      </c>
      <c r="C51" s="31" t="str">
        <f t="shared" si="8"/>
        <v/>
      </c>
      <c r="D51" s="32"/>
      <c r="E51" s="33"/>
      <c r="F51" s="36"/>
      <c r="G51" s="36"/>
      <c r="H51" s="38" t="str">
        <f t="shared" si="5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9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7"/>
        <v/>
      </c>
      <c r="C52" s="31" t="str">
        <f t="shared" si="8"/>
        <v/>
      </c>
      <c r="D52" s="32"/>
      <c r="E52" s="33"/>
      <c r="F52" s="36"/>
      <c r="G52" s="36"/>
      <c r="H52" s="38" t="str">
        <f t="shared" si="5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9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7"/>
        <v/>
      </c>
      <c r="C53" s="31" t="str">
        <f t="shared" si="8"/>
        <v/>
      </c>
      <c r="D53" s="32"/>
      <c r="E53" s="33"/>
      <c r="F53" s="36"/>
      <c r="G53" s="36"/>
      <c r="H53" s="38" t="str">
        <f t="shared" si="5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9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7"/>
        <v/>
      </c>
      <c r="C54" s="31" t="str">
        <f t="shared" si="8"/>
        <v/>
      </c>
      <c r="D54" s="32"/>
      <c r="E54" s="33"/>
      <c r="F54" s="36"/>
      <c r="G54" s="36"/>
      <c r="H54" s="38" t="str">
        <f t="shared" si="5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9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7"/>
        <v/>
      </c>
      <c r="C55" s="31" t="str">
        <f t="shared" si="8"/>
        <v/>
      </c>
      <c r="D55" s="32"/>
      <c r="E55" s="33"/>
      <c r="F55" s="36"/>
      <c r="G55" s="36"/>
      <c r="H55" s="38" t="str">
        <f t="shared" si="5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9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7"/>
        <v/>
      </c>
      <c r="C56" s="31" t="str">
        <f t="shared" si="8"/>
        <v/>
      </c>
      <c r="D56" s="32"/>
      <c r="E56" s="33"/>
      <c r="F56" s="36"/>
      <c r="G56" s="36"/>
      <c r="H56" s="38" t="str">
        <f t="shared" si="5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9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7"/>
        <v/>
      </c>
      <c r="C57" s="31" t="str">
        <f t="shared" si="8"/>
        <v/>
      </c>
      <c r="D57" s="32"/>
      <c r="E57" s="33"/>
      <c r="F57" s="36"/>
      <c r="G57" s="36"/>
      <c r="H57" s="38" t="str">
        <f t="shared" si="5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9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7"/>
        <v/>
      </c>
      <c r="C58" s="31" t="str">
        <f t="shared" si="8"/>
        <v/>
      </c>
      <c r="D58" s="32"/>
      <c r="E58" s="33"/>
      <c r="F58" s="36"/>
      <c r="G58" s="36"/>
      <c r="H58" s="38" t="str">
        <f t="shared" si="5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9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7"/>
        <v/>
      </c>
      <c r="C59" s="31" t="str">
        <f t="shared" si="8"/>
        <v/>
      </c>
      <c r="D59" s="32"/>
      <c r="E59" s="33"/>
      <c r="F59" s="36"/>
      <c r="G59" s="36"/>
      <c r="H59" s="38" t="str">
        <f t="shared" si="5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9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7"/>
        <v/>
      </c>
      <c r="C60" s="31" t="str">
        <f t="shared" si="8"/>
        <v/>
      </c>
      <c r="D60" s="32"/>
      <c r="E60" s="33"/>
      <c r="F60" s="36"/>
      <c r="G60" s="36"/>
      <c r="H60" s="38" t="str">
        <f t="shared" si="5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9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7"/>
        <v/>
      </c>
      <c r="C61" s="31" t="str">
        <f t="shared" si="8"/>
        <v/>
      </c>
      <c r="D61" s="32"/>
      <c r="E61" s="33"/>
      <c r="F61" s="36"/>
      <c r="G61" s="36"/>
      <c r="H61" s="38" t="str">
        <f t="shared" si="5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9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7"/>
        <v/>
      </c>
      <c r="C62" s="31" t="str">
        <f t="shared" si="8"/>
        <v/>
      </c>
      <c r="D62" s="32"/>
      <c r="E62" s="33"/>
      <c r="F62" s="36"/>
      <c r="G62" s="36"/>
      <c r="H62" s="38" t="str">
        <f t="shared" si="5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9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7"/>
        <v/>
      </c>
      <c r="C63" s="31" t="str">
        <f t="shared" si="8"/>
        <v/>
      </c>
      <c r="D63" s="32"/>
      <c r="E63" s="33"/>
      <c r="F63" s="36"/>
      <c r="G63" s="36"/>
      <c r="H63" s="38" t="str">
        <f t="shared" si="5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9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7"/>
        <v/>
      </c>
      <c r="C64" s="31" t="str">
        <f t="shared" si="8"/>
        <v/>
      </c>
      <c r="D64" s="32"/>
      <c r="E64" s="33"/>
      <c r="F64" s="36"/>
      <c r="G64" s="36"/>
      <c r="H64" s="38" t="str">
        <f t="shared" si="5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9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7"/>
        <v/>
      </c>
      <c r="C65" s="31" t="str">
        <f t="shared" si="8"/>
        <v/>
      </c>
      <c r="D65" s="32"/>
      <c r="E65" s="33"/>
      <c r="F65" s="36"/>
      <c r="G65" s="36"/>
      <c r="H65" s="38" t="str">
        <f t="shared" si="5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9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7"/>
        <v/>
      </c>
      <c r="C66" s="31" t="str">
        <f t="shared" si="8"/>
        <v/>
      </c>
      <c r="D66" s="32"/>
      <c r="E66" s="33"/>
      <c r="F66" s="36"/>
      <c r="G66" s="36"/>
      <c r="H66" s="38" t="str">
        <f t="shared" si="5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9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7"/>
        <v/>
      </c>
      <c r="C67" s="31" t="str">
        <f t="shared" si="8"/>
        <v/>
      </c>
      <c r="D67" s="32"/>
      <c r="E67" s="33"/>
      <c r="F67" s="36"/>
      <c r="G67" s="36"/>
      <c r="H67" s="38" t="str">
        <f t="shared" si="5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9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7"/>
        <v/>
      </c>
      <c r="C68" s="31" t="str">
        <f t="shared" si="8"/>
        <v/>
      </c>
      <c r="D68" s="32"/>
      <c r="E68" s="33"/>
      <c r="F68" s="36"/>
      <c r="G68" s="36"/>
      <c r="H68" s="38" t="str">
        <f t="shared" si="5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9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7"/>
        <v/>
      </c>
      <c r="C69" s="31" t="str">
        <f t="shared" si="8"/>
        <v/>
      </c>
      <c r="D69" s="32"/>
      <c r="E69" s="33"/>
      <c r="F69" s="36"/>
      <c r="G69" s="36"/>
      <c r="H69" s="38" t="str">
        <f t="shared" si="5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9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7"/>
        <v/>
      </c>
      <c r="C70" s="31" t="str">
        <f t="shared" si="8"/>
        <v/>
      </c>
      <c r="D70" s="32"/>
      <c r="E70" s="33"/>
      <c r="F70" s="36"/>
      <c r="G70" s="36"/>
      <c r="H70" s="38" t="str">
        <f t="shared" si="5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9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7"/>
        <v/>
      </c>
      <c r="C71" s="31" t="str">
        <f t="shared" si="8"/>
        <v/>
      </c>
      <c r="D71" s="32"/>
      <c r="E71" s="33"/>
      <c r="F71" s="36"/>
      <c r="G71" s="36"/>
      <c r="H71" s="38" t="str">
        <f t="shared" si="5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9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7"/>
        <v/>
      </c>
      <c r="C72" s="31" t="str">
        <f t="shared" si="8"/>
        <v/>
      </c>
      <c r="D72" s="32"/>
      <c r="E72" s="33"/>
      <c r="F72" s="36"/>
      <c r="G72" s="36"/>
      <c r="H72" s="38" t="str">
        <f t="shared" si="5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9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7"/>
        <v/>
      </c>
      <c r="C73" s="31" t="str">
        <f t="shared" si="8"/>
        <v/>
      </c>
      <c r="D73" s="32"/>
      <c r="E73" s="33"/>
      <c r="F73" s="36"/>
      <c r="G73" s="36"/>
      <c r="H73" s="38" t="str">
        <f t="shared" si="5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9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7"/>
        <v/>
      </c>
      <c r="C74" s="31" t="str">
        <f t="shared" si="8"/>
        <v/>
      </c>
      <c r="D74" s="32"/>
      <c r="E74" s="33"/>
      <c r="F74" s="36"/>
      <c r="G74" s="36"/>
      <c r="H74" s="38" t="str">
        <f t="shared" si="5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9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7"/>
        <v/>
      </c>
      <c r="C75" s="31" t="str">
        <f t="shared" si="8"/>
        <v/>
      </c>
      <c r="D75" s="32"/>
      <c r="E75" s="33"/>
      <c r="F75" s="36"/>
      <c r="G75" s="36"/>
      <c r="H75" s="38" t="str">
        <f t="shared" si="5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9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7"/>
        <v/>
      </c>
      <c r="C76" s="31" t="str">
        <f t="shared" si="8"/>
        <v/>
      </c>
      <c r="D76" s="32"/>
      <c r="E76" s="33"/>
      <c r="F76" s="36"/>
      <c r="G76" s="36"/>
      <c r="H76" s="38" t="str">
        <f t="shared" si="5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9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7"/>
        <v/>
      </c>
      <c r="C77" s="31" t="str">
        <f t="shared" si="8"/>
        <v/>
      </c>
      <c r="D77" s="32"/>
      <c r="E77" s="33"/>
      <c r="F77" s="36"/>
      <c r="G77" s="36"/>
      <c r="H77" s="38" t="str">
        <f t="shared" si="5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9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7"/>
        <v/>
      </c>
      <c r="C78" s="31" t="str">
        <f t="shared" si="8"/>
        <v/>
      </c>
      <c r="D78" s="32"/>
      <c r="E78" s="33"/>
      <c r="F78" s="36"/>
      <c r="G78" s="36"/>
      <c r="H78" s="38" t="str">
        <f t="shared" si="5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9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7"/>
        <v/>
      </c>
      <c r="C79" s="31" t="str">
        <f t="shared" si="8"/>
        <v/>
      </c>
      <c r="D79" s="32"/>
      <c r="E79" s="33"/>
      <c r="F79" s="36"/>
      <c r="G79" s="36"/>
      <c r="H79" s="38" t="str">
        <f t="shared" si="5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9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7"/>
        <v/>
      </c>
      <c r="C80" s="31" t="str">
        <f t="shared" si="8"/>
        <v/>
      </c>
      <c r="D80" s="32"/>
      <c r="E80" s="33"/>
      <c r="F80" s="36"/>
      <c r="G80" s="36"/>
      <c r="H80" s="38" t="str">
        <f t="shared" si="5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9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0">IF(C81="","",$B$2)</f>
        <v/>
      </c>
      <c r="C81" s="31" t="str">
        <f t="shared" ref="C81:C106" si="11">IF(I81="","",$C$2)</f>
        <v/>
      </c>
      <c r="D81" s="32"/>
      <c r="E81" s="33"/>
      <c r="F81" s="36"/>
      <c r="G81" s="36"/>
      <c r="H81" s="38" t="str">
        <f t="shared" si="5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2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0"/>
        <v/>
      </c>
      <c r="C82" s="31" t="str">
        <f t="shared" si="11"/>
        <v/>
      </c>
      <c r="D82" s="32"/>
      <c r="E82" s="33"/>
      <c r="F82" s="36"/>
      <c r="G82" s="36"/>
      <c r="H82" s="38" t="str">
        <f t="shared" ref="H82:H106" si="13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2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0"/>
        <v/>
      </c>
      <c r="C83" s="31" t="str">
        <f t="shared" si="11"/>
        <v/>
      </c>
      <c r="D83" s="32"/>
      <c r="E83" s="33"/>
      <c r="F83" s="36"/>
      <c r="G83" s="36"/>
      <c r="H83" s="38" t="str">
        <f t="shared" si="13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2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0"/>
        <v/>
      </c>
      <c r="C84" s="31" t="str">
        <f t="shared" si="11"/>
        <v/>
      </c>
      <c r="D84" s="32"/>
      <c r="E84" s="33"/>
      <c r="F84" s="36"/>
      <c r="G84" s="36"/>
      <c r="H84" s="38" t="str">
        <f t="shared" si="13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2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0"/>
        <v/>
      </c>
      <c r="C85" s="31" t="str">
        <f t="shared" si="11"/>
        <v/>
      </c>
      <c r="D85" s="32"/>
      <c r="E85" s="33"/>
      <c r="F85" s="36"/>
      <c r="G85" s="36"/>
      <c r="H85" s="38" t="str">
        <f t="shared" si="13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2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0"/>
        <v/>
      </c>
      <c r="C86" s="31" t="str">
        <f t="shared" si="11"/>
        <v/>
      </c>
      <c r="D86" s="32"/>
      <c r="E86" s="33"/>
      <c r="F86" s="36"/>
      <c r="G86" s="36"/>
      <c r="H86" s="38" t="str">
        <f t="shared" si="13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2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0"/>
        <v/>
      </c>
      <c r="C87" s="31" t="str">
        <f t="shared" si="11"/>
        <v/>
      </c>
      <c r="D87" s="32"/>
      <c r="E87" s="33"/>
      <c r="F87" s="36"/>
      <c r="G87" s="36"/>
      <c r="H87" s="38" t="str">
        <f t="shared" si="13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2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0"/>
        <v/>
      </c>
      <c r="C88" s="31" t="str">
        <f t="shared" si="11"/>
        <v/>
      </c>
      <c r="D88" s="32"/>
      <c r="E88" s="33"/>
      <c r="F88" s="36"/>
      <c r="G88" s="36"/>
      <c r="H88" s="38" t="str">
        <f t="shared" si="13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2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0"/>
        <v/>
      </c>
      <c r="C89" s="31" t="str">
        <f t="shared" si="11"/>
        <v/>
      </c>
      <c r="D89" s="32"/>
      <c r="E89" s="33"/>
      <c r="F89" s="36"/>
      <c r="G89" s="36"/>
      <c r="H89" s="38" t="str">
        <f t="shared" si="13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2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0"/>
        <v/>
      </c>
      <c r="C90" s="31" t="str">
        <f t="shared" si="11"/>
        <v/>
      </c>
      <c r="D90" s="32"/>
      <c r="E90" s="33"/>
      <c r="F90" s="36"/>
      <c r="G90" s="36"/>
      <c r="H90" s="38" t="str">
        <f t="shared" si="13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2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0"/>
        <v/>
      </c>
      <c r="C91" s="31" t="str">
        <f t="shared" si="11"/>
        <v/>
      </c>
      <c r="D91" s="32"/>
      <c r="E91" s="33"/>
      <c r="F91" s="36"/>
      <c r="G91" s="36"/>
      <c r="H91" s="38" t="str">
        <f t="shared" si="13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2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0"/>
        <v/>
      </c>
      <c r="C92" s="31" t="str">
        <f t="shared" si="11"/>
        <v/>
      </c>
      <c r="D92" s="32"/>
      <c r="E92" s="33"/>
      <c r="F92" s="36"/>
      <c r="G92" s="36"/>
      <c r="H92" s="38" t="str">
        <f t="shared" si="13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2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0"/>
        <v/>
      </c>
      <c r="C93" s="31" t="str">
        <f t="shared" si="11"/>
        <v/>
      </c>
      <c r="D93" s="32"/>
      <c r="E93" s="33"/>
      <c r="F93" s="36"/>
      <c r="G93" s="36"/>
      <c r="H93" s="38" t="str">
        <f t="shared" si="13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2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0"/>
        <v/>
      </c>
      <c r="C94" s="31" t="str">
        <f t="shared" si="11"/>
        <v/>
      </c>
      <c r="D94" s="32"/>
      <c r="E94" s="33"/>
      <c r="F94" s="36"/>
      <c r="G94" s="36"/>
      <c r="H94" s="38" t="str">
        <f t="shared" si="13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2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0"/>
        <v/>
      </c>
      <c r="C95" s="31" t="str">
        <f t="shared" si="11"/>
        <v/>
      </c>
      <c r="D95" s="32"/>
      <c r="E95" s="33"/>
      <c r="F95" s="36"/>
      <c r="G95" s="36"/>
      <c r="H95" s="38" t="str">
        <f t="shared" si="13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2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0"/>
        <v/>
      </c>
      <c r="C96" s="31" t="str">
        <f t="shared" si="11"/>
        <v/>
      </c>
      <c r="D96" s="32"/>
      <c r="E96" s="33"/>
      <c r="F96" s="36"/>
      <c r="G96" s="36"/>
      <c r="H96" s="38" t="str">
        <f t="shared" si="13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2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0"/>
        <v/>
      </c>
      <c r="C97" s="31" t="str">
        <f t="shared" si="11"/>
        <v/>
      </c>
      <c r="D97" s="32"/>
      <c r="E97" s="33"/>
      <c r="F97" s="36"/>
      <c r="G97" s="36"/>
      <c r="H97" s="38" t="str">
        <f t="shared" si="13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2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0"/>
        <v/>
      </c>
      <c r="C98" s="31" t="str">
        <f t="shared" si="11"/>
        <v/>
      </c>
      <c r="D98" s="32"/>
      <c r="E98" s="33"/>
      <c r="F98" s="36"/>
      <c r="G98" s="36"/>
      <c r="H98" s="38" t="str">
        <f t="shared" si="13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2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0"/>
        <v/>
      </c>
      <c r="C99" s="31" t="str">
        <f t="shared" si="11"/>
        <v/>
      </c>
      <c r="D99" s="32"/>
      <c r="E99" s="33"/>
      <c r="F99" s="36"/>
      <c r="G99" s="36"/>
      <c r="H99" s="38" t="str">
        <f t="shared" si="13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2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0"/>
        <v/>
      </c>
      <c r="C100" s="31" t="str">
        <f t="shared" si="11"/>
        <v/>
      </c>
      <c r="D100" s="32"/>
      <c r="E100" s="33"/>
      <c r="F100" s="36"/>
      <c r="G100" s="36"/>
      <c r="H100" s="38" t="str">
        <f t="shared" si="13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2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0"/>
        <v/>
      </c>
      <c r="C101" s="31" t="str">
        <f t="shared" si="11"/>
        <v/>
      </c>
      <c r="D101" s="32"/>
      <c r="E101" s="33"/>
      <c r="F101" s="36"/>
      <c r="G101" s="36"/>
      <c r="H101" s="38" t="str">
        <f t="shared" si="13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2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0"/>
        <v/>
      </c>
      <c r="C102" s="31" t="str">
        <f t="shared" si="11"/>
        <v/>
      </c>
      <c r="D102" s="32"/>
      <c r="E102" s="33"/>
      <c r="F102" s="36"/>
      <c r="G102" s="36"/>
      <c r="H102" s="38" t="str">
        <f t="shared" si="13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2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0"/>
        <v/>
      </c>
      <c r="C103" s="31" t="str">
        <f t="shared" si="11"/>
        <v/>
      </c>
      <c r="D103" s="32"/>
      <c r="E103" s="33"/>
      <c r="F103" s="36"/>
      <c r="G103" s="36"/>
      <c r="H103" s="38" t="str">
        <f t="shared" si="13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2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0"/>
        <v/>
      </c>
      <c r="C104" s="31" t="str">
        <f t="shared" si="11"/>
        <v/>
      </c>
      <c r="D104" s="32"/>
      <c r="E104" s="33"/>
      <c r="F104" s="36"/>
      <c r="G104" s="36"/>
      <c r="H104" s="38" t="str">
        <f t="shared" si="13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2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0"/>
        <v/>
      </c>
      <c r="C105" s="31" t="str">
        <f t="shared" si="11"/>
        <v/>
      </c>
      <c r="D105" s="32"/>
      <c r="E105" s="33"/>
      <c r="F105" s="36"/>
      <c r="G105" s="36"/>
      <c r="H105" s="38" t="str">
        <f t="shared" si="13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2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0"/>
        <v/>
      </c>
      <c r="C106" s="31" t="str">
        <f t="shared" si="11"/>
        <v/>
      </c>
      <c r="D106" s="32"/>
      <c r="E106" s="33"/>
      <c r="F106" s="36"/>
      <c r="G106" s="36"/>
      <c r="H106" s="38" t="str">
        <f t="shared" si="13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2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errorStyle="information" allowBlank="1" showInputMessage="1" showErrorMessage="1" errorTitle="CLOSED LIST" error="Choose existent" sqref="J37:J106 J17:J34" xr:uid="{6E6E87EB-6B2E-4115-AC72-27BF42D43D52}">
      <formula1>X$17:X$18</formula1>
    </dataValidation>
    <dataValidation type="list" allowBlank="1" showInputMessage="1" showErrorMessage="1" sqref="E37:E106 E17:E34" xr:uid="{188C7F93-0849-4F67-B34B-30A551E8AF8C}">
      <formula1>$AN$17:$AN$21</formula1>
    </dataValidation>
    <dataValidation type="list" allowBlank="1" showInputMessage="1" showErrorMessage="1" sqref="K37:K106 K17:K34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37:M106 M17:M34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37:L106 L17:L34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803</v>
      </c>
      <c r="E3" s="133" t="s">
        <v>804</v>
      </c>
      <c r="F3" s="133" t="s">
        <v>805</v>
      </c>
      <c r="G3" s="133" t="s">
        <v>806</v>
      </c>
      <c r="H3" s="133" t="s">
        <v>807</v>
      </c>
      <c r="I3" s="134" t="s">
        <v>808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764</v>
      </c>
      <c r="E4" s="137" t="s">
        <v>765</v>
      </c>
      <c r="F4" s="137" t="s">
        <v>766</v>
      </c>
      <c r="G4" s="137" t="s">
        <v>767</v>
      </c>
      <c r="H4" s="137" t="s">
        <v>768</v>
      </c>
      <c r="I4" s="138" t="s">
        <v>769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787</v>
      </c>
      <c r="E6" s="137" t="s">
        <v>788</v>
      </c>
      <c r="F6" s="137" t="s">
        <v>789</v>
      </c>
      <c r="G6" s="137" t="s">
        <v>780</v>
      </c>
      <c r="H6" s="137" t="s">
        <v>779</v>
      </c>
      <c r="I6" s="138" t="s">
        <v>790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754</v>
      </c>
      <c r="F7" s="137" t="s">
        <v>755</v>
      </c>
      <c r="G7" s="137" t="s">
        <v>756</v>
      </c>
      <c r="H7" s="137" t="s">
        <v>757</v>
      </c>
      <c r="I7" s="137" t="s">
        <v>824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770</v>
      </c>
      <c r="F8" s="137" t="s">
        <v>771</v>
      </c>
      <c r="G8" s="137" t="s">
        <v>772</v>
      </c>
      <c r="H8" s="137" t="s">
        <v>773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818</v>
      </c>
      <c r="E9" s="137" t="s">
        <v>819</v>
      </c>
      <c r="F9" s="137" t="s">
        <v>820</v>
      </c>
      <c r="G9" s="137" t="s">
        <v>821</v>
      </c>
      <c r="H9" s="137" t="s">
        <v>822</v>
      </c>
      <c r="I9" s="138" t="s">
        <v>823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809</v>
      </c>
      <c r="E10" s="137" t="s">
        <v>810</v>
      </c>
      <c r="F10" s="137" t="s">
        <v>811</v>
      </c>
      <c r="G10" s="137" t="s">
        <v>812</v>
      </c>
      <c r="H10" s="137" t="s">
        <v>813</v>
      </c>
      <c r="I10" s="138" t="s">
        <v>814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758</v>
      </c>
      <c r="E13" s="137" t="s">
        <v>759</v>
      </c>
      <c r="F13" s="137" t="s">
        <v>760</v>
      </c>
      <c r="G13" s="137" t="s">
        <v>761</v>
      </c>
      <c r="H13" s="137" t="s">
        <v>762</v>
      </c>
      <c r="I13" s="138" t="s">
        <v>763</v>
      </c>
      <c r="J13" s="139"/>
      <c r="K13" s="137" t="s">
        <v>774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781</v>
      </c>
      <c r="E14" s="137" t="s">
        <v>782</v>
      </c>
      <c r="F14" s="137" t="s">
        <v>783</v>
      </c>
      <c r="G14" s="137" t="s">
        <v>784</v>
      </c>
      <c r="H14" s="137" t="s">
        <v>785</v>
      </c>
      <c r="I14" s="138" t="s">
        <v>786</v>
      </c>
      <c r="J14" s="139"/>
      <c r="K14" s="137" t="s">
        <v>775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776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7" t="s">
        <v>780</v>
      </c>
      <c r="J16" s="139"/>
      <c r="K16" s="137" t="s">
        <v>777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749</v>
      </c>
      <c r="E17" s="137" t="s">
        <v>750</v>
      </c>
      <c r="F17" s="137" t="s">
        <v>751</v>
      </c>
      <c r="G17" s="137" t="s">
        <v>752</v>
      </c>
      <c r="H17" s="137" t="s">
        <v>753</v>
      </c>
      <c r="I17" s="138"/>
      <c r="J17" s="139"/>
      <c r="K17" s="137" t="s">
        <v>778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791</v>
      </c>
      <c r="E18" s="137" t="s">
        <v>792</v>
      </c>
      <c r="F18" s="137" t="s">
        <v>793</v>
      </c>
      <c r="G18" s="137" t="s">
        <v>794</v>
      </c>
      <c r="H18" s="137" t="s">
        <v>795</v>
      </c>
      <c r="I18" s="138" t="s">
        <v>796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815</v>
      </c>
      <c r="E19" s="137" t="s">
        <v>792</v>
      </c>
      <c r="F19" s="137" t="s">
        <v>816</v>
      </c>
      <c r="G19" s="137" t="s">
        <v>817</v>
      </c>
      <c r="H19" s="137" t="s">
        <v>795</v>
      </c>
      <c r="I19" s="138" t="s">
        <v>796</v>
      </c>
      <c r="J19" s="139" t="s">
        <v>774</v>
      </c>
      <c r="K19" s="137" t="s">
        <v>775</v>
      </c>
      <c r="L19" s="137" t="s">
        <v>776</v>
      </c>
      <c r="M19" s="137" t="s">
        <v>777</v>
      </c>
      <c r="N19" s="140" t="s">
        <v>778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 t="s">
        <v>797</v>
      </c>
      <c r="E22" s="142" t="s">
        <v>798</v>
      </c>
      <c r="F22" s="142" t="s">
        <v>799</v>
      </c>
      <c r="G22" s="142" t="s">
        <v>800</v>
      </c>
      <c r="H22" s="142" t="s">
        <v>801</v>
      </c>
      <c r="I22" s="143" t="s">
        <v>802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3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REPORT_U2025101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"U2025101"</v>
      </c>
      <c r="F3" s="45" t="str">
        <f t="shared" ref="F3:F16" si="0">""""&amp;B3&amp;"""" &amp; " : " &amp;C3&amp;","</f>
        <v>"name" : "U2025101",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"U101"</v>
      </c>
      <c r="F4" s="45" t="str">
        <f t="shared" si="0"/>
        <v>"cod" : "U101",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101</v>
      </c>
      <c r="F6" s="45" t="str">
        <f t="shared" si="0"/>
        <v>"number" : 101,</v>
      </c>
    </row>
    <row r="7" spans="2:6" x14ac:dyDescent="0.25">
      <c r="B7" s="43" t="s">
        <v>116</v>
      </c>
      <c r="C7" s="43" t="str">
        <f ca="1">""""&amp;TEXT('SCOUT &amp; LOGISTICS'!B3,"dd/mm/aaaa")&amp;""""</f>
        <v>"17/12/2025"</v>
      </c>
      <c r="F7" s="45" t="str">
        <f t="shared" ca="1" si="0"/>
        <v>"date" : "17/12/2025",</v>
      </c>
    </row>
    <row r="8" spans="2:6" x14ac:dyDescent="0.25">
      <c r="B8" s="43" t="s">
        <v>125</v>
      </c>
      <c r="C8" s="43" t="str">
        <f>""""&amp;'SCOUT &amp; LOGISTICS'!D4 &amp;""""</f>
        <v>"Slask Wroclaw"</v>
      </c>
      <c r="F8" s="45" t="str">
        <f t="shared" si="0"/>
        <v>"home_team" : "Slask Wroclaw",</v>
      </c>
    </row>
    <row r="9" spans="2:6" x14ac:dyDescent="0.25">
      <c r="B9" s="43" t="s">
        <v>126</v>
      </c>
      <c r="C9" s="43" t="str">
        <f>""""&amp;'SCOUT &amp; LOGISTICS'!D5&amp;""""</f>
        <v>"BAXI Manresa"</v>
      </c>
      <c r="F9" s="45" t="str">
        <f t="shared" si="0"/>
        <v>"away_team" : "BAXI Manresa",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"AGNIESKA WYSOCKA"</v>
      </c>
      <c r="F10" s="45" t="str">
        <f t="shared" si="0"/>
        <v>"Data_entry" : "AGNIESKA WYSOCKA",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"DOROTA RECZUCH"</v>
      </c>
      <c r="F11" s="45" t="str">
        <f t="shared" si="0"/>
        <v>"Caller_1" : "DOROTA RECZUCH",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"KATARZYNA LESIECKA"</v>
      </c>
      <c r="F12" s="45" t="str">
        <f t="shared" si="0"/>
        <v>"Caller_2" : "KATARZYNA LESIECKA",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"EMILIA GLOGOWSKA"</v>
      </c>
      <c r="F13" s="45" t="str">
        <f t="shared" si="0"/>
        <v>"Timerkeeper" : "EMILIA GLOGOWSKA",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"MATEUSZ KOJKA"</v>
      </c>
      <c r="F14" s="45" t="str">
        <f t="shared" si="0"/>
        <v>"Shotclock" : "MATEUSZ KOJKA",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"PABLO CAMPOY"</v>
      </c>
      <c r="F16" s="45" t="str">
        <f t="shared" si="0"/>
        <v>"Live_Game_Manager" : "PABLO CAMPOY",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725</v>
      </c>
      <c r="F25" s="45" t="str">
        <f t="shared" ref="F25:F48" si="1">""""&amp;C25&amp;"""" &amp; " : " &amp;D25&amp;","</f>
        <v>"total_actions" : 725,</v>
      </c>
    </row>
    <row r="26" spans="2:6" x14ac:dyDescent="0.25">
      <c r="C26" s="43" t="s">
        <v>132</v>
      </c>
      <c r="D26" s="43">
        <f>'SCOUT &amp; LOGISTICS'!F3</f>
        <v>5</v>
      </c>
      <c r="F26" s="45" t="str">
        <f t="shared" si="1"/>
        <v>"total_correcions" : 5,</v>
      </c>
    </row>
    <row r="27" spans="2:6" x14ac:dyDescent="0.25">
      <c r="C27" s="43" t="s">
        <v>133</v>
      </c>
      <c r="D27" s="43" t="str">
        <f>""""&amp;IF(OR(D25="",D25=0),"",TEXT(D26/D25,"0,0%"))&amp;""""</f>
        <v>"0,7%"</v>
      </c>
      <c r="F27" s="45" t="str">
        <f t="shared" si="1"/>
        <v>"%_corrections" : "0,7%",</v>
      </c>
    </row>
    <row r="28" spans="2:6" x14ac:dyDescent="0.25">
      <c r="C28" s="43" t="s">
        <v>125</v>
      </c>
      <c r="D28" s="43">
        <f>IF('SCOUT &amp; LOGISTICS'!AA17="","",'SCOUT &amp; LOGISTICS'!AA17)</f>
        <v>4</v>
      </c>
      <c r="F28" s="45" t="str">
        <f t="shared" si="1"/>
        <v>"home_team" : 4,</v>
      </c>
    </row>
    <row r="29" spans="2:6" x14ac:dyDescent="0.25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2</v>
      </c>
      <c r="F32" s="45" t="str">
        <f t="shared" si="1"/>
        <v>"q2" : 2,</v>
      </c>
    </row>
    <row r="33" spans="3:6" x14ac:dyDescent="0.25">
      <c r="C33" s="43" t="s">
        <v>137</v>
      </c>
      <c r="D33" s="43">
        <f>'SCOUT &amp; LOGISTICS'!AG19</f>
        <v>3</v>
      </c>
      <c r="F33" s="45" t="str">
        <f t="shared" si="1"/>
        <v>"q3" : 3,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5</v>
      </c>
      <c r="F37" s="45" t="str">
        <f t="shared" si="1"/>
        <v>"scoresheet_corrections" : 5,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2</v>
      </c>
      <c r="F46" s="45" t="str">
        <f t="shared" si="1"/>
        <v>"part_of_a_sequence" : 2,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 t="e">
        <f>'SCOUT &amp; LOGISTICS'!R16</f>
        <v>#REF!</v>
      </c>
      <c r="F49" s="45" t="e">
        <f>""""&amp;C49&amp;"""" &amp; " : " &amp;D49</f>
        <v>#REF!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"Great job! The main problems were due to a the confusion between numbers 6 and 8 of Manresa, too similar."</v>
      </c>
      <c r="F51" s="45" t="str">
        <f>""""&amp;B51&amp;"""" &amp; " : " &amp;C51&amp;","</f>
        <v>"comments" : "Great job! The main problems were due to a the confusion between numbers 6 and 8 of Manresa, too similar.",</v>
      </c>
    </row>
    <row r="52" spans="2:6" x14ac:dyDescent="0.25">
      <c r="B52" s="43" t="s">
        <v>153</v>
      </c>
      <c r="C52" s="43" t="str">
        <f>TEXT('SCOUT &amp; LOGISTICS'!F1,"0,0")</f>
        <v>11_101_WRO_MAN_U2025</v>
      </c>
      <c r="F52" s="45" t="str">
        <f>""""&amp;B52&amp;"""" &amp; " : " &amp;C52</f>
        <v>"result" : 11_101_WRO_MAN_U2025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5.5" zeroHeight="1" x14ac:dyDescent="0.4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45"/>
    <row r="2" spans="1:33" ht="42.65" customHeight="1" thickBot="1" x14ac:dyDescent="0.5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5">
      <c r="A3" s="48"/>
      <c r="B3" s="202" t="str">
        <f>"GAME: "&amp; LEFT('SCOUT &amp; LOGISTICS'!B2,1) &amp; TEXT('SCOUT &amp; LOGISTICS'!C2,"000") &amp; " " &amp; IF(LEFT('SCOUT &amp; LOGISTICS'!B2,1)="U","(EUROCUP)","(EUROLEAGUE)")</f>
        <v>GAME: U101 (EUROCUP)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5">
      <c r="A4" s="48"/>
      <c r="B4" s="200" t="str">
        <f ca="1">"DATE: " &amp; TEXT('SCOUT &amp; LOGISTICS'!B3,"dd/mm")</f>
        <v>DATE: 17/12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5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5">
      <c r="A6" s="48"/>
      <c r="B6" s="197" t="str">
        <f>PROPER('SCOUT &amp; LOGISTICS'!D4)</f>
        <v>Slask Wroclaw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Baxi Manresa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5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5">
      <c r="A8" s="48"/>
      <c r="B8" s="201" t="str">
        <f>IF('SCOUT &amp; LOGISTICS'!D6="","",'SCOUT &amp; LOGISTICS'!D6)</f>
        <v>AGNIESKA WYSOCKA</v>
      </c>
      <c r="C8" s="201"/>
      <c r="D8" s="201"/>
      <c r="E8" s="201"/>
      <c r="F8" s="201"/>
      <c r="G8" s="201" t="str">
        <f>IF('SCOUT &amp; LOGISTICS'!D7="","",'SCOUT &amp; LOGISTICS'!D7)</f>
        <v>DOROTA RECZUCH</v>
      </c>
      <c r="H8" s="201"/>
      <c r="I8" s="201"/>
      <c r="J8" s="201"/>
      <c r="K8" s="201"/>
      <c r="L8" s="201" t="str">
        <f>IF('SCOUT &amp; LOGISTICS'!D8="","",'SCOUT &amp; LOGISTICS'!D8)</f>
        <v>KATARZYNA LESIECKA</v>
      </c>
      <c r="M8" s="201"/>
      <c r="N8" s="201"/>
      <c r="O8" s="201"/>
      <c r="P8" s="201"/>
      <c r="Q8" s="201" t="str">
        <f>IF('SCOUT &amp; LOGISTICS'!D9="","",'SCOUT &amp; LOGISTICS'!D9)</f>
        <v>EMILIA GLOGOWSKA</v>
      </c>
      <c r="R8" s="201"/>
      <c r="S8" s="201"/>
      <c r="T8" s="201"/>
      <c r="U8" s="201"/>
      <c r="V8" s="201" t="str">
        <f>IF('SCOUT &amp; LOGISTICS'!D10="","",'SCOUT &amp; LOGISTICS'!D10)</f>
        <v>MATEUSZ KOJKA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6" thickBot="1" x14ac:dyDescent="0.5">
      <c r="A9" s="48"/>
      <c r="B9" s="209" t="str">
        <f>IF(OR('SCOUT &amp; LOGISTICS'!D14="",'SCOUT &amp; LOGISTICS'!D14=0),"",'SCOUT &amp; LOGISTICS'!B14 &amp; ": " &amp; 'SCOUT &amp; LOGISTICS'!D14) &amp; "     "</f>
        <v xml:space="preserve">L G M: : PABLO CAMPOY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6" thickBot="1" x14ac:dyDescent="0.5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5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5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6" thickBot="1" x14ac:dyDescent="0.5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5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5">
      <c r="A17" s="48"/>
      <c r="B17" s="203">
        <f>'SCOUT &amp; LOGISTICS'!D3</f>
        <v>725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5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6.8965517241379309E-3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6" thickBot="1" x14ac:dyDescent="0.5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5">
      <c r="A20" s="48"/>
      <c r="B20" s="199">
        <f>IF('SCOUT &amp; LOGISTICS'!AA17="","",'SCOUT &amp; LOGISTICS'!AA17)</f>
        <v>4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1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5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2</v>
      </c>
      <c r="I22" s="199"/>
      <c r="J22" s="199"/>
      <c r="K22" s="199"/>
      <c r="L22" s="199"/>
      <c r="M22" s="199"/>
      <c r="N22" s="199">
        <f>'SCOUT &amp; LOGISTICS'!AG19</f>
        <v>3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6" thickBot="1" x14ac:dyDescent="0.5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5">
      <c r="A25" s="48"/>
      <c r="B25" s="199">
        <f>'SCOUT &amp; LOGISTICS'!Y17</f>
        <v>5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5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3</v>
      </c>
      <c r="H27" s="199"/>
      <c r="I27" s="199"/>
      <c r="J27" s="199"/>
      <c r="K27" s="199"/>
      <c r="L27" s="199">
        <f>'SCOUT &amp; LOGISTICS'!AC23</f>
        <v>2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5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6" thickBot="1" x14ac:dyDescent="0.5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5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5">
      <c r="A32" s="48"/>
      <c r="B32" s="211" t="str">
        <f>IF('SCOUT &amp; LOGISTICS'!M4="","",'SCOUT &amp; LOGISTICS'!M4)</f>
        <v>Great job! The main problems were due to a the confusion between numbers 6 and 8 of Manresa, too similar.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5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5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5">
      <c r="A35" s="48"/>
      <c r="B35" s="212">
        <f>'SCOUT &amp; LOGISTICS'!M7</f>
        <v>8.6896551724137936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4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390E323C-802F-4ABF-8E54-211B1ECAF8A7}"/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Pablo Campoy</cp:lastModifiedBy>
  <cp:lastPrinted>2025-12-17T20:29:48Z</cp:lastPrinted>
  <dcterms:created xsi:type="dcterms:W3CDTF">2023-09-19T19:50:35Z</dcterms:created>
  <dcterms:modified xsi:type="dcterms:W3CDTF">2025-12-17T20:30:02Z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