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0" documentId="8_{D56B2E40-159D-4640-BB1E-77D15482E04A}" xr6:coauthVersionLast="47" xr6:coauthVersionMax="47" xr10:uidLastSave="{76E3D5A9-6B25-4ED0-AB85-9C537C975DD3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<sst xmlns="http://schemas.openxmlformats.org/spreadsheetml/2006/main" count="3377" uniqueCount="841">
  <si>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</si>
  <si>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</si>
  <si>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</si>
  <si>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</si>
  <si>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</si>
  <si>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</si>
  <si>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</si>
  <si>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</si>
  <si>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</si>
  <si>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</si>
  <si>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</si>
  <si>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</si>
  <si>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</si>
  <si>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</si>
  <si>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</si>
  <si>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</si>
  <si>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</si>
  <si>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</si>
  <si>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</si>
  <si>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</si>
  <si>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</si>
  <si>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</si>
  <si>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</si>
  <si>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</si>
  <si>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</si>
  <si>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</si>
  <si>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</si>
  <si>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</si>
  <si>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</si>
  <si>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</si>
  <si>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</si>
  <si>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</si>
  <si>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</si>
  <si>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</si>
  <si>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</si>
  <si>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</si>
  <si>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</si>
  <si>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</si>
  <si>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</si>
  <si>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</si>
  <si>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</si>
  <si>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</si>
  <si>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</si>
  <si>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</si>
  <si>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</si>
  <si>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</si>
  <si>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</si>
  <si>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</si>
  <si>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</si>
  <si>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</si>
  <si>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</si>
  <si>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</si>
  <si>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</si>
  <si>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</si>
  <si>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</si>
  <si>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</si>
  <si>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</si>
  <si>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</si>
  <si>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</si>
  <si>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</si>
  <si>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</si>
  <si>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</si>
  <si>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</si>
  <si>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</si>
  <si>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</si>
  <si>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</si>
  <si>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</si>
  <si>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</si>
  <si>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</si>
  <si>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</si>
  <si>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</si>
  <si>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</si>
  <si>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</si>
  <si>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</si>
  <si>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</si>
  <si>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</si>
  <si>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</si>
  <si>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</si>
  <si>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</si>
  <si>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</si>
  <si>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</si>
  <si>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</si>
  <si>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</si>
  <si>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</si>
  <si>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</si>
  <si>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</si>
  <si>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</si>
  <si>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</si>
  <si>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</si>
  <si>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</si>
  <si>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</si>
  <si>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</si>
  <si>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</si>
  <si>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</si>
  <si>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</si>
  <si>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</si>
  <si>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</si>
  <si>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</si>
  <si>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</si>
  <si>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</si>
  <si>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</si>
  <si>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</si>
  <si>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</si>
  <si>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</si>
  <si>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</si>
  <si>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</si>
  <si>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</si>
  <si>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</si>
  <si>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</si>
  <si>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</si>
  <si>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</si>
  <si>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</si>
  <si>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</si>
  <si>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</si>
  <si>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</si>
  <si>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</si>
  <si>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</si>
  <si>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</si>
  <si>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</si>
  <si>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</si>
  <si>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</si>
  <si>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</si>
  <si>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</si>
  <si>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</si>
  <si>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</si>
  <si>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</si>
  <si>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</si>
  <si>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</si>
  <si>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</si>
  <si>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</si>
  <si>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</si>
  <si>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</si>
  <si>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</si>
  <si>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</si>
  <si>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</si>
  <si>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</si>
  <si>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</si>
  <si>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</si>
  <si>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</si>
  <si>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</si>
  <si>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</si>
  <si>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</si>
  <si>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</si>
  <si>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</si>
  <si>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</si>
  <si>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</si>
  <si>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</si>
  <si>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</si>
  <si>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</si>
  <si>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</si>
  <si>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</si>
  <si>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</si>
  <si>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</si>
  <si>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</si>
  <si>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</si>
  <si>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</si>
  <si>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</si>
  <si>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</si>
  <si>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</si>
  <si>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</si>
  <si>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</si>
  <si>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</si>
  <si>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</si>
  <si>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</si>
  <si>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</si>
  <si>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</si>
  <si>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</si>
  <si>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</si>
  <si>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</si>
  <si>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</si>
  <si>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</si>
  <si>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</si>
  <si>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</si>
  <si>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</si>
  <si>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</si>
  <si>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</si>
  <si>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</si>
  <si>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</si>
  <si>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</si>
  <si>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</si>
  <si>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</si>
  <si>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</si>
  <si>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</si>
  <si>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</si>
  <si>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</si>
  <si>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</si>
  <si>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</si>
  <si>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</si>
  <si>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</si>
  <si>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</si>
  <si>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</si>
  <si>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</si>
  <si>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</si>
  <si>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</si>
  <si>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</si>
  <si>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</si>
  <si>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</si>
  <si>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</si>
  <si>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</si>
  <si>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</si>
  <si>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</si>
  <si>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</si>
  <si>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</si>
  <si>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</si>
  <si>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</si>
  <si>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</si>
  <si>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</si>
  <si>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</si>
  <si>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</si>
  <si>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</si>
  <si>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</si>
  <si>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</si>
  <si>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</si>
  <si>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</si>
  <si>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</si>
  <si>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</si>
  <si>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</si>
  <si>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</si>
  <si>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</si>
  <si>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</si>
  <si>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</si>
  <si>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</si>
  <si>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</si>
  <si>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</si>
  <si>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</si>
  <si>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</si>
  <si>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</si>
  <si>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</si>
  <si>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</si>
  <si>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</si>
  <si>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</si>
  <si>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</si>
  <si>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</si>
  <si>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</si>
  <si>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</si>
  <si>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</si>
  <si>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</si>
  <si>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</si>
  <si>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</si>
  <si>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</si>
  <si>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</si>
  <si>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</si>
  <si>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</si>
  <si>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</si>
  <si>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</si>
  <si>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</si>
  <si>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</si>
  <si>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</si>
  <si>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</si>
  <si>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</si>
  <si>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</si>
  <si>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</si>
  <si>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</si>
  <si>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</si>
  <si>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</si>
  <si>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</si>
  <si>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</si>
  <si>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</si>
  <si>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</si>
  <si>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</si>
  <si>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</si>
  <si>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</si>
  <si>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</si>
  <si>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</si>
  <si>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</si>
  <si>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</si>
  <si>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</si>
  <si>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</si>
  <si>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</si>
  <si>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</si>
  <si>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</si>
  <si>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</si>
  <si>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</si>
  <si>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</si>
  <si>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</si>
  <si>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</si>
  <si>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</si>
  <si>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</si>
  <si>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</si>
  <si>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</si>
  <si>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</si>
  <si>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</si>
  <si>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</si>
  <si>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</si>
  <si>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</si>
  <si>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</si>
  <si>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</si>
  <si>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</si>
  <si>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</si>
  <si>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</si>
  <si>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</si>
  <si>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</si>
  <si>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</si>
  <si>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</si>
  <si>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</si>
  <si>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</si>
  <si>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</si>
  <si>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</si>
  <si>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</si>
  <si>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</si>
  <si>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</si>
  <si>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</si>
  <si>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</si>
  <si>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</si>
  <si>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</si>
  <si>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</si>
  <si>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</si>
  <si>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</si>
  <si>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</si>
  <si>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</si>
  <si>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</si>
  <si>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</si>
  <si>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</si>
  <si>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</si>
  <si>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</si>
  <si>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</si>
  <si>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</si>
  <si>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</si>
  <si>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</si>
  <si>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</si>
  <si>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</si>
  <si>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</si>
  <si>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</si>
  <si>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</si>
  <si>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</si>
  <si>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</si>
  <si>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</si>
  <si>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</si>
  <si>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</si>
  <si>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</si>
  <si>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</si>
  <si>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</si>
  <si>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</si>
  <si>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</si>
  <si>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</si>
  <si>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</si>
  <si>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</si>
  <si>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</si>
  <si>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</si>
  <si>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</si>
  <si>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</si>
  <si>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</si>
  <si>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</si>
  <si>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</si>
  <si>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</si>
  <si>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</si>
  <si>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</si>
  <si>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</si>
  <si>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</si>
  <si>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</si>
  <si>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</si>
  <si>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</si>
  <si>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</si>
  <si>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</si>
  <si>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</si>
  <si>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</si>
  <si>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</si>
  <si>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</si>
  <si>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</si>
  <si>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</si>
  <si>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</si>
  <si>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</si>
  <si>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</si>
  <si>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</si>
  <si>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</si>
  <si>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</si>
  <si>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</si>
  <si>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</si>
  <si>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</si>
  <si>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</si>
  <si>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</si>
  <si>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</si>
  <si>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</si>
  <si>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</si>
  <si>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</si>
  <si>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</si>
  <si>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</si>
  <si>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</si>
  <si>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</si>
  <si>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</si>
  <si>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</si>
  <si>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</si>
  <si>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</si>
  <si>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</si>
  <si>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</si>
  <si>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</si>
  <si>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</si>
  <si>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</si>
  <si>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</si>
  <si>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</si>
  <si>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</si>
  <si>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</si>
  <si>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</si>
  <si>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</si>
  <si>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</si>
  <si>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</si>
  <si>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</si>
  <si>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</si>
  <si>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</si>
  <si>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</si>
  <si>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</si>
  <si>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</si>
  <si>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</si>
  <si>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</si>
  <si>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</si>
  <si>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</si>
  <si>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</si>
  <si>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</si>
  <si>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</si>
  <si>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</si>
  <si>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</si>
  <si>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</si>
  <si>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</si>
  <si>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</si>
  <si>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</si>
  <si>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</si>
  <si>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</si>
  <si>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</si>
  <si>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</si>
  <si>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</si>
  <si>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</si>
  <si>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</si>
  <si>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</si>
  <si>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</si>
  <si>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</si>
  <si>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</si>
  <si>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</si>
  <si>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</si>
  <si>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</si>
  <si>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</si>
  <si>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</si>
  <si>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</si>
  <si>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</si>
  <si>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</si>
  <si>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</si>
  <si>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</si>
  <si>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</si>
  <si>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</si>
  <si>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</si>
  <si>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</si>
  <si>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</si>
  <si>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</si>
  <si>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</si>
  <si>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</si>
  <si>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</si>
  <si>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</si>
  <si>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</si>
  <si>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</si>
  <si>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</si>
  <si>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</si>
  <si>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</si>
  <si>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</si>
  <si>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</si>
  <si>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</si>
  <si>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</si>
  <si>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</si>
  <si>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</si>
  <si>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</si>
  <si>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</si>
  <si>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</si>
  <si>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</si>
  <si>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</si>
  <si>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</si>
  <si>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</si>
  <si>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</si>
  <si>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</si>
  <si>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</si>
  <si>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</si>
  <si>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</si>
  <si>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</si>
  <si>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</si>
  <si>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</si>
  <si>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</si>
  <si>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</si>
  <si>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</si>
  <si>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</si>
  <si>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</si>
  <si>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</si>
  <si>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</si>
  <si>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</si>
  <si>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</si>
  <si>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</si>
  <si>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</si>
  <si>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</si>
  <si>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</si>
  <si>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</si>
  <si>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</si>
  <si>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</si>
  <si>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</si>
  <si>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</si>
  <si>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</si>
  <si>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</si>
  <si>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</si>
  <si>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</si>
  <si>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</si>
  <si>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</si>
  <si>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</si>
  <si>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</si>
  <si>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</si>
  <si>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</si>
  <si>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</si>
  <si>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</si>
  <si>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</si>
  <si>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</si>
  <si>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</si>
  <si>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</si>
  <si>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</si>
  <si>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</si>
  <si>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</si>
  <si>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</si>
  <si>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</si>
  <si>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</si>
  <si>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</si>
  <si>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</si>
  <si>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</si>
  <si>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</si>
  <si>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</si>
  <si>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</si>
  <si>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</si>
  <si>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</si>
  <si>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</si>
  <si>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</si>
  <si>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</si>
  <si>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</si>
  <si>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</si>
  <si>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</si>
  <si>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</si>
  <si>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</si>
  <si>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</si>
  <si>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</si>
  <si>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</si>
  <si>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</si>
  <si>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</si>
  <si>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</si>
  <si>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</si>
  <si>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</si>
  <si>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</si>
  <si>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</si>
  <si>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</si>
  <si>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</si>
  <si>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</si>
  <si>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</si>
  <si>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</si>
  <si>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</si>
  <si>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</si>
  <si>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</si>
  <si>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</si>
  <si>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</si>
  <si>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</si>
  <si>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</si>
  <si>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</si>
  <si>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</si>
  <si>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</si>
  <si>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</si>
  <si>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</si>
  <si>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</si>
  <si>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</si>
  <si>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</si>
  <si>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</si>
  <si>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</si>
  <si>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</si>
  <si>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</si>
  <si>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</si>
  <si>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</si>
  <si>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</si>
  <si>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</si>
  <si>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</si>
  <si>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</si>
  <si>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</si>
  <si>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</si>
  <si>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</si>
  <si>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</si>
  <si>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</si>
  <si>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</si>
  <si>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</si>
  <si>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</si>
  <si>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</si>
  <si>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</si>
  <si>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</si>
  <si>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</si>
  <si>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</si>
  <si>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</si>
  <si>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</si>
  <si>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</si>
  <si>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</si>
  <si>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</si>
  <si>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</si>
  <si>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</si>
  <si>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</si>
  <si>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</si>
  <si>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</si>
  <si>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</si>
  <si>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</si>
  <si>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</si>
  <si>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</si>
  <si>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</si>
  <si>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</si>
  <si>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</si>
  <si>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</si>
  <si>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</si>
  <si>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</si>
  <si>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</si>
  <si>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</si>
  <si>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</si>
  <si>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</si>
  <si>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</si>
  <si>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</si>
  <si>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</si>
  <si>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</si>
  <si>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</si>
  <si>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</si>
  <si>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</si>
  <si>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</si>
  <si>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</si>
  <si>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</si>
  <si>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</si>
  <si>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</si>
  <si>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</si>
  <si>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</si>
  <si>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</si>
  <si>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</si>
  <si>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</si>
  <si>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</si>
  <si>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</si>
  <si>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</si>
  <si>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</si>
  <si>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</si>
  <si>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</si>
  <si>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</si>
  <si>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</si>
  <si>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</si>
  <si>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</si>
  <si>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</si>
  <si>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</si>
  <si>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</si>
  <si>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</si>
  <si>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</si>
  <si>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</si>
  <si>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</si>
  <si>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</si>
  <si>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</si>
  <si>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</si>
  <si>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</si>
  <si>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</si>
  <si>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</si>
  <si>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</si>
  <si>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</si>
  <si>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</si>
  <si>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</si>
  <si>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</si>
  <si>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</si>
  <si>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</si>
  <si>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</si>
  <si>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</si>
  <si>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</si>
  <si>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</si>
  <si>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</si>
  <si>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</si>
  <si>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</si>
  <si>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</si>
  <si>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</si>
  <si>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</si>
  <si>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</si>
  <si>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</si>
  <si>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</si>
  <si>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</si>
  <si>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</si>
  <si>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</si>
  <si>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</si>
  <si>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</si>
  <si>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</si>
  <si>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</si>
  <si>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</si>
  <si>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</si>
  <si>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</si>
  <si>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</si>
  <si>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</si>
  <si>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</si>
  <si>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</si>
  <si>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</si>
  <si>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</si>
  <si>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</si>
  <si>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</si>
  <si>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</si>
  <si>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</si>
  <si>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</si>
  <si>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</si>
  <si>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</si>
  <si>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</si>
  <si>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</si>
  <si>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</si>
  <si>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</si>
  <si>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</si>
  <si>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</si>
  <si>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</si>
  <si>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</si>
  <si>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</si>
  <si>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</si>
  <si>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</si>
  <si>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</si>
  <si>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</si>
  <si>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</si>
  <si>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</si>
  <si>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</si>
  <si>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</si>
  <si>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</si>
  <si>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</si>
  <si>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</si>
  <si>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</si>
  <si>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</si>
  <si>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</si>
  <si>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</si>
  <si>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</si>
  <si>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</si>
  <si>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</si>
  <si>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</si>
  <si>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</si>
  <si>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</si>
  <si>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</si>
  <si>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</si>
  <si>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</si>
  <si>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</si>
  <si>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</si>
  <si>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</si>
  <si>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</si>
  <si>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</si>
  <si>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</si>
  <si>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</si>
  <si>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</si>
  <si>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</si>
  <si>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</si>
  <si>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</si>
  <si>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</si>
  <si>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</si>
  <si>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</si>
  <si>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</si>
  <si>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</si>
  <si>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</si>
  <si>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</si>
  <si>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</si>
  <si>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</si>
  <si>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</si>
  <si>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</si>
  <si>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</si>
  <si>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</si>
  <si>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</si>
  <si>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</si>
  <si>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</si>
  <si>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</si>
  <si>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</si>
  <si>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</si>
  <si>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</si>
  <si>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</si>
  <si>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</si>
  <si>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</si>
  <si>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</si>
  <si>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</si>
  <si>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</si>
  <si>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</si>
  <si>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</si>
  <si>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</si>
  <si>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</si>
  <si>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</si>
  <si>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</si>
  <si>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</si>
  <si>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</si>
  <si>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</si>
  <si>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</si>
  <si>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</si>
  <si>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</si>
  <si>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</si>
  <si>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</si>
  <si>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</si>
  <si>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</si>
  <si>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</si>
  <si>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</si>
  <si>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</si>
  <si>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</si>
  <si>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</si>
  <si>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</si>
  <si>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</si>
  <si>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</si>
  <si>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</si>
  <si>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</si>
  <si>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</si>
  <si>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</si>
  <si>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</si>
  <si>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</si>
  <si>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</si>
  <si>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</si>
  <si>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</si>
  <si>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</si>
  <si>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</si>
  <si>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</si>
  <si>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</si>
  <si>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</si>
  <si>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</si>
  <si>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</si>
  <si>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</si>
  <si>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</si>
  <si>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</si>
  <si>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</si>
  <si>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</si>
  <si>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</si>
  <si>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</si>
  <si>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</si>
  <si>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</si>
  <si>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</si>
  <si>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</si>
  <si>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</si>
  <si>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</si>
  <si>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</si>
  <si>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</si>
  <si>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</si>
  <si>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</si>
  <si>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</si>
  <si>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</si>
  <si>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</si>
  <si>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</si>
  <si>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</si>
  <si>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</si>
  <si>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</si>
  <si>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</si>
  <si>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</si>
  <si>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</si>
  <si>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</si>
  <si>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ZIGA BENKO</t>
  </si>
  <si>
    <t>MATIC MARKIC</t>
  </si>
  <si>
    <t>NEZA JUG</t>
  </si>
  <si>
    <t>GORAN HODZIC</t>
  </si>
  <si>
    <t>ANDREJ STRUKELJ</t>
  </si>
  <si>
    <t>ELOI VERGE</t>
  </si>
  <si>
    <t>00:18</t>
  </si>
  <si>
    <t>07:48</t>
  </si>
  <si>
    <t>06:59</t>
  </si>
  <si>
    <t>00:36</t>
  </si>
  <si>
    <t>00:38</t>
  </si>
  <si>
    <t>09:21</t>
  </si>
  <si>
    <t>06:49</t>
  </si>
  <si>
    <t>04:06</t>
  </si>
  <si>
    <t>Good job in general, however, I'd recommend you to pay closer attention to identifying the away team players.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</si>
</sst>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35" sqref="M35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11_102_LJU_JER_U2025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46007.770833333336</v>
      </c>
      <c r="C3" s="178"/>
      <c r="D3" s="39">
        <v>639</v>
      </c>
      <c r="E3" s="29"/>
      <c r="F3" s="26">
        <f>SUBTOTAL(3,I17:I106)</f>
        <v>9</v>
      </c>
      <c r="G3" s="27">
        <f>IF(OR(D3="",D3=0),"",F3/D3)</f>
        <v>1.4084507042253521E-2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Cedevita Olimpija Ljubljana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742</v>
      </c>
      <c r="L4" s="5"/>
      <c r="M4" s="185" t="s">
        <v>840</v>
      </c>
      <c r="N4" s="186"/>
      <c r="O4" s="2"/>
      <c r="P4" s="2"/>
      <c r="Q4" s="84" t="s">
        <v>175</v>
      </c>
      <c r="R4" s="94">
        <f>(IF(G3="",0,G3))</f>
        <v>1.4084507042253521E-2</v>
      </c>
      <c r="S4" s="61">
        <f>SUM(I13:M13)</f>
        <v>0</v>
      </c>
      <c r="T4" s="78"/>
      <c r="U4" s="61">
        <f>AC18</f>
        <v>5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Bank Yahav Jerusalem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1.4084507042253522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7.908450704225352</v>
      </c>
      <c r="N7" s="58"/>
      <c r="O7" s="2"/>
      <c r="P7" s="2"/>
      <c r="Q7" s="86">
        <f>SUM(R5,S5,AC16)</f>
        <v>7.908450704225352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7.908450704225352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102</v>
      </c>
      <c r="D17" s="32" t="s">
        <v>832</v>
      </c>
      <c r="E17" s="33">
        <v>1</v>
      </c>
      <c r="F17" s="36">
        <v>15</v>
      </c>
      <c r="G17" s="36">
        <v>20</v>
      </c>
      <c r="H17" s="38" t="str">
        <f>IF(I17="","",$I$14)</f>
        <v>SCOUTING</v>
      </c>
      <c r="I17" s="34">
        <v>125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102</v>
      </c>
      <c r="D18" s="32" t="s">
        <v>833</v>
      </c>
      <c r="E18" s="33">
        <v>2</v>
      </c>
      <c r="F18" s="36">
        <v>20</v>
      </c>
      <c r="G18" s="36">
        <v>22</v>
      </c>
      <c r="H18" s="38" t="str">
        <f t="shared" ref="H18:H81" si="8">IF(I18="","",$I$14)</f>
        <v>SCOUTING</v>
      </c>
      <c r="I18" s="34">
        <v>162</v>
      </c>
      <c r="J18" s="13" t="s">
        <v>4</v>
      </c>
      <c r="K18" s="13" t="s">
        <v>63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102</v>
      </c>
      <c r="D19" s="32" t="s">
        <v>834</v>
      </c>
      <c r="E19" s="33">
        <v>2</v>
      </c>
      <c r="F19" s="36">
        <v>20</v>
      </c>
      <c r="G19" s="36">
        <v>26</v>
      </c>
      <c r="H19" s="38" t="str">
        <f t="shared" si="8"/>
        <v>SCOUTING</v>
      </c>
      <c r="I19" s="34">
        <v>182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102</v>
      </c>
      <c r="D20" s="32" t="s">
        <v>835</v>
      </c>
      <c r="E20" s="33">
        <v>2</v>
      </c>
      <c r="F20" s="36">
        <v>33</v>
      </c>
      <c r="G20" s="36">
        <v>43</v>
      </c>
      <c r="H20" s="38" t="str">
        <f t="shared" si="8"/>
        <v>SCOUTING</v>
      </c>
      <c r="I20" s="34">
        <v>277</v>
      </c>
      <c r="J20" s="13" t="s">
        <v>4</v>
      </c>
      <c r="K20" s="13" t="s">
        <v>63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102</v>
      </c>
      <c r="D21" s="32" t="s">
        <v>836</v>
      </c>
      <c r="E21" s="33">
        <v>3</v>
      </c>
      <c r="F21" s="36">
        <v>49</v>
      </c>
      <c r="G21" s="36">
        <v>57</v>
      </c>
      <c r="H21" s="38" t="str">
        <f t="shared" si="8"/>
        <v>SCOUTING</v>
      </c>
      <c r="I21" s="34">
        <v>433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102</v>
      </c>
      <c r="D22" s="32" t="s">
        <v>837</v>
      </c>
      <c r="E22" s="33">
        <v>4</v>
      </c>
      <c r="F22" s="36">
        <v>49</v>
      </c>
      <c r="G22" s="36">
        <v>59</v>
      </c>
      <c r="H22" s="38" t="str">
        <f t="shared" si="8"/>
        <v>SCOUTING</v>
      </c>
      <c r="I22" s="34">
        <v>464</v>
      </c>
      <c r="J22" s="13" t="s">
        <v>4</v>
      </c>
      <c r="K22" s="13" t="s">
        <v>63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102</v>
      </c>
      <c r="D23" s="32" t="s">
        <v>838</v>
      </c>
      <c r="E23" s="33">
        <v>4</v>
      </c>
      <c r="F23" s="36">
        <v>58</v>
      </c>
      <c r="G23" s="36">
        <v>64</v>
      </c>
      <c r="H23" s="38" t="str">
        <f t="shared" si="8"/>
        <v>SCOUTING</v>
      </c>
      <c r="I23" s="34">
        <v>495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102</v>
      </c>
      <c r="D24" s="32" t="s">
        <v>838</v>
      </c>
      <c r="E24" s="33">
        <v>4</v>
      </c>
      <c r="F24" s="36">
        <v>58</v>
      </c>
      <c r="G24" s="36">
        <v>64</v>
      </c>
      <c r="H24" s="38" t="str">
        <f t="shared" si="8"/>
        <v>SCOUTING</v>
      </c>
      <c r="I24" s="34">
        <v>494</v>
      </c>
      <c r="J24" s="13" t="s">
        <v>4</v>
      </c>
      <c r="K24" s="13" t="s">
        <v>63</v>
      </c>
      <c r="L24" s="13" t="s">
        <v>6</v>
      </c>
      <c r="M24" s="13" t="s">
        <v>39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102</v>
      </c>
      <c r="D25" s="32" t="s">
        <v>839</v>
      </c>
      <c r="E25" s="33">
        <v>4</v>
      </c>
      <c r="F25" s="36">
        <v>64</v>
      </c>
      <c r="G25" s="36">
        <v>71</v>
      </c>
      <c r="H25" s="38" t="str">
        <f t="shared" si="8"/>
        <v>SCOUTING</v>
      </c>
      <c r="I25" s="34">
        <v>537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"U2025102"</v>
      </c>
      <c r="F3" s="45" t="str">
        <f t="shared" ref="F3:F16" si="0">""""&amp;B3&amp;"""" &amp; " : " &amp;C3&amp;","</f>
        <v>"name" : "U2025102",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"U102"</v>
      </c>
      <c r="F4" s="45" t="str">
        <f t="shared" si="0"/>
        <v>"cod" : "U102",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102</v>
      </c>
      <c r="F6" s="45" t="str">
        <f t="shared" si="0"/>
        <v>"number" : 102,</v>
      </c>
    </row>
    <row r="7" spans="2:6" x14ac:dyDescent="0.25">
      <c r="B7" s="43" t="s">
        <v>116</v>
      </c>
      <c r="C7" s="43" t="str">
        <f ca="1">""""&amp;TEXT('SCOUT &amp; LOGISTICS'!B3,"dd/mm/aaaa")&amp;""""</f>
        <v>"16/12/2025"</v>
      </c>
      <c r="F7" s="45" t="str">
        <f t="shared" ca="1" si="0"/>
        <v>"date" : "16/12/2025",</v>
      </c>
    </row>
    <row r="8" spans="2:6" x14ac:dyDescent="0.2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5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"ZIGA BENKO"</v>
      </c>
      <c r="F10" s="45" t="str">
        <f t="shared" si="0"/>
        <v>"Data_entry" : "ZIGA BENKO",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"NEZA JUG"</v>
      </c>
      <c r="F12" s="45" t="str">
        <f t="shared" si="0"/>
        <v>"Caller_2" : "NEZA JUG",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"GORAN HODZIC"</v>
      </c>
      <c r="F13" s="45" t="str">
        <f t="shared" si="0"/>
        <v>"Timerkeeper" : "GORAN HODZIC",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"ANDREJ STRUKELJ"</v>
      </c>
      <c r="F14" s="45" t="str">
        <f t="shared" si="0"/>
        <v>"Shotclock" : "ANDREJ STRUKELJ",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639</v>
      </c>
      <c r="F25" s="45" t="str">
        <f t="shared" ref="F25:F48" si="1">""""&amp;C25&amp;"""" &amp; " : " &amp;D25&amp;","</f>
        <v>"total_actions" : 639,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"1,4%"</v>
      </c>
      <c r="F27" s="45" t="str">
        <f t="shared" si="1"/>
        <v>"%_corrections" : "1,4%",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 in general, however, I'd recommend you to pay closer attention to identifying the away team players. Keep it up!"</v>
      </c>
      <c r="F51" s="45" t="str">
        <f>""""&amp;B51&amp;"""" &amp; " : " &amp;C51&amp;","</f>
        <v>"comments" : "Good job in general, however, I'd recommend you to pay closer attention to identifying the away team players. Keep it up!",</v>
      </c>
    </row>
    <row r="52" spans="2:6" x14ac:dyDescent="0.25">
      <c r="B52" s="43" t="s">
        <v>153</v>
      </c>
      <c r="C52" s="43" t="str">
        <f>TEXT('SCOUT &amp; LOGISTICS'!F1,"0,0")</f>
        <v>11_102_LJU_JER_U2025</v>
      </c>
      <c r="F52" s="45" t="str">
        <f>""""&amp;B52&amp;"""" &amp; " : " &amp;C52</f>
        <v>"result" : 11_102_LJU_JER_U2025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U102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16/12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Cedevita Olimpija Ljubljana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Bank Yahav Jerusalem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ZIGA BENKO</v>
      </c>
      <c r="C8" s="201"/>
      <c r="D8" s="201"/>
      <c r="E8" s="201"/>
      <c r="F8" s="201"/>
      <c r="G8" s="201" t="str">
        <f>IF('SCOUT &amp; LOGISTICS'!D7="","",'SCOUT &amp; LOGISTICS'!D7)</f>
        <v>MATIC MARKIC</v>
      </c>
      <c r="H8" s="201"/>
      <c r="I8" s="201"/>
      <c r="J8" s="201"/>
      <c r="K8" s="201"/>
      <c r="L8" s="201" t="str">
        <f>IF('SCOUT &amp; LOGISTICS'!D8="","",'SCOUT &amp; LOGISTICS'!D8)</f>
        <v>NEZA JUG</v>
      </c>
      <c r="M8" s="201"/>
      <c r="N8" s="201"/>
      <c r="O8" s="201"/>
      <c r="P8" s="201"/>
      <c r="Q8" s="201" t="str">
        <f>IF('SCOUT &amp; LOGISTICS'!D9="","",'SCOUT &amp; LOGISTICS'!D9)</f>
        <v>GORAN HODZIC</v>
      </c>
      <c r="R8" s="201"/>
      <c r="S8" s="201"/>
      <c r="T8" s="201"/>
      <c r="U8" s="201"/>
      <c r="V8" s="201" t="str">
        <f>IF('SCOUT &amp; LOGISTICS'!D10="","",'SCOUT &amp; LOGISTICS'!D10)</f>
        <v>ANDREJ STRUKELJ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1.4084507042253521E-2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8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4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5</v>
      </c>
      <c r="C27" s="199"/>
      <c r="D27" s="199"/>
      <c r="E27" s="199"/>
      <c r="F27" s="199"/>
      <c r="G27" s="199">
        <f>'SCOUT &amp; LOGISTICS'!AC22</f>
        <v>4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job in general, however, I'd recommend you to pay closer attention to identifying the away team players.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7.908450704225352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B474FA9-0892-4453-B049-C2770130EA9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2025-12-10T16:21:04Z</cp:lastPrinted>
  <dcterms:created xsi:type="dcterms:W3CDTF">2023-09-19T19:50:35Z</dcterms:created>
  <dcterms:modified xsi:type="dcterms:W3CDTF">2025-12-17T14:45:36Z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