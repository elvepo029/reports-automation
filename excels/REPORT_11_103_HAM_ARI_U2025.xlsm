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06" documentId="8_{30620ADD-4303-4CB7-A90B-B6EF6A6F35B7}" xr6:coauthVersionLast="47" xr6:coauthVersionMax="47" xr10:uidLastSave="{37AA1A29-3016-4694-ADEE-951B558EE63C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<sst xmlns="http://schemas.openxmlformats.org/spreadsheetml/2006/main" count="3377" uniqueCount="843">
  <si>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</si>
  <si>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</si>
  <si>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</si>
  <si>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</si>
  <si>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</si>
  <si>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</si>
  <si>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</si>
  <si>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</si>
  <si>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</si>
  <si>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</si>
  <si>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</si>
  <si>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</si>
  <si>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</si>
  <si>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</si>
  <si>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</si>
  <si>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</si>
  <si>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</si>
  <si>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</si>
  <si>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</si>
  <si>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</si>
  <si>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</si>
  <si>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</si>
  <si>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</si>
  <si>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</si>
  <si>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</si>
  <si>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</si>
  <si>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</si>
  <si>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</si>
  <si>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</si>
  <si>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</si>
  <si>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</si>
  <si>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</si>
  <si>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</si>
  <si>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</si>
  <si>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</si>
  <si>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</si>
  <si>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</si>
  <si>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</si>
  <si>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</si>
  <si>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</si>
  <si>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</si>
  <si>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</si>
  <si>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</si>
  <si>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</si>
  <si>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</si>
  <si>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</si>
  <si>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</si>
  <si>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</si>
  <si>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</si>
  <si>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</si>
  <si>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</si>
  <si>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</si>
  <si>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</si>
  <si>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</si>
  <si>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</si>
  <si>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</si>
  <si>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</si>
  <si>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</si>
  <si>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</si>
  <si>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</si>
  <si>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</si>
  <si>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</si>
  <si>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</si>
  <si>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</si>
  <si>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</si>
  <si>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</si>
  <si>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</si>
  <si>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</si>
  <si>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</si>
  <si>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</si>
  <si>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</si>
  <si>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</si>
  <si>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</si>
  <si>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</si>
  <si>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</si>
  <si>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</si>
  <si>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</si>
  <si>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</si>
  <si>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</si>
  <si>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</si>
  <si>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</si>
  <si>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</si>
  <si>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</si>
  <si>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</si>
  <si>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</si>
  <si>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</si>
  <si>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</si>
  <si>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</si>
  <si>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</si>
  <si>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</si>
  <si>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</si>
  <si>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</si>
  <si>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</si>
  <si>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</si>
  <si>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</si>
  <si>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</si>
  <si>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</si>
  <si>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</si>
  <si>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</si>
  <si>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</si>
  <si>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</si>
  <si>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</si>
  <si>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</si>
  <si>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</si>
  <si>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</si>
  <si>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</si>
  <si>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</si>
  <si>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</si>
  <si>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</si>
  <si>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</si>
  <si>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</si>
  <si>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</si>
  <si>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</si>
  <si>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</si>
  <si>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</si>
  <si>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</si>
  <si>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</si>
  <si>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</si>
  <si>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</si>
  <si>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</si>
  <si>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</si>
  <si>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</si>
  <si>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</si>
  <si>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</si>
  <si>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</si>
  <si>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</si>
  <si>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</si>
  <si>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</si>
  <si>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</si>
  <si>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</si>
  <si>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</si>
  <si>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</si>
  <si>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</si>
  <si>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</si>
  <si>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</si>
  <si>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</si>
  <si>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</si>
  <si>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</si>
  <si>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</si>
  <si>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</si>
  <si>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</si>
  <si>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</si>
  <si>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</si>
  <si>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</si>
  <si>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</si>
  <si>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</si>
  <si>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</si>
  <si>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</si>
  <si>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</si>
  <si>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</si>
  <si>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</si>
  <si>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</si>
  <si>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</si>
  <si>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</si>
  <si>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</si>
  <si>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</si>
  <si>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</si>
  <si>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</si>
  <si>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</si>
  <si>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</si>
  <si>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</si>
  <si>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</si>
  <si>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</si>
  <si>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</si>
  <si>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</si>
  <si>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</si>
  <si>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</si>
  <si>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</si>
  <si>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</si>
  <si>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</si>
  <si>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</si>
  <si>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</si>
  <si>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</si>
  <si>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</si>
  <si>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</si>
  <si>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</si>
  <si>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</si>
  <si>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</si>
  <si>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</si>
  <si>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</si>
  <si>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</si>
  <si>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</si>
  <si>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</si>
  <si>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</si>
  <si>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</si>
  <si>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</si>
  <si>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</si>
  <si>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</si>
  <si>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</si>
  <si>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</si>
  <si>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</si>
  <si>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</si>
  <si>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</si>
  <si>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</si>
  <si>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</si>
  <si>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</si>
  <si>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</si>
  <si>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</si>
  <si>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</si>
  <si>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</si>
  <si>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</si>
  <si>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</si>
  <si>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</si>
  <si>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</si>
  <si>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</si>
  <si>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</si>
  <si>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</si>
  <si>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</si>
  <si>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</si>
  <si>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</si>
  <si>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</si>
  <si>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</si>
  <si>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</si>
  <si>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</si>
  <si>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</si>
  <si>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</si>
  <si>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</si>
  <si>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</si>
  <si>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</si>
  <si>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</si>
  <si>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</si>
  <si>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</si>
  <si>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</si>
  <si>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</si>
  <si>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</si>
  <si>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</si>
  <si>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</si>
  <si>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</si>
  <si>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</si>
  <si>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</si>
  <si>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</si>
  <si>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</si>
  <si>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</si>
  <si>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</si>
  <si>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</si>
  <si>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</si>
  <si>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</si>
  <si>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</si>
  <si>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</si>
  <si>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</si>
  <si>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</si>
  <si>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</si>
  <si>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</si>
  <si>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</si>
  <si>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</si>
  <si>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</si>
  <si>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</si>
  <si>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</si>
  <si>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</si>
  <si>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</si>
  <si>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</si>
  <si>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</si>
  <si>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</si>
  <si>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</si>
  <si>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</si>
  <si>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</si>
  <si>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</si>
  <si>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</si>
  <si>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</si>
  <si>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</si>
  <si>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</si>
  <si>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</si>
  <si>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</si>
  <si>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</si>
  <si>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</si>
  <si>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</si>
  <si>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</si>
  <si>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</si>
  <si>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</si>
  <si>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</si>
  <si>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</si>
  <si>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</si>
  <si>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</si>
  <si>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</si>
  <si>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</si>
  <si>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</si>
  <si>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</si>
  <si>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</si>
  <si>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</si>
  <si>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</si>
  <si>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</si>
  <si>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</si>
  <si>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</si>
  <si>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</si>
  <si>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</si>
  <si>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</si>
  <si>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</si>
  <si>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</si>
  <si>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</si>
  <si>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</si>
  <si>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</si>
  <si>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</si>
  <si>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</si>
  <si>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</si>
  <si>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</si>
  <si>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</si>
  <si>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</si>
  <si>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</si>
  <si>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</si>
  <si>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</si>
  <si>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</si>
  <si>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</si>
  <si>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</si>
  <si>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</si>
  <si>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</si>
  <si>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</si>
  <si>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</si>
  <si>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</si>
  <si>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</si>
  <si>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</si>
  <si>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</si>
  <si>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</si>
  <si>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</si>
  <si>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</si>
  <si>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</si>
  <si>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</si>
  <si>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</si>
  <si>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</si>
  <si>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</si>
  <si>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</si>
  <si>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</si>
  <si>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</si>
  <si>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</si>
  <si>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</si>
  <si>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</si>
  <si>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</si>
  <si>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</si>
  <si>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</si>
  <si>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</si>
  <si>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</si>
  <si>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</si>
  <si>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</si>
  <si>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</si>
  <si>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</si>
  <si>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</si>
  <si>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</si>
  <si>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</si>
  <si>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</si>
  <si>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</si>
  <si>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</si>
  <si>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</si>
  <si>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</si>
  <si>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</si>
  <si>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</si>
  <si>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</si>
  <si>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</si>
  <si>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</si>
  <si>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</si>
  <si>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</si>
  <si>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</si>
  <si>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</si>
  <si>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</si>
  <si>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</si>
  <si>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</si>
  <si>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</si>
  <si>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</si>
  <si>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</si>
  <si>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</si>
  <si>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</si>
  <si>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</si>
  <si>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</si>
  <si>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</si>
  <si>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</si>
  <si>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</si>
  <si>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</si>
  <si>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</si>
  <si>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</si>
  <si>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</si>
  <si>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</si>
  <si>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</si>
  <si>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</si>
  <si>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</si>
  <si>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</si>
  <si>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</si>
  <si>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</si>
  <si>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</si>
  <si>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</si>
  <si>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</si>
  <si>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</si>
  <si>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</si>
  <si>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</si>
  <si>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</si>
  <si>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</si>
  <si>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</si>
  <si>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</si>
  <si>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</si>
  <si>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</si>
  <si>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</si>
  <si>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</si>
  <si>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</si>
  <si>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</si>
  <si>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</si>
  <si>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</si>
  <si>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</si>
  <si>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</si>
  <si>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</si>
  <si>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</si>
  <si>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</si>
  <si>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</si>
  <si>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</si>
  <si>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</si>
  <si>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</si>
  <si>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</si>
  <si>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</si>
  <si>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</si>
  <si>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</si>
  <si>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</si>
  <si>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</si>
  <si>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</si>
  <si>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</si>
  <si>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</si>
  <si>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</si>
  <si>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</si>
  <si>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</si>
  <si>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</si>
  <si>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</si>
  <si>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</si>
  <si>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</si>
  <si>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</si>
  <si>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</si>
  <si>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</si>
  <si>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</si>
  <si>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</si>
  <si>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</si>
  <si>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</si>
  <si>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</si>
  <si>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</si>
  <si>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</si>
  <si>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</si>
  <si>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</si>
  <si>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</si>
  <si>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</si>
  <si>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</si>
  <si>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</si>
  <si>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</si>
  <si>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</si>
  <si>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</si>
  <si>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</si>
  <si>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</si>
  <si>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</si>
  <si>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</si>
  <si>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</si>
  <si>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</si>
  <si>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</si>
  <si>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</si>
  <si>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</si>
  <si>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</si>
  <si>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</si>
  <si>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</si>
  <si>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</si>
  <si>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</si>
  <si>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</si>
  <si>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</si>
  <si>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</si>
  <si>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</si>
  <si>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</si>
  <si>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</si>
  <si>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</si>
  <si>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</si>
  <si>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</si>
  <si>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</si>
  <si>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</si>
  <si>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</si>
  <si>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</si>
  <si>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</si>
  <si>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</si>
  <si>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</si>
  <si>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</si>
  <si>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</si>
  <si>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</si>
  <si>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</si>
  <si>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</si>
  <si>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</si>
  <si>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</si>
  <si>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</si>
  <si>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</si>
  <si>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</si>
  <si>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</si>
  <si>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</si>
  <si>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</si>
  <si>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</si>
  <si>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</si>
  <si>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</si>
  <si>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</si>
  <si>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</si>
  <si>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</si>
  <si>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</si>
  <si>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</si>
  <si>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</si>
  <si>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</si>
  <si>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</si>
  <si>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</si>
  <si>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</si>
  <si>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</si>
  <si>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</si>
  <si>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</si>
  <si>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</si>
  <si>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</si>
  <si>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</si>
  <si>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</si>
  <si>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</si>
  <si>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</si>
  <si>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</si>
  <si>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</si>
  <si>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</si>
  <si>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</si>
  <si>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</si>
  <si>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</si>
  <si>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</si>
  <si>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</si>
  <si>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</si>
  <si>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</si>
  <si>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</si>
  <si>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</si>
  <si>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</si>
  <si>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</si>
  <si>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</si>
  <si>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</si>
  <si>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</si>
  <si>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</si>
  <si>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</si>
  <si>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</si>
  <si>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</si>
  <si>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</si>
  <si>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</si>
  <si>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</si>
  <si>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</si>
  <si>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</si>
  <si>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</si>
  <si>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</si>
  <si>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</si>
  <si>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</si>
  <si>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</si>
  <si>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</si>
  <si>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</si>
  <si>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</si>
  <si>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</si>
  <si>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</si>
  <si>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</si>
  <si>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</si>
  <si>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</si>
  <si>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</si>
  <si>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</si>
  <si>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</si>
  <si>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</si>
  <si>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</si>
  <si>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</si>
  <si>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</si>
  <si>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</si>
  <si>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</si>
  <si>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</si>
  <si>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</si>
  <si>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</si>
  <si>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</si>
  <si>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</si>
  <si>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</si>
  <si>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</si>
  <si>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</si>
  <si>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</si>
  <si>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</si>
  <si>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</si>
  <si>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</si>
  <si>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</si>
  <si>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</si>
  <si>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</si>
  <si>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</si>
  <si>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</si>
  <si>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</si>
  <si>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</si>
  <si>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</si>
  <si>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</si>
  <si>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</si>
  <si>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</si>
  <si>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</si>
  <si>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</si>
  <si>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</si>
  <si>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</si>
  <si>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</si>
  <si>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</si>
  <si>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</si>
  <si>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</si>
  <si>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</si>
  <si>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</si>
  <si>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</si>
  <si>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</si>
  <si>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</si>
  <si>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</si>
  <si>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</si>
  <si>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</si>
  <si>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</si>
  <si>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</si>
  <si>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</si>
  <si>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</si>
  <si>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</si>
  <si>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</si>
  <si>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</si>
  <si>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</si>
  <si>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</si>
  <si>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</si>
  <si>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</si>
  <si>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</si>
  <si>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</si>
  <si>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</si>
  <si>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</si>
  <si>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</si>
  <si>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</si>
  <si>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</si>
  <si>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</si>
  <si>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</si>
  <si>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</si>
  <si>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</si>
  <si>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</si>
  <si>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</si>
  <si>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</si>
  <si>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</si>
  <si>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</si>
  <si>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</si>
  <si>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</si>
  <si>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</si>
  <si>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</si>
  <si>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</si>
  <si>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</si>
  <si>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</si>
  <si>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</si>
  <si>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</si>
  <si>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</si>
  <si>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</si>
  <si>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</si>
  <si>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</si>
  <si>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</si>
  <si>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</si>
  <si>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</si>
  <si>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</si>
  <si>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</si>
  <si>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</si>
  <si>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</si>
  <si>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</si>
  <si>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</si>
  <si>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</si>
  <si>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</si>
  <si>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</si>
  <si>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</si>
  <si>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</si>
  <si>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</si>
  <si>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</si>
  <si>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</si>
  <si>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</si>
  <si>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</si>
  <si>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</si>
  <si>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</si>
  <si>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</si>
  <si>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</si>
  <si>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</si>
  <si>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</si>
  <si>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</si>
  <si>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</si>
  <si>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</si>
  <si>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</si>
  <si>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</si>
  <si>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</si>
  <si>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</si>
  <si>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</si>
  <si>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</si>
  <si>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</si>
  <si>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</si>
  <si>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</si>
  <si>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</si>
  <si>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</si>
  <si>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</si>
  <si>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</si>
  <si>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</si>
  <si>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</si>
  <si>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</si>
  <si>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</si>
  <si>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</si>
  <si>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</si>
  <si>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</si>
  <si>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</si>
  <si>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</si>
  <si>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</si>
  <si>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</si>
  <si>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</si>
  <si>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</si>
  <si>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</si>
  <si>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</si>
  <si>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</si>
  <si>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</si>
  <si>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</si>
  <si>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</si>
  <si>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</si>
  <si>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</si>
  <si>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</si>
  <si>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</si>
  <si>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</si>
  <si>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</si>
  <si>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</si>
  <si>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</si>
  <si>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</si>
  <si>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</si>
  <si>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</si>
  <si>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</si>
  <si>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</si>
  <si>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</si>
  <si>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</si>
  <si>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</si>
  <si>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</si>
  <si>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</si>
  <si>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</si>
  <si>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</si>
  <si>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</si>
  <si>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</si>
  <si>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</si>
  <si>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</si>
  <si>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</si>
  <si>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</si>
  <si>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</si>
  <si>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</si>
  <si>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</si>
  <si>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</si>
  <si>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</si>
  <si>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</si>
  <si>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</si>
  <si>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</si>
  <si>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</si>
  <si>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</si>
  <si>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</si>
  <si>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</si>
  <si>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</si>
  <si>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</si>
  <si>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</si>
  <si>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</si>
  <si>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</si>
  <si>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</si>
  <si>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</si>
  <si>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</si>
  <si>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</si>
  <si>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</si>
  <si>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</si>
  <si>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</si>
  <si>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</si>
  <si>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</si>
  <si>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</si>
  <si>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</si>
  <si>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</si>
  <si>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</si>
  <si>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</si>
  <si>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</si>
  <si>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</si>
  <si>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</si>
  <si>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</si>
  <si>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</si>
  <si>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</si>
  <si>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</si>
  <si>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</si>
  <si>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</si>
  <si>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</si>
  <si>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</si>
  <si>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</si>
  <si>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</si>
  <si>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</si>
  <si>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</si>
  <si>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</si>
  <si>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</si>
  <si>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</si>
  <si>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</si>
  <si>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</si>
  <si>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</si>
  <si>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</si>
  <si>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</si>
  <si>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</si>
  <si>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</si>
  <si>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</si>
  <si>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</si>
  <si>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</si>
  <si>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</si>
  <si>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</si>
  <si>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</si>
  <si>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</si>
  <si>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</si>
  <si>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</si>
  <si>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</si>
  <si>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</si>
  <si>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</si>
  <si>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</si>
  <si>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</si>
  <si>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</si>
  <si>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</si>
  <si>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</si>
  <si>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</si>
  <si>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</si>
  <si>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</si>
  <si>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</si>
  <si>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</si>
  <si>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</si>
  <si>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</si>
  <si>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</si>
  <si>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</si>
  <si>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</si>
  <si>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</si>
  <si>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</si>
  <si>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</si>
  <si>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</si>
  <si>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</si>
  <si>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</si>
  <si>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</si>
  <si>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</si>
  <si>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</si>
  <si>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</si>
  <si>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</si>
  <si>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</si>
  <si>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</si>
  <si>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</si>
  <si>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</si>
  <si>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</si>
  <si>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</si>
  <si>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</si>
  <si>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</si>
  <si>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</si>
  <si>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</si>
  <si>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</si>
  <si>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</si>
  <si>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</si>
  <si>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</si>
  <si>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</si>
  <si>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</si>
  <si>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C:\Users\hector.guillen\EUROLEAGUE\EB STATS - Documents\General\SEASON 2025-26\Reports\Eurocup</t>
  </si>
  <si>
    <t>C:\Users\hector.guillen\EUROLEAGUE\EB STATS - Documents\General\SEASON 2025-26\Reports\Eurocup\PDF</t>
  </si>
  <si>
    <t>MATTHIAS RUDOLPH</t>
  </si>
  <si>
    <t>FLORIAN ASMUSSEN</t>
  </si>
  <si>
    <t>JUSTUS-ALEXANDER JUERGENS</t>
  </si>
  <si>
    <t>THORSTEN MEYER</t>
  </si>
  <si>
    <t>JORN ASMUSSEN</t>
  </si>
  <si>
    <t>HECTOR GUILLEN</t>
  </si>
  <si>
    <t>10:00</t>
  </si>
  <si>
    <t>6:25</t>
  </si>
  <si>
    <t>1:22</t>
  </si>
  <si>
    <t>0:10</t>
  </si>
  <si>
    <t>0:04</t>
  </si>
  <si>
    <t>9:22</t>
  </si>
  <si>
    <t>8:41</t>
  </si>
  <si>
    <t>6:49</t>
  </si>
  <si>
    <t>9:01</t>
  </si>
  <si>
    <t>Try to stay focus even if visiting team fans throw confeti to the court. You did a good job despite that jump ball missing.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</si>
</sst>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11_103_HAM_ARI_U2025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826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103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46008.8125</v>
      </c>
      <c r="C3" s="178"/>
      <c r="D3" s="39">
        <v>668</v>
      </c>
      <c r="E3" s="29"/>
      <c r="F3" s="26">
        <f>SUBTOTAL(3,I17:I106)</f>
        <v>9</v>
      </c>
      <c r="G3" s="27">
        <f>IF(OR(D3="",D3=0),"",F3/D3)</f>
        <v>1.3473053892215569E-2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Veolia Towers Hamburg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HAM</v>
      </c>
      <c r="I4" s="5"/>
      <c r="J4" s="119" t="s">
        <v>714</v>
      </c>
      <c r="K4" s="54" t="s">
        <v>742</v>
      </c>
      <c r="L4" s="5"/>
      <c r="M4" s="185" t="s">
        <v>842</v>
      </c>
      <c r="N4" s="186"/>
      <c r="O4" s="2"/>
      <c r="P4" s="2"/>
      <c r="Q4" s="84" t="s">
        <v>175</v>
      </c>
      <c r="R4" s="94">
        <f>(IF(G3="",0,G3))</f>
        <v>1.3473053892215569E-2</v>
      </c>
      <c r="S4" s="61">
        <f>SUM(I13:M13)</f>
        <v>0</v>
      </c>
      <c r="T4" s="78"/>
      <c r="U4" s="61">
        <f>AC18</f>
        <v>4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1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Aris Thessaloniki Betsson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ARI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1.347305389221557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5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827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828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15.347305389221557</v>
      </c>
      <c r="N7" s="58"/>
      <c r="O7" s="2"/>
      <c r="P7" s="2"/>
      <c r="Q7" s="86">
        <f>SUM(R5,S5,AC16)</f>
        <v>15.347305389221557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829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15.347305389221557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830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831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103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832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14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103</v>
      </c>
      <c r="D17" s="32" t="s">
        <v>833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0</v>
      </c>
      <c r="J17" s="13" t="s">
        <v>4</v>
      </c>
      <c r="K17" s="13" t="s">
        <v>61</v>
      </c>
      <c r="L17" s="13" t="s">
        <v>46</v>
      </c>
      <c r="M17" s="13" t="s">
        <v>46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5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103</v>
      </c>
      <c r="D18" s="32" t="s">
        <v>834</v>
      </c>
      <c r="E18" s="33">
        <v>1</v>
      </c>
      <c r="F18" s="36">
        <v>2</v>
      </c>
      <c r="G18" s="36">
        <v>5</v>
      </c>
      <c r="H18" s="38" t="str">
        <f t="shared" ref="H18:H81" si="8">IF(I18="","",$I$14)</f>
        <v>SCOUTING</v>
      </c>
      <c r="I18" s="34">
        <v>36</v>
      </c>
      <c r="J18" s="13" t="s">
        <v>4</v>
      </c>
      <c r="K18" s="13" t="s">
        <v>63</v>
      </c>
      <c r="L18" s="13" t="s">
        <v>7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6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103</v>
      </c>
      <c r="D19" s="32" t="s">
        <v>835</v>
      </c>
      <c r="E19" s="33">
        <v>1</v>
      </c>
      <c r="F19" s="36">
        <v>22</v>
      </c>
      <c r="G19" s="36">
        <v>20</v>
      </c>
      <c r="H19" s="38" t="str">
        <f t="shared" si="8"/>
        <v>SCOUTING</v>
      </c>
      <c r="I19" s="34">
        <v>122</v>
      </c>
      <c r="J19" s="13" t="s">
        <v>4</v>
      </c>
      <c r="K19" s="13" t="s">
        <v>62</v>
      </c>
      <c r="L19" s="13" t="s">
        <v>7</v>
      </c>
      <c r="M19" s="13" t="s">
        <v>12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103</v>
      </c>
      <c r="D20" s="32" t="s">
        <v>836</v>
      </c>
      <c r="E20" s="33">
        <v>1</v>
      </c>
      <c r="F20" s="36">
        <v>25</v>
      </c>
      <c r="G20" s="36">
        <v>20</v>
      </c>
      <c r="H20" s="38" t="str">
        <f t="shared" si="8"/>
        <v>SCOUTING</v>
      </c>
      <c r="I20" s="34">
        <v>142</v>
      </c>
      <c r="J20" s="13" t="s">
        <v>4</v>
      </c>
      <c r="K20" s="13" t="s">
        <v>62</v>
      </c>
      <c r="L20" s="13" t="s">
        <v>5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103</v>
      </c>
      <c r="D21" s="32" t="s">
        <v>837</v>
      </c>
      <c r="E21" s="33">
        <v>1</v>
      </c>
      <c r="F21" s="36">
        <v>27</v>
      </c>
      <c r="G21" s="36">
        <v>20</v>
      </c>
      <c r="H21" s="38" t="str">
        <f t="shared" si="8"/>
        <v>SCOUTING</v>
      </c>
      <c r="I21" s="34">
        <v>144</v>
      </c>
      <c r="J21" s="13" t="s">
        <v>4</v>
      </c>
      <c r="K21" s="13" t="s">
        <v>62</v>
      </c>
      <c r="L21" s="13" t="s">
        <v>6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1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103</v>
      </c>
      <c r="D22" s="32" t="s">
        <v>838</v>
      </c>
      <c r="E22" s="33">
        <v>2</v>
      </c>
      <c r="F22" s="36">
        <v>27</v>
      </c>
      <c r="G22" s="36">
        <v>25</v>
      </c>
      <c r="H22" s="38" t="str">
        <f t="shared" si="8"/>
        <v>SCOUTING</v>
      </c>
      <c r="I22" s="34">
        <v>165</v>
      </c>
      <c r="J22" s="13" t="s">
        <v>4</v>
      </c>
      <c r="K22" s="13" t="s">
        <v>63</v>
      </c>
      <c r="L22" s="13" t="s">
        <v>6</v>
      </c>
      <c r="M22" s="13" t="s">
        <v>22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103</v>
      </c>
      <c r="D23" s="32" t="s">
        <v>839</v>
      </c>
      <c r="E23" s="33">
        <v>2</v>
      </c>
      <c r="F23" s="36">
        <v>27</v>
      </c>
      <c r="G23" s="36">
        <v>27</v>
      </c>
      <c r="H23" s="38" t="str">
        <f t="shared" si="8"/>
        <v>SCOUTING</v>
      </c>
      <c r="I23" s="34">
        <v>180</v>
      </c>
      <c r="J23" s="13" t="s">
        <v>4</v>
      </c>
      <c r="K23" s="13" t="s">
        <v>62</v>
      </c>
      <c r="L23" s="13" t="s">
        <v>5</v>
      </c>
      <c r="M23" s="13" t="s">
        <v>22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103</v>
      </c>
      <c r="D24" s="32" t="s">
        <v>840</v>
      </c>
      <c r="E24" s="33">
        <v>3</v>
      </c>
      <c r="F24" s="36">
        <v>46</v>
      </c>
      <c r="G24" s="36">
        <v>51</v>
      </c>
      <c r="H24" s="38" t="str">
        <f t="shared" si="8"/>
        <v>SCOUTING</v>
      </c>
      <c r="I24" s="34">
        <v>368</v>
      </c>
      <c r="J24" s="13" t="s">
        <v>4</v>
      </c>
      <c r="K24" s="13" t="s">
        <v>62</v>
      </c>
      <c r="L24" s="13" t="s">
        <v>5</v>
      </c>
      <c r="M24" s="13" t="s">
        <v>22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103</v>
      </c>
      <c r="D25" s="32" t="s">
        <v>841</v>
      </c>
      <c r="E25" s="33">
        <v>3</v>
      </c>
      <c r="F25" s="36">
        <v>67</v>
      </c>
      <c r="G25" s="36">
        <v>64</v>
      </c>
      <c r="H25" s="38" t="str">
        <f t="shared" si="8"/>
        <v>SCOUTING</v>
      </c>
      <c r="I25" s="34">
        <v>501</v>
      </c>
      <c r="J25" s="13" t="s">
        <v>4</v>
      </c>
      <c r="K25" s="13" t="s">
        <v>62</v>
      </c>
      <c r="L25" s="13" t="s">
        <v>5</v>
      </c>
      <c r="M25" s="13" t="s">
        <v>22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4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1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REPORT_U2025103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"U2025103"</v>
      </c>
      <c r="F3" s="45" t="str">
        <f t="shared" ref="F3:F16" si="0">""""&amp;B3&amp;"""" &amp; " : " &amp;C3&amp;","</f>
        <v>"name" : "U2025103",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"U103"</v>
      </c>
      <c r="F4" s="45" t="str">
        <f t="shared" si="0"/>
        <v>"cod" : "U103",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103</v>
      </c>
      <c r="F6" s="45" t="str">
        <f t="shared" si="0"/>
        <v>"number" : 103,</v>
      </c>
    </row>
    <row r="7" spans="2:6" x14ac:dyDescent="0.25">
      <c r="B7" s="43" t="s">
        <v>116</v>
      </c>
      <c r="C7" s="43" t="str">
        <f ca="1">""""&amp;TEXT('SCOUT &amp; LOGISTICS'!B3,"dd/mm/aaaa")&amp;""""</f>
        <v>"17/12/Wednesday"</v>
      </c>
      <c r="F7" s="45" t="str">
        <f t="shared" ca="1" si="0"/>
        <v>"date" : "17/12/Wednesday",</v>
      </c>
    </row>
    <row r="8" spans="2:6" x14ac:dyDescent="0.25">
      <c r="B8" s="43" t="s">
        <v>125</v>
      </c>
      <c r="C8" s="43" t="str">
        <f>""""&amp;'SCOUT &amp; LOGISTICS'!D4 &amp;""""</f>
        <v>"Veolia Towers Hamburg"</v>
      </c>
      <c r="F8" s="45" t="str">
        <f t="shared" si="0"/>
        <v>"home_team" : "Veolia Towers Hamburg",</v>
      </c>
    </row>
    <row r="9" spans="2:6" x14ac:dyDescent="0.25">
      <c r="B9" s="43" t="s">
        <v>126</v>
      </c>
      <c r="C9" s="43" t="str">
        <f>""""&amp;'SCOUT &amp; LOGISTICS'!D5&amp;""""</f>
        <v>"Aris Thessaloniki Betsson"</v>
      </c>
      <c r="F9" s="45" t="str">
        <f t="shared" si="0"/>
        <v>"away_team" : "Aris Thessaloniki Betsson",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"MATTHIAS RUDOLPH"</v>
      </c>
      <c r="F10" s="45" t="str">
        <f t="shared" si="0"/>
        <v>"Data_entry" : "MATTHIAS RUDOLPH",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"FLORIAN ASMUSSEN"</v>
      </c>
      <c r="F11" s="45" t="str">
        <f t="shared" si="0"/>
        <v>"Caller_1" : "FLORIAN ASMUSSEN",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"JUSTUS-ALEXANDER JUERGENS"</v>
      </c>
      <c r="F12" s="45" t="str">
        <f t="shared" si="0"/>
        <v>"Caller_2" : "JUSTUS-ALEXANDER JUERGENS",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"THORSTEN MEYER"</v>
      </c>
      <c r="F13" s="45" t="str">
        <f t="shared" si="0"/>
        <v>"Timerkeeper" : "THORSTEN MEYER",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"JORN ASMUSSEN"</v>
      </c>
      <c r="F14" s="45" t="str">
        <f t="shared" si="0"/>
        <v>"Shotclock" : "JORN ASMUSSEN",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668</v>
      </c>
      <c r="F25" s="45" t="str">
        <f t="shared" ref="F25:F48" si="1">""""&amp;C25&amp;"""" &amp; " : " &amp;D25&amp;","</f>
        <v>"total_actions" : 668,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5</v>
      </c>
      <c r="F31" s="45" t="str">
        <f t="shared" si="1"/>
        <v>"q1" : 5,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1</v>
      </c>
      <c r="F45" s="45" t="str">
        <f t="shared" si="1"/>
        <v>"missplaced" : 1,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"Try to stay focus even if visiting team fans throw confeti to the court. You did a good job despite that jump ball missing. Keep it up!"</v>
      </c>
      <c r="F51" s="45" t="str">
        <f>""""&amp;B51&amp;"""" &amp; " : " &amp;C51&amp;","</f>
        <v>"comments" : "Try to stay focus even if visiting team fans throw confeti to the court. You did a good job despite that jump ball missing. Keep it up!",</v>
      </c>
    </row>
    <row r="52" spans="2:6" x14ac:dyDescent="0.25">
      <c r="B52" s="43" t="s">
        <v>153</v>
      </c>
      <c r="C52" s="43" t="str">
        <f>TEXT('SCOUT &amp; LOGISTICS'!F1,"0,0")</f>
        <v>11_103_HAM_ARI_U2025</v>
      </c>
      <c r="F52" s="45" t="str">
        <f>""""&amp;B52&amp;"""" &amp; " : " &amp;C52</f>
        <v>"result" : 11_103_HAM_ARI_U2025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U103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17/12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Veolia Towers Hamburg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Aris Thessaloniki Betsson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MATTHIAS RUDOLPH</v>
      </c>
      <c r="C8" s="201"/>
      <c r="D8" s="201"/>
      <c r="E8" s="201"/>
      <c r="F8" s="201"/>
      <c r="G8" s="201" t="str">
        <f>IF('SCOUT &amp; LOGISTICS'!D7="","",'SCOUT &amp; LOGISTICS'!D7)</f>
        <v>FLORIAN ASMUSSEN</v>
      </c>
      <c r="H8" s="201"/>
      <c r="I8" s="201"/>
      <c r="J8" s="201"/>
      <c r="K8" s="201"/>
      <c r="L8" s="201" t="str">
        <f>IF('SCOUT &amp; LOGISTICS'!D8="","",'SCOUT &amp; LOGISTICS'!D8)</f>
        <v>JUSTUS-ALEXANDER JUERGENS</v>
      </c>
      <c r="M8" s="201"/>
      <c r="N8" s="201"/>
      <c r="O8" s="201"/>
      <c r="P8" s="201"/>
      <c r="Q8" s="201" t="str">
        <f>IF('SCOUT &amp; LOGISTICS'!D9="","",'SCOUT &amp; LOGISTICS'!D9)</f>
        <v>THORSTEN MEYER</v>
      </c>
      <c r="R8" s="201"/>
      <c r="S8" s="201"/>
      <c r="T8" s="201"/>
      <c r="U8" s="201"/>
      <c r="V8" s="201" t="str">
        <f>IF('SCOUT &amp; LOGISTICS'!D10="","",'SCOUT &amp; LOGISTICS'!D10)</f>
        <v>JORN ASMUSSEN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668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9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1.3473053892215569E-2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6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5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9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4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2</v>
      </c>
      <c r="M27" s="199"/>
      <c r="N27" s="199"/>
      <c r="O27" s="199"/>
      <c r="P27" s="199"/>
      <c r="Q27" s="199">
        <f>'SCOUT &amp; LOGISTICS'!AC21</f>
        <v>1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Try to stay focus even if visiting team fans throw confeti to the court. You did a good job despite that jump ball missing.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15.347305389221557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DD77734-70A2-4055-B22F-22D8227A2234}"/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2025-12-23T16:26:56Z</cp:lastPrinted>
  <dcterms:created xsi:type="dcterms:W3CDTF">2023-09-19T19:50:35Z</dcterms:created>
  <dcterms:modified xsi:type="dcterms:W3CDTF">2025-12-23T16:27:00Z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